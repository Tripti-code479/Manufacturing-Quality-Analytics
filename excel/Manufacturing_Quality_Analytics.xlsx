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ripti Sahu\Desktop\P\Manufacturing Quality Analytics\excel\"/>
    </mc:Choice>
  </mc:AlternateContent>
  <xr:revisionPtr revIDLastSave="0" documentId="8_{44DEA374-6277-4A79-8336-569535C02151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Raw_Data" sheetId="1" r:id="rId1"/>
    <sheet name="Clean_Data" sheetId="2" r:id="rId2"/>
    <sheet name="Data_Quality_Notes" sheetId="3" r:id="rId3"/>
    <sheet name="KPI_Analysis" sheetId="4" r:id="rId4"/>
    <sheet name="Plant_Analysis" sheetId="5" r:id="rId5"/>
    <sheet name="Line_Analysis" sheetId="6" r:id="rId6"/>
    <sheet name="Product_Analysis" sheetId="7" r:id="rId7"/>
    <sheet name="Shift_Analysis" sheetId="8" r:id="rId8"/>
    <sheet name="Defect_Type_Analysis" sheetId="9" r:id="rId9"/>
    <sheet name="Monthly_Analysis" sheetId="11" r:id="rId10"/>
    <sheet name="Outlier_Analysis" sheetId="12" r:id="rId11"/>
  </sheets>
  <definedNames>
    <definedName name="_xlnm._FilterDatabase" localSheetId="1" hidden="1">Clean_Data!$A$1:$T$1501</definedName>
    <definedName name="_xlnm._FilterDatabase" localSheetId="0" hidden="1">Raw_Data!$A$1:$T$1513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12" l="1"/>
  <c r="B4" i="12"/>
  <c r="C3" i="12"/>
  <c r="B3" i="12"/>
  <c r="C2" i="12"/>
  <c r="B2" i="12"/>
  <c r="E3" i="11"/>
  <c r="E4" i="11"/>
  <c r="E5" i="11"/>
  <c r="E6" i="11"/>
  <c r="E7" i="11"/>
  <c r="E8" i="11"/>
  <c r="E9" i="11"/>
  <c r="E10" i="11"/>
  <c r="E11" i="11"/>
  <c r="E12" i="11"/>
  <c r="E13" i="11"/>
  <c r="E2" i="11"/>
  <c r="D3" i="11"/>
  <c r="D4" i="11"/>
  <c r="D5" i="11"/>
  <c r="D6" i="11"/>
  <c r="D7" i="11"/>
  <c r="D8" i="11"/>
  <c r="D9" i="11"/>
  <c r="D10" i="11"/>
  <c r="D11" i="11"/>
  <c r="D12" i="11"/>
  <c r="D13" i="11"/>
  <c r="D2" i="11"/>
  <c r="C3" i="11"/>
  <c r="C4" i="11"/>
  <c r="C5" i="11"/>
  <c r="C6" i="11"/>
  <c r="C7" i="11"/>
  <c r="C8" i="11"/>
  <c r="C9" i="11"/>
  <c r="C10" i="11"/>
  <c r="C11" i="11"/>
  <c r="C12" i="11"/>
  <c r="C13" i="11"/>
  <c r="C2" i="11"/>
  <c r="B3" i="11"/>
  <c r="B4" i="11"/>
  <c r="B5" i="11"/>
  <c r="B6" i="11"/>
  <c r="B7" i="11"/>
  <c r="B8" i="11"/>
  <c r="B9" i="11"/>
  <c r="B10" i="11"/>
  <c r="B11" i="11"/>
  <c r="B12" i="11"/>
  <c r="B13" i="11"/>
  <c r="B2" i="11"/>
  <c r="C3" i="9"/>
  <c r="C4" i="9"/>
  <c r="C5" i="9"/>
  <c r="C6" i="9"/>
  <c r="C7" i="9"/>
  <c r="C8" i="9"/>
  <c r="C2" i="9"/>
  <c r="F3" i="8"/>
  <c r="F4" i="8"/>
  <c r="E3" i="8"/>
  <c r="E4" i="8"/>
  <c r="D3" i="8"/>
  <c r="D4" i="8"/>
  <c r="C3" i="8"/>
  <c r="C4" i="8"/>
  <c r="B3" i="8"/>
  <c r="B4" i="8"/>
  <c r="B2" i="8"/>
  <c r="F2" i="8"/>
  <c r="E2" i="8"/>
  <c r="D2" i="8"/>
  <c r="C2" i="8"/>
  <c r="F3" i="7"/>
  <c r="F4" i="7"/>
  <c r="F5" i="7"/>
  <c r="E3" i="7"/>
  <c r="E4" i="7"/>
  <c r="E5" i="7"/>
  <c r="D3" i="7"/>
  <c r="D4" i="7"/>
  <c r="D5" i="7"/>
  <c r="C3" i="7"/>
  <c r="C4" i="7"/>
  <c r="C5" i="7"/>
  <c r="B3" i="7"/>
  <c r="B4" i="7"/>
  <c r="B5" i="7"/>
  <c r="F2" i="7"/>
  <c r="E2" i="7"/>
  <c r="D2" i="7"/>
  <c r="C2" i="7"/>
  <c r="B2" i="7"/>
  <c r="F3" i="6"/>
  <c r="F4" i="6"/>
  <c r="F5" i="6"/>
  <c r="E3" i="6"/>
  <c r="E4" i="6"/>
  <c r="E5" i="6"/>
  <c r="D3" i="6"/>
  <c r="D4" i="6"/>
  <c r="D5" i="6"/>
  <c r="C3" i="6"/>
  <c r="C4" i="6"/>
  <c r="C5" i="6"/>
  <c r="B3" i="6"/>
  <c r="B4" i="6"/>
  <c r="B5" i="6"/>
  <c r="F2" i="6"/>
  <c r="E2" i="6"/>
  <c r="D2" i="6"/>
  <c r="C2" i="6"/>
  <c r="B2" i="6"/>
  <c r="F3" i="5"/>
  <c r="F4" i="5"/>
  <c r="E3" i="5"/>
  <c r="E4" i="5"/>
  <c r="D3" i="5"/>
  <c r="D4" i="5"/>
  <c r="C3" i="5"/>
  <c r="C4" i="5"/>
  <c r="B3" i="5"/>
  <c r="B4" i="5"/>
  <c r="F2" i="5"/>
  <c r="E2" i="5"/>
  <c r="D2" i="5"/>
  <c r="C2" i="5"/>
  <c r="B2" i="5"/>
  <c r="B12" i="4"/>
  <c r="B11" i="4"/>
  <c r="B10" i="4"/>
  <c r="B9" i="4"/>
  <c r="B8" i="4"/>
  <c r="B5" i="4"/>
  <c r="B6" i="4" s="1"/>
  <c r="B7" i="4" s="1"/>
  <c r="B4" i="4"/>
  <c r="B3" i="4"/>
  <c r="W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2" i="2"/>
  <c r="W313" i="2"/>
  <c r="W314" i="2"/>
  <c r="W315" i="2"/>
  <c r="W316" i="2"/>
  <c r="W317" i="2"/>
  <c r="W318" i="2"/>
  <c r="W319" i="2"/>
  <c r="W320" i="2"/>
  <c r="W321" i="2"/>
  <c r="W322" i="2"/>
  <c r="W323" i="2"/>
  <c r="W324" i="2"/>
  <c r="W325" i="2"/>
  <c r="W326" i="2"/>
  <c r="W327" i="2"/>
  <c r="W328" i="2"/>
  <c r="W329" i="2"/>
  <c r="W330" i="2"/>
  <c r="W331" i="2"/>
  <c r="W332" i="2"/>
  <c r="W333" i="2"/>
  <c r="W334" i="2"/>
  <c r="W335" i="2"/>
  <c r="W336" i="2"/>
  <c r="W337" i="2"/>
  <c r="W338" i="2"/>
  <c r="W339" i="2"/>
  <c r="W340" i="2"/>
  <c r="W341" i="2"/>
  <c r="W342" i="2"/>
  <c r="W343" i="2"/>
  <c r="W344" i="2"/>
  <c r="W345" i="2"/>
  <c r="W346" i="2"/>
  <c r="W347" i="2"/>
  <c r="W348" i="2"/>
  <c r="W349" i="2"/>
  <c r="W350" i="2"/>
  <c r="W351" i="2"/>
  <c r="W352" i="2"/>
  <c r="W353" i="2"/>
  <c r="W354" i="2"/>
  <c r="W355" i="2"/>
  <c r="W356" i="2"/>
  <c r="W357" i="2"/>
  <c r="W358" i="2"/>
  <c r="W359" i="2"/>
  <c r="W360" i="2"/>
  <c r="W361" i="2"/>
  <c r="W362" i="2"/>
  <c r="W363" i="2"/>
  <c r="W364" i="2"/>
  <c r="W365" i="2"/>
  <c r="W366" i="2"/>
  <c r="W367" i="2"/>
  <c r="W368" i="2"/>
  <c r="W369" i="2"/>
  <c r="W370" i="2"/>
  <c r="W371" i="2"/>
  <c r="W372" i="2"/>
  <c r="W373" i="2"/>
  <c r="W374" i="2"/>
  <c r="W375" i="2"/>
  <c r="W376" i="2"/>
  <c r="W377" i="2"/>
  <c r="W378" i="2"/>
  <c r="W379" i="2"/>
  <c r="W380" i="2"/>
  <c r="W381" i="2"/>
  <c r="W382" i="2"/>
  <c r="W383" i="2"/>
  <c r="W384" i="2"/>
  <c r="W385" i="2"/>
  <c r="W386" i="2"/>
  <c r="W387" i="2"/>
  <c r="W388" i="2"/>
  <c r="W389" i="2"/>
  <c r="W390" i="2"/>
  <c r="W391" i="2"/>
  <c r="W392" i="2"/>
  <c r="W393" i="2"/>
  <c r="W394" i="2"/>
  <c r="W395" i="2"/>
  <c r="W396" i="2"/>
  <c r="W397" i="2"/>
  <c r="W398" i="2"/>
  <c r="W399" i="2"/>
  <c r="W400" i="2"/>
  <c r="W401" i="2"/>
  <c r="W402" i="2"/>
  <c r="W403" i="2"/>
  <c r="W404" i="2"/>
  <c r="W405" i="2"/>
  <c r="W406" i="2"/>
  <c r="W407" i="2"/>
  <c r="W408" i="2"/>
  <c r="W409" i="2"/>
  <c r="W410" i="2"/>
  <c r="W411" i="2"/>
  <c r="W412" i="2"/>
  <c r="W413" i="2"/>
  <c r="W414" i="2"/>
  <c r="W415" i="2"/>
  <c r="W416" i="2"/>
  <c r="W417" i="2"/>
  <c r="W418" i="2"/>
  <c r="W419" i="2"/>
  <c r="W420" i="2"/>
  <c r="W421" i="2"/>
  <c r="W422" i="2"/>
  <c r="W423" i="2"/>
  <c r="W424" i="2"/>
  <c r="W425" i="2"/>
  <c r="W426" i="2"/>
  <c r="W427" i="2"/>
  <c r="W428" i="2"/>
  <c r="W429" i="2"/>
  <c r="W430" i="2"/>
  <c r="W431" i="2"/>
  <c r="W432" i="2"/>
  <c r="W433" i="2"/>
  <c r="W434" i="2"/>
  <c r="W435" i="2"/>
  <c r="W436" i="2"/>
  <c r="W437" i="2"/>
  <c r="W438" i="2"/>
  <c r="W439" i="2"/>
  <c r="W440" i="2"/>
  <c r="W441" i="2"/>
  <c r="W442" i="2"/>
  <c r="W443" i="2"/>
  <c r="W444" i="2"/>
  <c r="W445" i="2"/>
  <c r="W446" i="2"/>
  <c r="W447" i="2"/>
  <c r="W448" i="2"/>
  <c r="W449" i="2"/>
  <c r="W450" i="2"/>
  <c r="W451" i="2"/>
  <c r="W452" i="2"/>
  <c r="W453" i="2"/>
  <c r="W454" i="2"/>
  <c r="W455" i="2"/>
  <c r="W456" i="2"/>
  <c r="W457" i="2"/>
  <c r="W458" i="2"/>
  <c r="W459" i="2"/>
  <c r="W460" i="2"/>
  <c r="W461" i="2"/>
  <c r="W462" i="2"/>
  <c r="W463" i="2"/>
  <c r="W464" i="2"/>
  <c r="W465" i="2"/>
  <c r="W466" i="2"/>
  <c r="W467" i="2"/>
  <c r="W468" i="2"/>
  <c r="W469" i="2"/>
  <c r="W470" i="2"/>
  <c r="W471" i="2"/>
  <c r="W472" i="2"/>
  <c r="W473" i="2"/>
  <c r="W474" i="2"/>
  <c r="W475" i="2"/>
  <c r="W476" i="2"/>
  <c r="W477" i="2"/>
  <c r="W478" i="2"/>
  <c r="W479" i="2"/>
  <c r="W480" i="2"/>
  <c r="W481" i="2"/>
  <c r="W482" i="2"/>
  <c r="W483" i="2"/>
  <c r="W484" i="2"/>
  <c r="W485" i="2"/>
  <c r="W486" i="2"/>
  <c r="W487" i="2"/>
  <c r="W488" i="2"/>
  <c r="W489" i="2"/>
  <c r="W490" i="2"/>
  <c r="W491" i="2"/>
  <c r="W492" i="2"/>
  <c r="W493" i="2"/>
  <c r="W494" i="2"/>
  <c r="W495" i="2"/>
  <c r="W496" i="2"/>
  <c r="W497" i="2"/>
  <c r="W498" i="2"/>
  <c r="W499" i="2"/>
  <c r="W500" i="2"/>
  <c r="W501" i="2"/>
  <c r="W502" i="2"/>
  <c r="W503" i="2"/>
  <c r="W504" i="2"/>
  <c r="W505" i="2"/>
  <c r="W506" i="2"/>
  <c r="W507" i="2"/>
  <c r="W508" i="2"/>
  <c r="W509" i="2"/>
  <c r="W510" i="2"/>
  <c r="W511" i="2"/>
  <c r="W512" i="2"/>
  <c r="W513" i="2"/>
  <c r="W514" i="2"/>
  <c r="W515" i="2"/>
  <c r="W516" i="2"/>
  <c r="W517" i="2"/>
  <c r="W518" i="2"/>
  <c r="W519" i="2"/>
  <c r="W520" i="2"/>
  <c r="W521" i="2"/>
  <c r="W522" i="2"/>
  <c r="W523" i="2"/>
  <c r="W524" i="2"/>
  <c r="W525" i="2"/>
  <c r="W526" i="2"/>
  <c r="W527" i="2"/>
  <c r="W528" i="2"/>
  <c r="W529" i="2"/>
  <c r="W530" i="2"/>
  <c r="W531" i="2"/>
  <c r="W532" i="2"/>
  <c r="W533" i="2"/>
  <c r="W534" i="2"/>
  <c r="W535" i="2"/>
  <c r="W536" i="2"/>
  <c r="W537" i="2"/>
  <c r="W538" i="2"/>
  <c r="W539" i="2"/>
  <c r="W540" i="2"/>
  <c r="W541" i="2"/>
  <c r="W542" i="2"/>
  <c r="W543" i="2"/>
  <c r="W544" i="2"/>
  <c r="W545" i="2"/>
  <c r="W546" i="2"/>
  <c r="W547" i="2"/>
  <c r="W548" i="2"/>
  <c r="W549" i="2"/>
  <c r="W550" i="2"/>
  <c r="W551" i="2"/>
  <c r="W552" i="2"/>
  <c r="W553" i="2"/>
  <c r="W554" i="2"/>
  <c r="W555" i="2"/>
  <c r="W556" i="2"/>
  <c r="W557" i="2"/>
  <c r="W558" i="2"/>
  <c r="W559" i="2"/>
  <c r="W560" i="2"/>
  <c r="W561" i="2"/>
  <c r="W562" i="2"/>
  <c r="W563" i="2"/>
  <c r="W564" i="2"/>
  <c r="W565" i="2"/>
  <c r="W566" i="2"/>
  <c r="W567" i="2"/>
  <c r="W568" i="2"/>
  <c r="W569" i="2"/>
  <c r="W570" i="2"/>
  <c r="W571" i="2"/>
  <c r="W572" i="2"/>
  <c r="W573" i="2"/>
  <c r="W574" i="2"/>
  <c r="W575" i="2"/>
  <c r="W576" i="2"/>
  <c r="W577" i="2"/>
  <c r="W578" i="2"/>
  <c r="W579" i="2"/>
  <c r="W580" i="2"/>
  <c r="W581" i="2"/>
  <c r="W582" i="2"/>
  <c r="W583" i="2"/>
  <c r="W584" i="2"/>
  <c r="W585" i="2"/>
  <c r="W586" i="2"/>
  <c r="W587" i="2"/>
  <c r="W588" i="2"/>
  <c r="W589" i="2"/>
  <c r="W590" i="2"/>
  <c r="W591" i="2"/>
  <c r="W592" i="2"/>
  <c r="W593" i="2"/>
  <c r="W594" i="2"/>
  <c r="W595" i="2"/>
  <c r="W596" i="2"/>
  <c r="W597" i="2"/>
  <c r="W598" i="2"/>
  <c r="W599" i="2"/>
  <c r="W600" i="2"/>
  <c r="W601" i="2"/>
  <c r="W602" i="2"/>
  <c r="W603" i="2"/>
  <c r="W604" i="2"/>
  <c r="W605" i="2"/>
  <c r="W606" i="2"/>
  <c r="W607" i="2"/>
  <c r="W608" i="2"/>
  <c r="W609" i="2"/>
  <c r="W610" i="2"/>
  <c r="W611" i="2"/>
  <c r="W612" i="2"/>
  <c r="W613" i="2"/>
  <c r="W614" i="2"/>
  <c r="W615" i="2"/>
  <c r="W616" i="2"/>
  <c r="W617" i="2"/>
  <c r="W618" i="2"/>
  <c r="W619" i="2"/>
  <c r="W620" i="2"/>
  <c r="W621" i="2"/>
  <c r="W622" i="2"/>
  <c r="W623" i="2"/>
  <c r="W624" i="2"/>
  <c r="W625" i="2"/>
  <c r="W626" i="2"/>
  <c r="W627" i="2"/>
  <c r="W628" i="2"/>
  <c r="W629" i="2"/>
  <c r="W630" i="2"/>
  <c r="W631" i="2"/>
  <c r="W632" i="2"/>
  <c r="W633" i="2"/>
  <c r="W634" i="2"/>
  <c r="W635" i="2"/>
  <c r="W636" i="2"/>
  <c r="W637" i="2"/>
  <c r="W638" i="2"/>
  <c r="W639" i="2"/>
  <c r="W640" i="2"/>
  <c r="W641" i="2"/>
  <c r="W642" i="2"/>
  <c r="W643" i="2"/>
  <c r="W644" i="2"/>
  <c r="W645" i="2"/>
  <c r="W646" i="2"/>
  <c r="W647" i="2"/>
  <c r="W648" i="2"/>
  <c r="W649" i="2"/>
  <c r="W650" i="2"/>
  <c r="W651" i="2"/>
  <c r="W652" i="2"/>
  <c r="W653" i="2"/>
  <c r="W654" i="2"/>
  <c r="W655" i="2"/>
  <c r="W656" i="2"/>
  <c r="W657" i="2"/>
  <c r="W658" i="2"/>
  <c r="W659" i="2"/>
  <c r="W660" i="2"/>
  <c r="W661" i="2"/>
  <c r="W662" i="2"/>
  <c r="W663" i="2"/>
  <c r="W664" i="2"/>
  <c r="W665" i="2"/>
  <c r="W666" i="2"/>
  <c r="W667" i="2"/>
  <c r="W668" i="2"/>
  <c r="W669" i="2"/>
  <c r="W670" i="2"/>
  <c r="W671" i="2"/>
  <c r="W672" i="2"/>
  <c r="W673" i="2"/>
  <c r="W674" i="2"/>
  <c r="W675" i="2"/>
  <c r="W676" i="2"/>
  <c r="W677" i="2"/>
  <c r="W678" i="2"/>
  <c r="W679" i="2"/>
  <c r="W680" i="2"/>
  <c r="W681" i="2"/>
  <c r="W682" i="2"/>
  <c r="W683" i="2"/>
  <c r="W684" i="2"/>
  <c r="W685" i="2"/>
  <c r="W686" i="2"/>
  <c r="W687" i="2"/>
  <c r="W688" i="2"/>
  <c r="W689" i="2"/>
  <c r="W690" i="2"/>
  <c r="W691" i="2"/>
  <c r="W692" i="2"/>
  <c r="W693" i="2"/>
  <c r="W694" i="2"/>
  <c r="W695" i="2"/>
  <c r="W696" i="2"/>
  <c r="W697" i="2"/>
  <c r="W698" i="2"/>
  <c r="W699" i="2"/>
  <c r="W700" i="2"/>
  <c r="W701" i="2"/>
  <c r="W702" i="2"/>
  <c r="W703" i="2"/>
  <c r="W704" i="2"/>
  <c r="W705" i="2"/>
  <c r="W706" i="2"/>
  <c r="W707" i="2"/>
  <c r="W708" i="2"/>
  <c r="W709" i="2"/>
  <c r="W710" i="2"/>
  <c r="W711" i="2"/>
  <c r="W712" i="2"/>
  <c r="W713" i="2"/>
  <c r="W714" i="2"/>
  <c r="W715" i="2"/>
  <c r="W716" i="2"/>
  <c r="W717" i="2"/>
  <c r="W718" i="2"/>
  <c r="W719" i="2"/>
  <c r="W720" i="2"/>
  <c r="W721" i="2"/>
  <c r="W722" i="2"/>
  <c r="W723" i="2"/>
  <c r="W724" i="2"/>
  <c r="W725" i="2"/>
  <c r="W726" i="2"/>
  <c r="W727" i="2"/>
  <c r="W728" i="2"/>
  <c r="W729" i="2"/>
  <c r="W730" i="2"/>
  <c r="W731" i="2"/>
  <c r="W732" i="2"/>
  <c r="W733" i="2"/>
  <c r="W734" i="2"/>
  <c r="W735" i="2"/>
  <c r="W736" i="2"/>
  <c r="W737" i="2"/>
  <c r="W738" i="2"/>
  <c r="W739" i="2"/>
  <c r="W740" i="2"/>
  <c r="W741" i="2"/>
  <c r="W742" i="2"/>
  <c r="W743" i="2"/>
  <c r="W744" i="2"/>
  <c r="W745" i="2"/>
  <c r="W746" i="2"/>
  <c r="W747" i="2"/>
  <c r="W748" i="2"/>
  <c r="W749" i="2"/>
  <c r="W750" i="2"/>
  <c r="W751" i="2"/>
  <c r="W752" i="2"/>
  <c r="W753" i="2"/>
  <c r="W754" i="2"/>
  <c r="W755" i="2"/>
  <c r="W756" i="2"/>
  <c r="W757" i="2"/>
  <c r="W758" i="2"/>
  <c r="W759" i="2"/>
  <c r="W760" i="2"/>
  <c r="W761" i="2"/>
  <c r="W762" i="2"/>
  <c r="W763" i="2"/>
  <c r="W764" i="2"/>
  <c r="W765" i="2"/>
  <c r="W766" i="2"/>
  <c r="W767" i="2"/>
  <c r="W768" i="2"/>
  <c r="W769" i="2"/>
  <c r="W770" i="2"/>
  <c r="W771" i="2"/>
  <c r="W772" i="2"/>
  <c r="W773" i="2"/>
  <c r="W774" i="2"/>
  <c r="W775" i="2"/>
  <c r="W776" i="2"/>
  <c r="W777" i="2"/>
  <c r="W778" i="2"/>
  <c r="W779" i="2"/>
  <c r="W780" i="2"/>
  <c r="W781" i="2"/>
  <c r="W782" i="2"/>
  <c r="W783" i="2"/>
  <c r="W784" i="2"/>
  <c r="W785" i="2"/>
  <c r="W786" i="2"/>
  <c r="W787" i="2"/>
  <c r="W788" i="2"/>
  <c r="W789" i="2"/>
  <c r="W790" i="2"/>
  <c r="W791" i="2"/>
  <c r="W792" i="2"/>
  <c r="W793" i="2"/>
  <c r="W794" i="2"/>
  <c r="W795" i="2"/>
  <c r="W796" i="2"/>
  <c r="W797" i="2"/>
  <c r="W798" i="2"/>
  <c r="W799" i="2"/>
  <c r="W800" i="2"/>
  <c r="W801" i="2"/>
  <c r="W802" i="2"/>
  <c r="W803" i="2"/>
  <c r="W804" i="2"/>
  <c r="W805" i="2"/>
  <c r="W806" i="2"/>
  <c r="W807" i="2"/>
  <c r="W808" i="2"/>
  <c r="W809" i="2"/>
  <c r="W810" i="2"/>
  <c r="W811" i="2"/>
  <c r="W812" i="2"/>
  <c r="W813" i="2"/>
  <c r="W814" i="2"/>
  <c r="W815" i="2"/>
  <c r="W816" i="2"/>
  <c r="W817" i="2"/>
  <c r="W818" i="2"/>
  <c r="W819" i="2"/>
  <c r="W820" i="2"/>
  <c r="W821" i="2"/>
  <c r="W822" i="2"/>
  <c r="W823" i="2"/>
  <c r="W824" i="2"/>
  <c r="W825" i="2"/>
  <c r="W826" i="2"/>
  <c r="W827" i="2"/>
  <c r="W828" i="2"/>
  <c r="W829" i="2"/>
  <c r="W830" i="2"/>
  <c r="W831" i="2"/>
  <c r="W832" i="2"/>
  <c r="W833" i="2"/>
  <c r="W834" i="2"/>
  <c r="W835" i="2"/>
  <c r="W836" i="2"/>
  <c r="W837" i="2"/>
  <c r="W838" i="2"/>
  <c r="W839" i="2"/>
  <c r="W840" i="2"/>
  <c r="W841" i="2"/>
  <c r="W842" i="2"/>
  <c r="W843" i="2"/>
  <c r="W844" i="2"/>
  <c r="W845" i="2"/>
  <c r="W846" i="2"/>
  <c r="W847" i="2"/>
  <c r="W848" i="2"/>
  <c r="W849" i="2"/>
  <c r="W850" i="2"/>
  <c r="W851" i="2"/>
  <c r="W852" i="2"/>
  <c r="W853" i="2"/>
  <c r="W854" i="2"/>
  <c r="W855" i="2"/>
  <c r="W856" i="2"/>
  <c r="W857" i="2"/>
  <c r="W858" i="2"/>
  <c r="W859" i="2"/>
  <c r="W860" i="2"/>
  <c r="W861" i="2"/>
  <c r="W862" i="2"/>
  <c r="W863" i="2"/>
  <c r="W864" i="2"/>
  <c r="W865" i="2"/>
  <c r="W866" i="2"/>
  <c r="W867" i="2"/>
  <c r="W868" i="2"/>
  <c r="W869" i="2"/>
  <c r="W870" i="2"/>
  <c r="W871" i="2"/>
  <c r="W872" i="2"/>
  <c r="W873" i="2"/>
  <c r="W874" i="2"/>
  <c r="W875" i="2"/>
  <c r="W876" i="2"/>
  <c r="W877" i="2"/>
  <c r="W878" i="2"/>
  <c r="W879" i="2"/>
  <c r="W880" i="2"/>
  <c r="W881" i="2"/>
  <c r="W882" i="2"/>
  <c r="W883" i="2"/>
  <c r="W884" i="2"/>
  <c r="W885" i="2"/>
  <c r="W886" i="2"/>
  <c r="W887" i="2"/>
  <c r="W888" i="2"/>
  <c r="W889" i="2"/>
  <c r="W890" i="2"/>
  <c r="W891" i="2"/>
  <c r="W892" i="2"/>
  <c r="W893" i="2"/>
  <c r="W894" i="2"/>
  <c r="W895" i="2"/>
  <c r="W896" i="2"/>
  <c r="W897" i="2"/>
  <c r="W898" i="2"/>
  <c r="W899" i="2"/>
  <c r="W900" i="2"/>
  <c r="W901" i="2"/>
  <c r="W902" i="2"/>
  <c r="W903" i="2"/>
  <c r="W904" i="2"/>
  <c r="W905" i="2"/>
  <c r="W906" i="2"/>
  <c r="W907" i="2"/>
  <c r="W908" i="2"/>
  <c r="W909" i="2"/>
  <c r="W910" i="2"/>
  <c r="W911" i="2"/>
  <c r="W912" i="2"/>
  <c r="W913" i="2"/>
  <c r="W914" i="2"/>
  <c r="W915" i="2"/>
  <c r="W916" i="2"/>
  <c r="W917" i="2"/>
  <c r="W918" i="2"/>
  <c r="W919" i="2"/>
  <c r="W920" i="2"/>
  <c r="W921" i="2"/>
  <c r="W922" i="2"/>
  <c r="W923" i="2"/>
  <c r="W924" i="2"/>
  <c r="W925" i="2"/>
  <c r="W926" i="2"/>
  <c r="W927" i="2"/>
  <c r="W928" i="2"/>
  <c r="W929" i="2"/>
  <c r="W930" i="2"/>
  <c r="W931" i="2"/>
  <c r="W932" i="2"/>
  <c r="W933" i="2"/>
  <c r="W934" i="2"/>
  <c r="W935" i="2"/>
  <c r="W936" i="2"/>
  <c r="W937" i="2"/>
  <c r="W938" i="2"/>
  <c r="W939" i="2"/>
  <c r="W940" i="2"/>
  <c r="W941" i="2"/>
  <c r="W942" i="2"/>
  <c r="W943" i="2"/>
  <c r="W944" i="2"/>
  <c r="W945" i="2"/>
  <c r="W946" i="2"/>
  <c r="W947" i="2"/>
  <c r="W948" i="2"/>
  <c r="W949" i="2"/>
  <c r="W950" i="2"/>
  <c r="W951" i="2"/>
  <c r="W952" i="2"/>
  <c r="W953" i="2"/>
  <c r="W954" i="2"/>
  <c r="W955" i="2"/>
  <c r="W956" i="2"/>
  <c r="W957" i="2"/>
  <c r="W958" i="2"/>
  <c r="W959" i="2"/>
  <c r="W960" i="2"/>
  <c r="W961" i="2"/>
  <c r="W962" i="2"/>
  <c r="W963" i="2"/>
  <c r="W964" i="2"/>
  <c r="W965" i="2"/>
  <c r="W966" i="2"/>
  <c r="W967" i="2"/>
  <c r="W968" i="2"/>
  <c r="W969" i="2"/>
  <c r="W970" i="2"/>
  <c r="W971" i="2"/>
  <c r="W972" i="2"/>
  <c r="W973" i="2"/>
  <c r="W974" i="2"/>
  <c r="W975" i="2"/>
  <c r="W976" i="2"/>
  <c r="W977" i="2"/>
  <c r="W978" i="2"/>
  <c r="W979" i="2"/>
  <c r="W980" i="2"/>
  <c r="W981" i="2"/>
  <c r="W982" i="2"/>
  <c r="W983" i="2"/>
  <c r="W984" i="2"/>
  <c r="W985" i="2"/>
  <c r="W986" i="2"/>
  <c r="W987" i="2"/>
  <c r="W988" i="2"/>
  <c r="W989" i="2"/>
  <c r="W990" i="2"/>
  <c r="W991" i="2"/>
  <c r="W992" i="2"/>
  <c r="W993" i="2"/>
  <c r="W994" i="2"/>
  <c r="W995" i="2"/>
  <c r="W996" i="2"/>
  <c r="W997" i="2"/>
  <c r="W998" i="2"/>
  <c r="W999" i="2"/>
  <c r="W1000" i="2"/>
  <c r="W1001" i="2"/>
  <c r="W1002" i="2"/>
  <c r="W1003" i="2"/>
  <c r="W1004" i="2"/>
  <c r="W1005" i="2"/>
  <c r="W1006" i="2"/>
  <c r="W1007" i="2"/>
  <c r="W1008" i="2"/>
  <c r="W1009" i="2"/>
  <c r="W1010" i="2"/>
  <c r="W1011" i="2"/>
  <c r="W1012" i="2"/>
  <c r="W1013" i="2"/>
  <c r="W1014" i="2"/>
  <c r="W1015" i="2"/>
  <c r="W1016" i="2"/>
  <c r="W1017" i="2"/>
  <c r="W1018" i="2"/>
  <c r="W1019" i="2"/>
  <c r="W1020" i="2"/>
  <c r="W1021" i="2"/>
  <c r="W1022" i="2"/>
  <c r="W1023" i="2"/>
  <c r="W1024" i="2"/>
  <c r="W1025" i="2"/>
  <c r="W1026" i="2"/>
  <c r="W1027" i="2"/>
  <c r="W1028" i="2"/>
  <c r="W1029" i="2"/>
  <c r="W1030" i="2"/>
  <c r="W1031" i="2"/>
  <c r="W1032" i="2"/>
  <c r="W1033" i="2"/>
  <c r="W1034" i="2"/>
  <c r="W1035" i="2"/>
  <c r="W1036" i="2"/>
  <c r="W1037" i="2"/>
  <c r="W1038" i="2"/>
  <c r="W1039" i="2"/>
  <c r="W1040" i="2"/>
  <c r="W1041" i="2"/>
  <c r="W1042" i="2"/>
  <c r="W1043" i="2"/>
  <c r="W1044" i="2"/>
  <c r="W1045" i="2"/>
  <c r="W1046" i="2"/>
  <c r="W1047" i="2"/>
  <c r="W1048" i="2"/>
  <c r="W1049" i="2"/>
  <c r="W1050" i="2"/>
  <c r="W1051" i="2"/>
  <c r="W1052" i="2"/>
  <c r="W1053" i="2"/>
  <c r="W1054" i="2"/>
  <c r="W1055" i="2"/>
  <c r="W1056" i="2"/>
  <c r="W1057" i="2"/>
  <c r="W1058" i="2"/>
  <c r="W1059" i="2"/>
  <c r="W1060" i="2"/>
  <c r="W1061" i="2"/>
  <c r="W1062" i="2"/>
  <c r="W1063" i="2"/>
  <c r="W1064" i="2"/>
  <c r="W1065" i="2"/>
  <c r="W1066" i="2"/>
  <c r="W1067" i="2"/>
  <c r="W1068" i="2"/>
  <c r="W1069" i="2"/>
  <c r="W1070" i="2"/>
  <c r="W1071" i="2"/>
  <c r="W1072" i="2"/>
  <c r="W1073" i="2"/>
  <c r="W1074" i="2"/>
  <c r="W1075" i="2"/>
  <c r="W1076" i="2"/>
  <c r="W1077" i="2"/>
  <c r="W1078" i="2"/>
  <c r="W1079" i="2"/>
  <c r="W1080" i="2"/>
  <c r="W1081" i="2"/>
  <c r="W1082" i="2"/>
  <c r="W1083" i="2"/>
  <c r="W1084" i="2"/>
  <c r="W1085" i="2"/>
  <c r="W1086" i="2"/>
  <c r="W1087" i="2"/>
  <c r="W1088" i="2"/>
  <c r="W1089" i="2"/>
  <c r="W1090" i="2"/>
  <c r="W1091" i="2"/>
  <c r="W1092" i="2"/>
  <c r="W1093" i="2"/>
  <c r="W1094" i="2"/>
  <c r="W1095" i="2"/>
  <c r="W1096" i="2"/>
  <c r="W1097" i="2"/>
  <c r="W1098" i="2"/>
  <c r="W1099" i="2"/>
  <c r="W1100" i="2"/>
  <c r="W1101" i="2"/>
  <c r="W1102" i="2"/>
  <c r="W1103" i="2"/>
  <c r="W1104" i="2"/>
  <c r="W1105" i="2"/>
  <c r="W1106" i="2"/>
  <c r="W1107" i="2"/>
  <c r="W1108" i="2"/>
  <c r="W1109" i="2"/>
  <c r="W1110" i="2"/>
  <c r="W1111" i="2"/>
  <c r="W1112" i="2"/>
  <c r="W1113" i="2"/>
  <c r="W1114" i="2"/>
  <c r="W1115" i="2"/>
  <c r="W1116" i="2"/>
  <c r="W1117" i="2"/>
  <c r="W1118" i="2"/>
  <c r="W1119" i="2"/>
  <c r="W1120" i="2"/>
  <c r="W1121" i="2"/>
  <c r="W1122" i="2"/>
  <c r="W1123" i="2"/>
  <c r="W1124" i="2"/>
  <c r="W1125" i="2"/>
  <c r="W1126" i="2"/>
  <c r="W1127" i="2"/>
  <c r="W1128" i="2"/>
  <c r="W1129" i="2"/>
  <c r="W1130" i="2"/>
  <c r="W1131" i="2"/>
  <c r="W1132" i="2"/>
  <c r="W1133" i="2"/>
  <c r="W1134" i="2"/>
  <c r="W1135" i="2"/>
  <c r="W1136" i="2"/>
  <c r="W1137" i="2"/>
  <c r="W1138" i="2"/>
  <c r="W1139" i="2"/>
  <c r="W1140" i="2"/>
  <c r="W1141" i="2"/>
  <c r="W1142" i="2"/>
  <c r="W1143" i="2"/>
  <c r="W1144" i="2"/>
  <c r="W1145" i="2"/>
  <c r="W1146" i="2"/>
  <c r="W1147" i="2"/>
  <c r="W1148" i="2"/>
  <c r="W1149" i="2"/>
  <c r="W1150" i="2"/>
  <c r="W1151" i="2"/>
  <c r="W1152" i="2"/>
  <c r="W1153" i="2"/>
  <c r="W1154" i="2"/>
  <c r="W1155" i="2"/>
  <c r="W1156" i="2"/>
  <c r="W1157" i="2"/>
  <c r="W1158" i="2"/>
  <c r="W1159" i="2"/>
  <c r="W1160" i="2"/>
  <c r="W1161" i="2"/>
  <c r="W1162" i="2"/>
  <c r="W1163" i="2"/>
  <c r="W1164" i="2"/>
  <c r="W1165" i="2"/>
  <c r="W1166" i="2"/>
  <c r="W1167" i="2"/>
  <c r="W1168" i="2"/>
  <c r="W1169" i="2"/>
  <c r="W1170" i="2"/>
  <c r="W1171" i="2"/>
  <c r="W1172" i="2"/>
  <c r="W1173" i="2"/>
  <c r="W1174" i="2"/>
  <c r="W1175" i="2"/>
  <c r="W1176" i="2"/>
  <c r="W1177" i="2"/>
  <c r="W1178" i="2"/>
  <c r="W1179" i="2"/>
  <c r="W1180" i="2"/>
  <c r="W1181" i="2"/>
  <c r="W1182" i="2"/>
  <c r="W1183" i="2"/>
  <c r="W1184" i="2"/>
  <c r="W1185" i="2"/>
  <c r="W1186" i="2"/>
  <c r="W1187" i="2"/>
  <c r="W1188" i="2"/>
  <c r="W1189" i="2"/>
  <c r="W1190" i="2"/>
  <c r="W1191" i="2"/>
  <c r="W1192" i="2"/>
  <c r="W1193" i="2"/>
  <c r="W1194" i="2"/>
  <c r="W1195" i="2"/>
  <c r="W1196" i="2"/>
  <c r="W1197" i="2"/>
  <c r="W1198" i="2"/>
  <c r="W1199" i="2"/>
  <c r="W1200" i="2"/>
  <c r="W1201" i="2"/>
  <c r="W1202" i="2"/>
  <c r="W1203" i="2"/>
  <c r="W1204" i="2"/>
  <c r="W1205" i="2"/>
  <c r="W1206" i="2"/>
  <c r="W1207" i="2"/>
  <c r="W1208" i="2"/>
  <c r="W1209" i="2"/>
  <c r="W1210" i="2"/>
  <c r="W1211" i="2"/>
  <c r="W1212" i="2"/>
  <c r="W1213" i="2"/>
  <c r="W1214" i="2"/>
  <c r="W1215" i="2"/>
  <c r="W1216" i="2"/>
  <c r="W1217" i="2"/>
  <c r="W1218" i="2"/>
  <c r="W1219" i="2"/>
  <c r="W1220" i="2"/>
  <c r="W1221" i="2"/>
  <c r="W1222" i="2"/>
  <c r="W1223" i="2"/>
  <c r="W1224" i="2"/>
  <c r="W1225" i="2"/>
  <c r="W1226" i="2"/>
  <c r="W1227" i="2"/>
  <c r="W1228" i="2"/>
  <c r="W1229" i="2"/>
  <c r="W1230" i="2"/>
  <c r="W1231" i="2"/>
  <c r="W1232" i="2"/>
  <c r="W1233" i="2"/>
  <c r="W1234" i="2"/>
  <c r="W1235" i="2"/>
  <c r="W1236" i="2"/>
  <c r="W1237" i="2"/>
  <c r="W1238" i="2"/>
  <c r="W1239" i="2"/>
  <c r="W1240" i="2"/>
  <c r="W1241" i="2"/>
  <c r="W1242" i="2"/>
  <c r="W1243" i="2"/>
  <c r="W1244" i="2"/>
  <c r="W1245" i="2"/>
  <c r="W1246" i="2"/>
  <c r="W1247" i="2"/>
  <c r="W1248" i="2"/>
  <c r="W1249" i="2"/>
  <c r="W1250" i="2"/>
  <c r="W1251" i="2"/>
  <c r="W1252" i="2"/>
  <c r="W1253" i="2"/>
  <c r="W1254" i="2"/>
  <c r="W1255" i="2"/>
  <c r="W1256" i="2"/>
  <c r="W1257" i="2"/>
  <c r="W1258" i="2"/>
  <c r="W1259" i="2"/>
  <c r="W1260" i="2"/>
  <c r="W1261" i="2"/>
  <c r="W1262" i="2"/>
  <c r="W1263" i="2"/>
  <c r="W1264" i="2"/>
  <c r="W1265" i="2"/>
  <c r="W1266" i="2"/>
  <c r="W1267" i="2"/>
  <c r="W1268" i="2"/>
  <c r="W1269" i="2"/>
  <c r="W1270" i="2"/>
  <c r="W1271" i="2"/>
  <c r="W1272" i="2"/>
  <c r="W1273" i="2"/>
  <c r="W1274" i="2"/>
  <c r="W1275" i="2"/>
  <c r="W1276" i="2"/>
  <c r="W1277" i="2"/>
  <c r="W1278" i="2"/>
  <c r="W1279" i="2"/>
  <c r="W1280" i="2"/>
  <c r="W1281" i="2"/>
  <c r="W1282" i="2"/>
  <c r="W1283" i="2"/>
  <c r="W1284" i="2"/>
  <c r="W1285" i="2"/>
  <c r="W1286" i="2"/>
  <c r="W1287" i="2"/>
  <c r="W1288" i="2"/>
  <c r="W1289" i="2"/>
  <c r="W1290" i="2"/>
  <c r="W1291" i="2"/>
  <c r="W1292" i="2"/>
  <c r="W1293" i="2"/>
  <c r="W1294" i="2"/>
  <c r="W1295" i="2"/>
  <c r="W1296" i="2"/>
  <c r="W1297" i="2"/>
  <c r="W1298" i="2"/>
  <c r="W1299" i="2"/>
  <c r="W1300" i="2"/>
  <c r="W1301" i="2"/>
  <c r="W1302" i="2"/>
  <c r="W1303" i="2"/>
  <c r="W1304" i="2"/>
  <c r="W1305" i="2"/>
  <c r="W1306" i="2"/>
  <c r="W1307" i="2"/>
  <c r="W1308" i="2"/>
  <c r="W1309" i="2"/>
  <c r="W1310" i="2"/>
  <c r="W1311" i="2"/>
  <c r="W1312" i="2"/>
  <c r="W1313" i="2"/>
  <c r="W1314" i="2"/>
  <c r="W1315" i="2"/>
  <c r="W1316" i="2"/>
  <c r="W1317" i="2"/>
  <c r="W1318" i="2"/>
  <c r="W1319" i="2"/>
  <c r="W1320" i="2"/>
  <c r="W1321" i="2"/>
  <c r="W1322" i="2"/>
  <c r="W1323" i="2"/>
  <c r="W1324" i="2"/>
  <c r="W1325" i="2"/>
  <c r="W1326" i="2"/>
  <c r="W1327" i="2"/>
  <c r="W1328" i="2"/>
  <c r="W1329" i="2"/>
  <c r="W1330" i="2"/>
  <c r="W1331" i="2"/>
  <c r="W1332" i="2"/>
  <c r="W1333" i="2"/>
  <c r="W1334" i="2"/>
  <c r="W1335" i="2"/>
  <c r="W1336" i="2"/>
  <c r="W1337" i="2"/>
  <c r="W1338" i="2"/>
  <c r="W1339" i="2"/>
  <c r="W1340" i="2"/>
  <c r="W1341" i="2"/>
  <c r="W1342" i="2"/>
  <c r="W1343" i="2"/>
  <c r="W1344" i="2"/>
  <c r="W1345" i="2"/>
  <c r="W1346" i="2"/>
  <c r="W1347" i="2"/>
  <c r="W1348" i="2"/>
  <c r="W1349" i="2"/>
  <c r="W1350" i="2"/>
  <c r="W1351" i="2"/>
  <c r="W1352" i="2"/>
  <c r="W1353" i="2"/>
  <c r="W1354" i="2"/>
  <c r="W1355" i="2"/>
  <c r="W1356" i="2"/>
  <c r="W1357" i="2"/>
  <c r="W1358" i="2"/>
  <c r="W1359" i="2"/>
  <c r="W1360" i="2"/>
  <c r="W1361" i="2"/>
  <c r="W1362" i="2"/>
  <c r="W1363" i="2"/>
  <c r="W1364" i="2"/>
  <c r="W1365" i="2"/>
  <c r="W1366" i="2"/>
  <c r="W1367" i="2"/>
  <c r="W1368" i="2"/>
  <c r="W1369" i="2"/>
  <c r="W1370" i="2"/>
  <c r="W1371" i="2"/>
  <c r="W1372" i="2"/>
  <c r="W1373" i="2"/>
  <c r="W1374" i="2"/>
  <c r="W1375" i="2"/>
  <c r="W1376" i="2"/>
  <c r="W1377" i="2"/>
  <c r="W1378" i="2"/>
  <c r="W1379" i="2"/>
  <c r="W1380" i="2"/>
  <c r="W1381" i="2"/>
  <c r="W1382" i="2"/>
  <c r="W1383" i="2"/>
  <c r="W1384" i="2"/>
  <c r="W1385" i="2"/>
  <c r="W1386" i="2"/>
  <c r="W1387" i="2"/>
  <c r="W1388" i="2"/>
  <c r="W1389" i="2"/>
  <c r="W1390" i="2"/>
  <c r="W1391" i="2"/>
  <c r="W1392" i="2"/>
  <c r="W1393" i="2"/>
  <c r="W1394" i="2"/>
  <c r="W1395" i="2"/>
  <c r="W1396" i="2"/>
  <c r="W1397" i="2"/>
  <c r="W1398" i="2"/>
  <c r="W1399" i="2"/>
  <c r="W1400" i="2"/>
  <c r="W1401" i="2"/>
  <c r="W1402" i="2"/>
  <c r="W1403" i="2"/>
  <c r="W1404" i="2"/>
  <c r="W1405" i="2"/>
  <c r="W1406" i="2"/>
  <c r="W1407" i="2"/>
  <c r="W1408" i="2"/>
  <c r="W1409" i="2"/>
  <c r="W1410" i="2"/>
  <c r="W1411" i="2"/>
  <c r="W1412" i="2"/>
  <c r="W1413" i="2"/>
  <c r="W1414" i="2"/>
  <c r="W1415" i="2"/>
  <c r="W1416" i="2"/>
  <c r="W1417" i="2"/>
  <c r="W1418" i="2"/>
  <c r="W1419" i="2"/>
  <c r="W1420" i="2"/>
  <c r="W1421" i="2"/>
  <c r="W1422" i="2"/>
  <c r="W1423" i="2"/>
  <c r="W1424" i="2"/>
  <c r="W1425" i="2"/>
  <c r="W1426" i="2"/>
  <c r="W1427" i="2"/>
  <c r="W1428" i="2"/>
  <c r="W1429" i="2"/>
  <c r="W1430" i="2"/>
  <c r="W1431" i="2"/>
  <c r="W1432" i="2"/>
  <c r="W1433" i="2"/>
  <c r="W1434" i="2"/>
  <c r="W1435" i="2"/>
  <c r="W1436" i="2"/>
  <c r="W1437" i="2"/>
  <c r="W1438" i="2"/>
  <c r="W1439" i="2"/>
  <c r="W1440" i="2"/>
  <c r="W1441" i="2"/>
  <c r="W1442" i="2"/>
  <c r="W1443" i="2"/>
  <c r="W1444" i="2"/>
  <c r="W1445" i="2"/>
  <c r="W1446" i="2"/>
  <c r="W1447" i="2"/>
  <c r="W1448" i="2"/>
  <c r="W1449" i="2"/>
  <c r="W1450" i="2"/>
  <c r="W1451" i="2"/>
  <c r="W1452" i="2"/>
  <c r="W1453" i="2"/>
  <c r="W1454" i="2"/>
  <c r="W1455" i="2"/>
  <c r="W1456" i="2"/>
  <c r="W1457" i="2"/>
  <c r="W1458" i="2"/>
  <c r="W1459" i="2"/>
  <c r="W1460" i="2"/>
  <c r="W1461" i="2"/>
  <c r="W1462" i="2"/>
  <c r="W1463" i="2"/>
  <c r="W1464" i="2"/>
  <c r="W1465" i="2"/>
  <c r="W1466" i="2"/>
  <c r="W1467" i="2"/>
  <c r="W1468" i="2"/>
  <c r="W1469" i="2"/>
  <c r="W1470" i="2"/>
  <c r="W1471" i="2"/>
  <c r="W1472" i="2"/>
  <c r="W1473" i="2"/>
  <c r="W1474" i="2"/>
  <c r="W1475" i="2"/>
  <c r="W1476" i="2"/>
  <c r="W1477" i="2"/>
  <c r="W1478" i="2"/>
  <c r="W1479" i="2"/>
  <c r="W1480" i="2"/>
  <c r="W1481" i="2"/>
  <c r="W1482" i="2"/>
  <c r="W1483" i="2"/>
  <c r="W1484" i="2"/>
  <c r="W1485" i="2"/>
  <c r="W1486" i="2"/>
  <c r="W1487" i="2"/>
  <c r="W1488" i="2"/>
  <c r="W1489" i="2"/>
  <c r="W1490" i="2"/>
  <c r="W1491" i="2"/>
  <c r="W1492" i="2"/>
  <c r="W1493" i="2"/>
  <c r="W1494" i="2"/>
  <c r="W1495" i="2"/>
  <c r="W1496" i="2"/>
  <c r="W1497" i="2"/>
  <c r="W1498" i="2"/>
  <c r="W1499" i="2"/>
  <c r="W1500" i="2"/>
  <c r="W1501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593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V666" i="2"/>
  <c r="V667" i="2"/>
  <c r="V668" i="2"/>
  <c r="V669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697" i="2"/>
  <c r="V698" i="2"/>
  <c r="V699" i="2"/>
  <c r="V700" i="2"/>
  <c r="V701" i="2"/>
  <c r="V702" i="2"/>
  <c r="V703" i="2"/>
  <c r="V704" i="2"/>
  <c r="V705" i="2"/>
  <c r="V706" i="2"/>
  <c r="V707" i="2"/>
  <c r="V708" i="2"/>
  <c r="V709" i="2"/>
  <c r="V710" i="2"/>
  <c r="V711" i="2"/>
  <c r="V712" i="2"/>
  <c r="V713" i="2"/>
  <c r="V714" i="2"/>
  <c r="V715" i="2"/>
  <c r="V716" i="2"/>
  <c r="V717" i="2"/>
  <c r="V718" i="2"/>
  <c r="V719" i="2"/>
  <c r="V720" i="2"/>
  <c r="V721" i="2"/>
  <c r="V722" i="2"/>
  <c r="V723" i="2"/>
  <c r="V724" i="2"/>
  <c r="V725" i="2"/>
  <c r="V726" i="2"/>
  <c r="V727" i="2"/>
  <c r="V728" i="2"/>
  <c r="V729" i="2"/>
  <c r="V730" i="2"/>
  <c r="V731" i="2"/>
  <c r="V732" i="2"/>
  <c r="V733" i="2"/>
  <c r="V734" i="2"/>
  <c r="V735" i="2"/>
  <c r="V736" i="2"/>
  <c r="V737" i="2"/>
  <c r="V738" i="2"/>
  <c r="V739" i="2"/>
  <c r="V740" i="2"/>
  <c r="V741" i="2"/>
  <c r="V742" i="2"/>
  <c r="V743" i="2"/>
  <c r="V744" i="2"/>
  <c r="V745" i="2"/>
  <c r="V746" i="2"/>
  <c r="V747" i="2"/>
  <c r="V748" i="2"/>
  <c r="V749" i="2"/>
  <c r="V750" i="2"/>
  <c r="V751" i="2"/>
  <c r="V752" i="2"/>
  <c r="V753" i="2"/>
  <c r="V754" i="2"/>
  <c r="V755" i="2"/>
  <c r="V756" i="2"/>
  <c r="V757" i="2"/>
  <c r="V758" i="2"/>
  <c r="V759" i="2"/>
  <c r="V760" i="2"/>
  <c r="V761" i="2"/>
  <c r="V762" i="2"/>
  <c r="V763" i="2"/>
  <c r="V764" i="2"/>
  <c r="V765" i="2"/>
  <c r="V766" i="2"/>
  <c r="V767" i="2"/>
  <c r="V768" i="2"/>
  <c r="V769" i="2"/>
  <c r="V770" i="2"/>
  <c r="V771" i="2"/>
  <c r="V772" i="2"/>
  <c r="V773" i="2"/>
  <c r="V774" i="2"/>
  <c r="V775" i="2"/>
  <c r="V776" i="2"/>
  <c r="V777" i="2"/>
  <c r="V778" i="2"/>
  <c r="V779" i="2"/>
  <c r="V780" i="2"/>
  <c r="V781" i="2"/>
  <c r="V782" i="2"/>
  <c r="V783" i="2"/>
  <c r="V784" i="2"/>
  <c r="V785" i="2"/>
  <c r="V786" i="2"/>
  <c r="V787" i="2"/>
  <c r="V788" i="2"/>
  <c r="V789" i="2"/>
  <c r="V790" i="2"/>
  <c r="V791" i="2"/>
  <c r="V792" i="2"/>
  <c r="V793" i="2"/>
  <c r="V794" i="2"/>
  <c r="V795" i="2"/>
  <c r="V796" i="2"/>
  <c r="V797" i="2"/>
  <c r="V798" i="2"/>
  <c r="V799" i="2"/>
  <c r="V800" i="2"/>
  <c r="V801" i="2"/>
  <c r="V802" i="2"/>
  <c r="V803" i="2"/>
  <c r="V804" i="2"/>
  <c r="V805" i="2"/>
  <c r="V806" i="2"/>
  <c r="V807" i="2"/>
  <c r="V808" i="2"/>
  <c r="V809" i="2"/>
  <c r="V810" i="2"/>
  <c r="V811" i="2"/>
  <c r="V812" i="2"/>
  <c r="V813" i="2"/>
  <c r="V814" i="2"/>
  <c r="V815" i="2"/>
  <c r="V816" i="2"/>
  <c r="V817" i="2"/>
  <c r="V818" i="2"/>
  <c r="V819" i="2"/>
  <c r="V820" i="2"/>
  <c r="V821" i="2"/>
  <c r="V822" i="2"/>
  <c r="V823" i="2"/>
  <c r="V824" i="2"/>
  <c r="V825" i="2"/>
  <c r="V826" i="2"/>
  <c r="V827" i="2"/>
  <c r="V828" i="2"/>
  <c r="V829" i="2"/>
  <c r="V830" i="2"/>
  <c r="V831" i="2"/>
  <c r="V832" i="2"/>
  <c r="V833" i="2"/>
  <c r="V834" i="2"/>
  <c r="V835" i="2"/>
  <c r="V836" i="2"/>
  <c r="V837" i="2"/>
  <c r="V838" i="2"/>
  <c r="V839" i="2"/>
  <c r="V840" i="2"/>
  <c r="V841" i="2"/>
  <c r="V842" i="2"/>
  <c r="V843" i="2"/>
  <c r="V844" i="2"/>
  <c r="V845" i="2"/>
  <c r="V846" i="2"/>
  <c r="V847" i="2"/>
  <c r="V848" i="2"/>
  <c r="V849" i="2"/>
  <c r="V850" i="2"/>
  <c r="V851" i="2"/>
  <c r="V852" i="2"/>
  <c r="V853" i="2"/>
  <c r="V854" i="2"/>
  <c r="V855" i="2"/>
  <c r="V856" i="2"/>
  <c r="V857" i="2"/>
  <c r="V858" i="2"/>
  <c r="V859" i="2"/>
  <c r="V860" i="2"/>
  <c r="V861" i="2"/>
  <c r="V862" i="2"/>
  <c r="V863" i="2"/>
  <c r="V864" i="2"/>
  <c r="V865" i="2"/>
  <c r="V866" i="2"/>
  <c r="V867" i="2"/>
  <c r="V868" i="2"/>
  <c r="V869" i="2"/>
  <c r="V870" i="2"/>
  <c r="V871" i="2"/>
  <c r="V872" i="2"/>
  <c r="V873" i="2"/>
  <c r="V874" i="2"/>
  <c r="V875" i="2"/>
  <c r="V876" i="2"/>
  <c r="V877" i="2"/>
  <c r="V878" i="2"/>
  <c r="V879" i="2"/>
  <c r="V880" i="2"/>
  <c r="V881" i="2"/>
  <c r="V882" i="2"/>
  <c r="V883" i="2"/>
  <c r="V884" i="2"/>
  <c r="V885" i="2"/>
  <c r="V886" i="2"/>
  <c r="V887" i="2"/>
  <c r="V888" i="2"/>
  <c r="V889" i="2"/>
  <c r="V890" i="2"/>
  <c r="V891" i="2"/>
  <c r="V892" i="2"/>
  <c r="V893" i="2"/>
  <c r="V894" i="2"/>
  <c r="V895" i="2"/>
  <c r="V896" i="2"/>
  <c r="V897" i="2"/>
  <c r="V898" i="2"/>
  <c r="V899" i="2"/>
  <c r="V900" i="2"/>
  <c r="V901" i="2"/>
  <c r="V902" i="2"/>
  <c r="V903" i="2"/>
  <c r="V904" i="2"/>
  <c r="V905" i="2"/>
  <c r="V906" i="2"/>
  <c r="V907" i="2"/>
  <c r="V908" i="2"/>
  <c r="V909" i="2"/>
  <c r="V910" i="2"/>
  <c r="V911" i="2"/>
  <c r="V912" i="2"/>
  <c r="V913" i="2"/>
  <c r="V914" i="2"/>
  <c r="V915" i="2"/>
  <c r="V916" i="2"/>
  <c r="V917" i="2"/>
  <c r="V918" i="2"/>
  <c r="V919" i="2"/>
  <c r="V920" i="2"/>
  <c r="V921" i="2"/>
  <c r="V922" i="2"/>
  <c r="V923" i="2"/>
  <c r="V924" i="2"/>
  <c r="V925" i="2"/>
  <c r="V926" i="2"/>
  <c r="V927" i="2"/>
  <c r="V928" i="2"/>
  <c r="V929" i="2"/>
  <c r="V930" i="2"/>
  <c r="V931" i="2"/>
  <c r="V932" i="2"/>
  <c r="V933" i="2"/>
  <c r="V934" i="2"/>
  <c r="V935" i="2"/>
  <c r="V936" i="2"/>
  <c r="V937" i="2"/>
  <c r="V938" i="2"/>
  <c r="V939" i="2"/>
  <c r="V940" i="2"/>
  <c r="V941" i="2"/>
  <c r="V942" i="2"/>
  <c r="V943" i="2"/>
  <c r="V944" i="2"/>
  <c r="V945" i="2"/>
  <c r="V946" i="2"/>
  <c r="V947" i="2"/>
  <c r="V948" i="2"/>
  <c r="V949" i="2"/>
  <c r="V950" i="2"/>
  <c r="V951" i="2"/>
  <c r="V952" i="2"/>
  <c r="V953" i="2"/>
  <c r="V954" i="2"/>
  <c r="V955" i="2"/>
  <c r="V956" i="2"/>
  <c r="V957" i="2"/>
  <c r="V958" i="2"/>
  <c r="V959" i="2"/>
  <c r="V960" i="2"/>
  <c r="V961" i="2"/>
  <c r="V962" i="2"/>
  <c r="V963" i="2"/>
  <c r="V964" i="2"/>
  <c r="V965" i="2"/>
  <c r="V966" i="2"/>
  <c r="V967" i="2"/>
  <c r="V968" i="2"/>
  <c r="V969" i="2"/>
  <c r="V970" i="2"/>
  <c r="V971" i="2"/>
  <c r="V972" i="2"/>
  <c r="V973" i="2"/>
  <c r="V974" i="2"/>
  <c r="V975" i="2"/>
  <c r="V976" i="2"/>
  <c r="V977" i="2"/>
  <c r="V978" i="2"/>
  <c r="V979" i="2"/>
  <c r="V980" i="2"/>
  <c r="V981" i="2"/>
  <c r="V982" i="2"/>
  <c r="V983" i="2"/>
  <c r="V984" i="2"/>
  <c r="V985" i="2"/>
  <c r="V986" i="2"/>
  <c r="V987" i="2"/>
  <c r="V988" i="2"/>
  <c r="V989" i="2"/>
  <c r="V990" i="2"/>
  <c r="V991" i="2"/>
  <c r="V992" i="2"/>
  <c r="V993" i="2"/>
  <c r="V994" i="2"/>
  <c r="V995" i="2"/>
  <c r="V996" i="2"/>
  <c r="V997" i="2"/>
  <c r="V998" i="2"/>
  <c r="V999" i="2"/>
  <c r="V1000" i="2"/>
  <c r="V1001" i="2"/>
  <c r="V1002" i="2"/>
  <c r="V1003" i="2"/>
  <c r="V1004" i="2"/>
  <c r="V1005" i="2"/>
  <c r="V1006" i="2"/>
  <c r="V1007" i="2"/>
  <c r="V1008" i="2"/>
  <c r="V1009" i="2"/>
  <c r="V1010" i="2"/>
  <c r="V1011" i="2"/>
  <c r="V1012" i="2"/>
  <c r="V1013" i="2"/>
  <c r="V1014" i="2"/>
  <c r="V1015" i="2"/>
  <c r="V1016" i="2"/>
  <c r="V1017" i="2"/>
  <c r="V1018" i="2"/>
  <c r="V1019" i="2"/>
  <c r="V1020" i="2"/>
  <c r="V1021" i="2"/>
  <c r="V1022" i="2"/>
  <c r="V1023" i="2"/>
  <c r="V1024" i="2"/>
  <c r="V1025" i="2"/>
  <c r="V1026" i="2"/>
  <c r="V1027" i="2"/>
  <c r="V1028" i="2"/>
  <c r="V1029" i="2"/>
  <c r="V1030" i="2"/>
  <c r="V1031" i="2"/>
  <c r="V1032" i="2"/>
  <c r="V1033" i="2"/>
  <c r="V1034" i="2"/>
  <c r="V1035" i="2"/>
  <c r="V1036" i="2"/>
  <c r="V1037" i="2"/>
  <c r="V1038" i="2"/>
  <c r="V1039" i="2"/>
  <c r="V1040" i="2"/>
  <c r="V1041" i="2"/>
  <c r="V1042" i="2"/>
  <c r="V1043" i="2"/>
  <c r="V1044" i="2"/>
  <c r="V1045" i="2"/>
  <c r="V1046" i="2"/>
  <c r="V1047" i="2"/>
  <c r="V1048" i="2"/>
  <c r="V1049" i="2"/>
  <c r="V1050" i="2"/>
  <c r="V1051" i="2"/>
  <c r="V1052" i="2"/>
  <c r="V1053" i="2"/>
  <c r="V1054" i="2"/>
  <c r="V1055" i="2"/>
  <c r="V1056" i="2"/>
  <c r="V1057" i="2"/>
  <c r="V1058" i="2"/>
  <c r="V1059" i="2"/>
  <c r="V1060" i="2"/>
  <c r="V1061" i="2"/>
  <c r="V1062" i="2"/>
  <c r="V1063" i="2"/>
  <c r="V1064" i="2"/>
  <c r="V1065" i="2"/>
  <c r="V1066" i="2"/>
  <c r="V1067" i="2"/>
  <c r="V1068" i="2"/>
  <c r="V1069" i="2"/>
  <c r="V1070" i="2"/>
  <c r="V1071" i="2"/>
  <c r="V1072" i="2"/>
  <c r="V1073" i="2"/>
  <c r="V1074" i="2"/>
  <c r="V1075" i="2"/>
  <c r="V1076" i="2"/>
  <c r="V1077" i="2"/>
  <c r="V1078" i="2"/>
  <c r="V1079" i="2"/>
  <c r="V1080" i="2"/>
  <c r="V1081" i="2"/>
  <c r="V1082" i="2"/>
  <c r="V1083" i="2"/>
  <c r="V1084" i="2"/>
  <c r="V1085" i="2"/>
  <c r="V1086" i="2"/>
  <c r="V1087" i="2"/>
  <c r="V1088" i="2"/>
  <c r="V1089" i="2"/>
  <c r="V1090" i="2"/>
  <c r="V1091" i="2"/>
  <c r="V1092" i="2"/>
  <c r="V1093" i="2"/>
  <c r="V1094" i="2"/>
  <c r="V1095" i="2"/>
  <c r="V1096" i="2"/>
  <c r="V1097" i="2"/>
  <c r="V1098" i="2"/>
  <c r="V1099" i="2"/>
  <c r="V1100" i="2"/>
  <c r="V1101" i="2"/>
  <c r="V1102" i="2"/>
  <c r="V1103" i="2"/>
  <c r="V1104" i="2"/>
  <c r="V1105" i="2"/>
  <c r="V1106" i="2"/>
  <c r="V1107" i="2"/>
  <c r="V1108" i="2"/>
  <c r="V1109" i="2"/>
  <c r="V1110" i="2"/>
  <c r="V1111" i="2"/>
  <c r="V1112" i="2"/>
  <c r="V1113" i="2"/>
  <c r="V1114" i="2"/>
  <c r="V1115" i="2"/>
  <c r="V1116" i="2"/>
  <c r="V1117" i="2"/>
  <c r="V1118" i="2"/>
  <c r="V1119" i="2"/>
  <c r="V1120" i="2"/>
  <c r="V1121" i="2"/>
  <c r="V1122" i="2"/>
  <c r="V1123" i="2"/>
  <c r="V1124" i="2"/>
  <c r="V1125" i="2"/>
  <c r="V1126" i="2"/>
  <c r="V1127" i="2"/>
  <c r="V1128" i="2"/>
  <c r="V1129" i="2"/>
  <c r="V1130" i="2"/>
  <c r="V1131" i="2"/>
  <c r="V1132" i="2"/>
  <c r="V1133" i="2"/>
  <c r="V1134" i="2"/>
  <c r="V1135" i="2"/>
  <c r="V1136" i="2"/>
  <c r="V1137" i="2"/>
  <c r="V1138" i="2"/>
  <c r="V1139" i="2"/>
  <c r="V1140" i="2"/>
  <c r="V1141" i="2"/>
  <c r="V1142" i="2"/>
  <c r="V1143" i="2"/>
  <c r="V1144" i="2"/>
  <c r="V1145" i="2"/>
  <c r="V1146" i="2"/>
  <c r="V1147" i="2"/>
  <c r="V1148" i="2"/>
  <c r="V1149" i="2"/>
  <c r="V1150" i="2"/>
  <c r="V1151" i="2"/>
  <c r="V1152" i="2"/>
  <c r="V1153" i="2"/>
  <c r="V1154" i="2"/>
  <c r="V1155" i="2"/>
  <c r="V1156" i="2"/>
  <c r="V1157" i="2"/>
  <c r="V1158" i="2"/>
  <c r="V1159" i="2"/>
  <c r="V1160" i="2"/>
  <c r="V1161" i="2"/>
  <c r="V1162" i="2"/>
  <c r="V1163" i="2"/>
  <c r="V1164" i="2"/>
  <c r="V1165" i="2"/>
  <c r="V1166" i="2"/>
  <c r="V1167" i="2"/>
  <c r="V1168" i="2"/>
  <c r="V1169" i="2"/>
  <c r="V1170" i="2"/>
  <c r="V1171" i="2"/>
  <c r="V1172" i="2"/>
  <c r="V1173" i="2"/>
  <c r="V1174" i="2"/>
  <c r="V1175" i="2"/>
  <c r="V1176" i="2"/>
  <c r="V1177" i="2"/>
  <c r="V1178" i="2"/>
  <c r="V1179" i="2"/>
  <c r="V1180" i="2"/>
  <c r="V1181" i="2"/>
  <c r="V1182" i="2"/>
  <c r="V1183" i="2"/>
  <c r="V1184" i="2"/>
  <c r="V1185" i="2"/>
  <c r="V1186" i="2"/>
  <c r="V1187" i="2"/>
  <c r="V1188" i="2"/>
  <c r="V1189" i="2"/>
  <c r="V1190" i="2"/>
  <c r="V1191" i="2"/>
  <c r="V1192" i="2"/>
  <c r="V1193" i="2"/>
  <c r="V1194" i="2"/>
  <c r="V1195" i="2"/>
  <c r="V1196" i="2"/>
  <c r="V1197" i="2"/>
  <c r="V1198" i="2"/>
  <c r="V1199" i="2"/>
  <c r="V1200" i="2"/>
  <c r="V1201" i="2"/>
  <c r="V1202" i="2"/>
  <c r="V1203" i="2"/>
  <c r="V1204" i="2"/>
  <c r="V1205" i="2"/>
  <c r="V1206" i="2"/>
  <c r="V1207" i="2"/>
  <c r="V1208" i="2"/>
  <c r="V1209" i="2"/>
  <c r="V1210" i="2"/>
  <c r="V1211" i="2"/>
  <c r="V1212" i="2"/>
  <c r="V1213" i="2"/>
  <c r="V1214" i="2"/>
  <c r="V1215" i="2"/>
  <c r="V1216" i="2"/>
  <c r="V1217" i="2"/>
  <c r="V1218" i="2"/>
  <c r="V1219" i="2"/>
  <c r="V1220" i="2"/>
  <c r="V1221" i="2"/>
  <c r="V1222" i="2"/>
  <c r="V1223" i="2"/>
  <c r="V1224" i="2"/>
  <c r="V1225" i="2"/>
  <c r="V1226" i="2"/>
  <c r="V1227" i="2"/>
  <c r="V1228" i="2"/>
  <c r="V1229" i="2"/>
  <c r="V1230" i="2"/>
  <c r="V1231" i="2"/>
  <c r="V1232" i="2"/>
  <c r="V1233" i="2"/>
  <c r="V1234" i="2"/>
  <c r="V1235" i="2"/>
  <c r="V1236" i="2"/>
  <c r="V1237" i="2"/>
  <c r="V1238" i="2"/>
  <c r="V1239" i="2"/>
  <c r="V1240" i="2"/>
  <c r="V1241" i="2"/>
  <c r="V1242" i="2"/>
  <c r="V1243" i="2"/>
  <c r="V1244" i="2"/>
  <c r="V1245" i="2"/>
  <c r="V1246" i="2"/>
  <c r="V1247" i="2"/>
  <c r="V1248" i="2"/>
  <c r="V1249" i="2"/>
  <c r="V1250" i="2"/>
  <c r="V1251" i="2"/>
  <c r="V1252" i="2"/>
  <c r="V1253" i="2"/>
  <c r="V1254" i="2"/>
  <c r="V1255" i="2"/>
  <c r="V1256" i="2"/>
  <c r="V1257" i="2"/>
  <c r="V1258" i="2"/>
  <c r="V1259" i="2"/>
  <c r="V1260" i="2"/>
  <c r="V1261" i="2"/>
  <c r="V1262" i="2"/>
  <c r="V1263" i="2"/>
  <c r="V1264" i="2"/>
  <c r="V1265" i="2"/>
  <c r="V1266" i="2"/>
  <c r="V1267" i="2"/>
  <c r="V1268" i="2"/>
  <c r="V1269" i="2"/>
  <c r="V1270" i="2"/>
  <c r="V1271" i="2"/>
  <c r="V1272" i="2"/>
  <c r="V1273" i="2"/>
  <c r="V1274" i="2"/>
  <c r="V1275" i="2"/>
  <c r="V1276" i="2"/>
  <c r="V1277" i="2"/>
  <c r="V1278" i="2"/>
  <c r="V1279" i="2"/>
  <c r="V1280" i="2"/>
  <c r="V1281" i="2"/>
  <c r="V1282" i="2"/>
  <c r="V1283" i="2"/>
  <c r="V1284" i="2"/>
  <c r="V1285" i="2"/>
  <c r="V1286" i="2"/>
  <c r="V1287" i="2"/>
  <c r="V1288" i="2"/>
  <c r="V1289" i="2"/>
  <c r="V1290" i="2"/>
  <c r="V1291" i="2"/>
  <c r="V1292" i="2"/>
  <c r="V1293" i="2"/>
  <c r="V1294" i="2"/>
  <c r="V1295" i="2"/>
  <c r="V1296" i="2"/>
  <c r="V1297" i="2"/>
  <c r="V1298" i="2"/>
  <c r="V1299" i="2"/>
  <c r="V1300" i="2"/>
  <c r="V1301" i="2"/>
  <c r="V1302" i="2"/>
  <c r="V1303" i="2"/>
  <c r="V1304" i="2"/>
  <c r="V1305" i="2"/>
  <c r="V1306" i="2"/>
  <c r="V1307" i="2"/>
  <c r="V1308" i="2"/>
  <c r="V1309" i="2"/>
  <c r="V1310" i="2"/>
  <c r="V1311" i="2"/>
  <c r="V1312" i="2"/>
  <c r="V1313" i="2"/>
  <c r="V1314" i="2"/>
  <c r="V1315" i="2"/>
  <c r="V1316" i="2"/>
  <c r="V1317" i="2"/>
  <c r="V1318" i="2"/>
  <c r="V1319" i="2"/>
  <c r="V1320" i="2"/>
  <c r="V1321" i="2"/>
  <c r="V1322" i="2"/>
  <c r="V1323" i="2"/>
  <c r="V1324" i="2"/>
  <c r="V1325" i="2"/>
  <c r="V1326" i="2"/>
  <c r="V1327" i="2"/>
  <c r="V1328" i="2"/>
  <c r="V1329" i="2"/>
  <c r="V1330" i="2"/>
  <c r="V1331" i="2"/>
  <c r="V1332" i="2"/>
  <c r="V1333" i="2"/>
  <c r="V1334" i="2"/>
  <c r="V1335" i="2"/>
  <c r="V1336" i="2"/>
  <c r="V1337" i="2"/>
  <c r="V1338" i="2"/>
  <c r="V1339" i="2"/>
  <c r="V1340" i="2"/>
  <c r="V1341" i="2"/>
  <c r="V1342" i="2"/>
  <c r="V1343" i="2"/>
  <c r="V1344" i="2"/>
  <c r="V1345" i="2"/>
  <c r="V1346" i="2"/>
  <c r="V1347" i="2"/>
  <c r="V1348" i="2"/>
  <c r="V1349" i="2"/>
  <c r="V1350" i="2"/>
  <c r="V1351" i="2"/>
  <c r="V1352" i="2"/>
  <c r="V1353" i="2"/>
  <c r="V1354" i="2"/>
  <c r="V1355" i="2"/>
  <c r="V1356" i="2"/>
  <c r="V1357" i="2"/>
  <c r="V1358" i="2"/>
  <c r="V1359" i="2"/>
  <c r="V1360" i="2"/>
  <c r="V1361" i="2"/>
  <c r="V1362" i="2"/>
  <c r="V1363" i="2"/>
  <c r="V1364" i="2"/>
  <c r="V1365" i="2"/>
  <c r="V1366" i="2"/>
  <c r="V1367" i="2"/>
  <c r="V1368" i="2"/>
  <c r="V1369" i="2"/>
  <c r="V1370" i="2"/>
  <c r="V1371" i="2"/>
  <c r="V1372" i="2"/>
  <c r="V1373" i="2"/>
  <c r="V1374" i="2"/>
  <c r="V1375" i="2"/>
  <c r="V1376" i="2"/>
  <c r="V1377" i="2"/>
  <c r="V1378" i="2"/>
  <c r="V1379" i="2"/>
  <c r="V1380" i="2"/>
  <c r="V1381" i="2"/>
  <c r="V1382" i="2"/>
  <c r="V1383" i="2"/>
  <c r="V1384" i="2"/>
  <c r="V1385" i="2"/>
  <c r="V1386" i="2"/>
  <c r="V1387" i="2"/>
  <c r="V1388" i="2"/>
  <c r="V1389" i="2"/>
  <c r="V1390" i="2"/>
  <c r="V1391" i="2"/>
  <c r="V1392" i="2"/>
  <c r="V1393" i="2"/>
  <c r="V1394" i="2"/>
  <c r="V1395" i="2"/>
  <c r="V1396" i="2"/>
  <c r="V1397" i="2"/>
  <c r="V1398" i="2"/>
  <c r="V1399" i="2"/>
  <c r="V1400" i="2"/>
  <c r="V1401" i="2"/>
  <c r="V1402" i="2"/>
  <c r="V1403" i="2"/>
  <c r="V1404" i="2"/>
  <c r="V1405" i="2"/>
  <c r="V1406" i="2"/>
  <c r="V1407" i="2"/>
  <c r="V1408" i="2"/>
  <c r="V1409" i="2"/>
  <c r="V1410" i="2"/>
  <c r="V1411" i="2"/>
  <c r="V1412" i="2"/>
  <c r="V1413" i="2"/>
  <c r="V1414" i="2"/>
  <c r="V1415" i="2"/>
  <c r="V1416" i="2"/>
  <c r="V1417" i="2"/>
  <c r="V1418" i="2"/>
  <c r="V1419" i="2"/>
  <c r="V1420" i="2"/>
  <c r="V1421" i="2"/>
  <c r="V1422" i="2"/>
  <c r="V1423" i="2"/>
  <c r="V1424" i="2"/>
  <c r="V1425" i="2"/>
  <c r="V1426" i="2"/>
  <c r="V1427" i="2"/>
  <c r="V1428" i="2"/>
  <c r="V1429" i="2"/>
  <c r="V1430" i="2"/>
  <c r="V1431" i="2"/>
  <c r="V1432" i="2"/>
  <c r="V1433" i="2"/>
  <c r="V1434" i="2"/>
  <c r="V1435" i="2"/>
  <c r="V1436" i="2"/>
  <c r="V1437" i="2"/>
  <c r="V1438" i="2"/>
  <c r="V1439" i="2"/>
  <c r="V1440" i="2"/>
  <c r="V1441" i="2"/>
  <c r="V1442" i="2"/>
  <c r="V1443" i="2"/>
  <c r="V1444" i="2"/>
  <c r="V1445" i="2"/>
  <c r="V1446" i="2"/>
  <c r="V1447" i="2"/>
  <c r="V1448" i="2"/>
  <c r="V1449" i="2"/>
  <c r="V1450" i="2"/>
  <c r="V1451" i="2"/>
  <c r="V1452" i="2"/>
  <c r="V1453" i="2"/>
  <c r="V1454" i="2"/>
  <c r="V1455" i="2"/>
  <c r="V1456" i="2"/>
  <c r="V1457" i="2"/>
  <c r="V1458" i="2"/>
  <c r="V1459" i="2"/>
  <c r="V1460" i="2"/>
  <c r="V1461" i="2"/>
  <c r="V1462" i="2"/>
  <c r="V1463" i="2"/>
  <c r="V1464" i="2"/>
  <c r="V1465" i="2"/>
  <c r="V1466" i="2"/>
  <c r="V1467" i="2"/>
  <c r="V1468" i="2"/>
  <c r="V1469" i="2"/>
  <c r="V1470" i="2"/>
  <c r="V1471" i="2"/>
  <c r="V1472" i="2"/>
  <c r="V1473" i="2"/>
  <c r="V1474" i="2"/>
  <c r="V1475" i="2"/>
  <c r="V1476" i="2"/>
  <c r="V1477" i="2"/>
  <c r="V1478" i="2"/>
  <c r="V1479" i="2"/>
  <c r="V1480" i="2"/>
  <c r="V1481" i="2"/>
  <c r="V1482" i="2"/>
  <c r="V1483" i="2"/>
  <c r="V1484" i="2"/>
  <c r="V1485" i="2"/>
  <c r="V1486" i="2"/>
  <c r="V1487" i="2"/>
  <c r="V1488" i="2"/>
  <c r="V1489" i="2"/>
  <c r="V1490" i="2"/>
  <c r="V1491" i="2"/>
  <c r="V1492" i="2"/>
  <c r="V1493" i="2"/>
  <c r="V1494" i="2"/>
  <c r="V1495" i="2"/>
  <c r="V1496" i="2"/>
  <c r="V1497" i="2"/>
  <c r="V1498" i="2"/>
  <c r="V1499" i="2"/>
  <c r="V1500" i="2"/>
  <c r="V1501" i="2"/>
  <c r="V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U519" i="2"/>
  <c r="U520" i="2"/>
  <c r="U521" i="2"/>
  <c r="U522" i="2"/>
  <c r="U523" i="2"/>
  <c r="U524" i="2"/>
  <c r="U525" i="2"/>
  <c r="U526" i="2"/>
  <c r="U527" i="2"/>
  <c r="U528" i="2"/>
  <c r="U529" i="2"/>
  <c r="U530" i="2"/>
  <c r="U531" i="2"/>
  <c r="U532" i="2"/>
  <c r="U533" i="2"/>
  <c r="U534" i="2"/>
  <c r="U535" i="2"/>
  <c r="U536" i="2"/>
  <c r="U537" i="2"/>
  <c r="U538" i="2"/>
  <c r="U539" i="2"/>
  <c r="U540" i="2"/>
  <c r="U541" i="2"/>
  <c r="U542" i="2"/>
  <c r="U543" i="2"/>
  <c r="U544" i="2"/>
  <c r="U545" i="2"/>
  <c r="U546" i="2"/>
  <c r="U547" i="2"/>
  <c r="U548" i="2"/>
  <c r="U549" i="2"/>
  <c r="U550" i="2"/>
  <c r="U551" i="2"/>
  <c r="U552" i="2"/>
  <c r="U553" i="2"/>
  <c r="U554" i="2"/>
  <c r="U555" i="2"/>
  <c r="U556" i="2"/>
  <c r="U557" i="2"/>
  <c r="U558" i="2"/>
  <c r="U559" i="2"/>
  <c r="U560" i="2"/>
  <c r="U561" i="2"/>
  <c r="U562" i="2"/>
  <c r="U563" i="2"/>
  <c r="U564" i="2"/>
  <c r="U565" i="2"/>
  <c r="U566" i="2"/>
  <c r="U567" i="2"/>
  <c r="U568" i="2"/>
  <c r="U569" i="2"/>
  <c r="U570" i="2"/>
  <c r="U571" i="2"/>
  <c r="U572" i="2"/>
  <c r="U573" i="2"/>
  <c r="U574" i="2"/>
  <c r="U575" i="2"/>
  <c r="U576" i="2"/>
  <c r="U577" i="2"/>
  <c r="U578" i="2"/>
  <c r="U579" i="2"/>
  <c r="U580" i="2"/>
  <c r="U581" i="2"/>
  <c r="U582" i="2"/>
  <c r="U583" i="2"/>
  <c r="U584" i="2"/>
  <c r="U585" i="2"/>
  <c r="U586" i="2"/>
  <c r="U587" i="2"/>
  <c r="U588" i="2"/>
  <c r="U589" i="2"/>
  <c r="U590" i="2"/>
  <c r="U591" i="2"/>
  <c r="U592" i="2"/>
  <c r="U593" i="2"/>
  <c r="U594" i="2"/>
  <c r="U595" i="2"/>
  <c r="U596" i="2"/>
  <c r="U597" i="2"/>
  <c r="U598" i="2"/>
  <c r="U599" i="2"/>
  <c r="U600" i="2"/>
  <c r="U601" i="2"/>
  <c r="U602" i="2"/>
  <c r="U603" i="2"/>
  <c r="U604" i="2"/>
  <c r="U605" i="2"/>
  <c r="U606" i="2"/>
  <c r="U607" i="2"/>
  <c r="U608" i="2"/>
  <c r="U609" i="2"/>
  <c r="U610" i="2"/>
  <c r="U611" i="2"/>
  <c r="U612" i="2"/>
  <c r="U613" i="2"/>
  <c r="U614" i="2"/>
  <c r="U615" i="2"/>
  <c r="U616" i="2"/>
  <c r="U617" i="2"/>
  <c r="U618" i="2"/>
  <c r="U619" i="2"/>
  <c r="U620" i="2"/>
  <c r="U621" i="2"/>
  <c r="U622" i="2"/>
  <c r="U623" i="2"/>
  <c r="U624" i="2"/>
  <c r="U625" i="2"/>
  <c r="U626" i="2"/>
  <c r="U627" i="2"/>
  <c r="U628" i="2"/>
  <c r="U629" i="2"/>
  <c r="U630" i="2"/>
  <c r="U631" i="2"/>
  <c r="U632" i="2"/>
  <c r="U633" i="2"/>
  <c r="U634" i="2"/>
  <c r="U635" i="2"/>
  <c r="U636" i="2"/>
  <c r="U637" i="2"/>
  <c r="U638" i="2"/>
  <c r="U639" i="2"/>
  <c r="U640" i="2"/>
  <c r="U641" i="2"/>
  <c r="U642" i="2"/>
  <c r="U643" i="2"/>
  <c r="U644" i="2"/>
  <c r="U645" i="2"/>
  <c r="U646" i="2"/>
  <c r="U647" i="2"/>
  <c r="U648" i="2"/>
  <c r="U649" i="2"/>
  <c r="U650" i="2"/>
  <c r="U651" i="2"/>
  <c r="U652" i="2"/>
  <c r="U653" i="2"/>
  <c r="U654" i="2"/>
  <c r="U655" i="2"/>
  <c r="U656" i="2"/>
  <c r="U657" i="2"/>
  <c r="U658" i="2"/>
  <c r="U659" i="2"/>
  <c r="U660" i="2"/>
  <c r="U661" i="2"/>
  <c r="U662" i="2"/>
  <c r="U663" i="2"/>
  <c r="U664" i="2"/>
  <c r="U665" i="2"/>
  <c r="U666" i="2"/>
  <c r="U667" i="2"/>
  <c r="U668" i="2"/>
  <c r="U669" i="2"/>
  <c r="U670" i="2"/>
  <c r="U671" i="2"/>
  <c r="U672" i="2"/>
  <c r="U673" i="2"/>
  <c r="U674" i="2"/>
  <c r="U675" i="2"/>
  <c r="U676" i="2"/>
  <c r="U677" i="2"/>
  <c r="U678" i="2"/>
  <c r="U679" i="2"/>
  <c r="U680" i="2"/>
  <c r="U681" i="2"/>
  <c r="U682" i="2"/>
  <c r="U683" i="2"/>
  <c r="U684" i="2"/>
  <c r="U685" i="2"/>
  <c r="U686" i="2"/>
  <c r="U687" i="2"/>
  <c r="U688" i="2"/>
  <c r="U689" i="2"/>
  <c r="U690" i="2"/>
  <c r="U691" i="2"/>
  <c r="U692" i="2"/>
  <c r="U693" i="2"/>
  <c r="U694" i="2"/>
  <c r="U695" i="2"/>
  <c r="U696" i="2"/>
  <c r="U697" i="2"/>
  <c r="U698" i="2"/>
  <c r="U699" i="2"/>
  <c r="U700" i="2"/>
  <c r="U701" i="2"/>
  <c r="U702" i="2"/>
  <c r="U703" i="2"/>
  <c r="U704" i="2"/>
  <c r="U705" i="2"/>
  <c r="U706" i="2"/>
  <c r="U707" i="2"/>
  <c r="U708" i="2"/>
  <c r="U709" i="2"/>
  <c r="U710" i="2"/>
  <c r="U711" i="2"/>
  <c r="U712" i="2"/>
  <c r="U713" i="2"/>
  <c r="U714" i="2"/>
  <c r="U715" i="2"/>
  <c r="U716" i="2"/>
  <c r="U717" i="2"/>
  <c r="U718" i="2"/>
  <c r="U719" i="2"/>
  <c r="U720" i="2"/>
  <c r="U721" i="2"/>
  <c r="U722" i="2"/>
  <c r="U723" i="2"/>
  <c r="U724" i="2"/>
  <c r="U725" i="2"/>
  <c r="U726" i="2"/>
  <c r="U727" i="2"/>
  <c r="U728" i="2"/>
  <c r="U729" i="2"/>
  <c r="U730" i="2"/>
  <c r="U731" i="2"/>
  <c r="U732" i="2"/>
  <c r="U733" i="2"/>
  <c r="U734" i="2"/>
  <c r="U735" i="2"/>
  <c r="U736" i="2"/>
  <c r="U737" i="2"/>
  <c r="U738" i="2"/>
  <c r="U739" i="2"/>
  <c r="U740" i="2"/>
  <c r="U741" i="2"/>
  <c r="U742" i="2"/>
  <c r="U743" i="2"/>
  <c r="U744" i="2"/>
  <c r="U745" i="2"/>
  <c r="U746" i="2"/>
  <c r="U747" i="2"/>
  <c r="U748" i="2"/>
  <c r="U749" i="2"/>
  <c r="U750" i="2"/>
  <c r="U751" i="2"/>
  <c r="U752" i="2"/>
  <c r="U753" i="2"/>
  <c r="U754" i="2"/>
  <c r="U755" i="2"/>
  <c r="U756" i="2"/>
  <c r="U757" i="2"/>
  <c r="U758" i="2"/>
  <c r="U759" i="2"/>
  <c r="U760" i="2"/>
  <c r="U761" i="2"/>
  <c r="U762" i="2"/>
  <c r="U763" i="2"/>
  <c r="U764" i="2"/>
  <c r="U765" i="2"/>
  <c r="U766" i="2"/>
  <c r="U767" i="2"/>
  <c r="U768" i="2"/>
  <c r="U769" i="2"/>
  <c r="U770" i="2"/>
  <c r="U771" i="2"/>
  <c r="U772" i="2"/>
  <c r="U773" i="2"/>
  <c r="U774" i="2"/>
  <c r="U775" i="2"/>
  <c r="U776" i="2"/>
  <c r="U777" i="2"/>
  <c r="U778" i="2"/>
  <c r="U779" i="2"/>
  <c r="U780" i="2"/>
  <c r="U781" i="2"/>
  <c r="U782" i="2"/>
  <c r="U783" i="2"/>
  <c r="U784" i="2"/>
  <c r="U785" i="2"/>
  <c r="U786" i="2"/>
  <c r="U787" i="2"/>
  <c r="U788" i="2"/>
  <c r="U789" i="2"/>
  <c r="U790" i="2"/>
  <c r="U791" i="2"/>
  <c r="U792" i="2"/>
  <c r="U793" i="2"/>
  <c r="U794" i="2"/>
  <c r="U795" i="2"/>
  <c r="U796" i="2"/>
  <c r="U797" i="2"/>
  <c r="U798" i="2"/>
  <c r="U799" i="2"/>
  <c r="U800" i="2"/>
  <c r="U801" i="2"/>
  <c r="U802" i="2"/>
  <c r="U803" i="2"/>
  <c r="U804" i="2"/>
  <c r="U805" i="2"/>
  <c r="U806" i="2"/>
  <c r="U807" i="2"/>
  <c r="U808" i="2"/>
  <c r="U809" i="2"/>
  <c r="U810" i="2"/>
  <c r="U811" i="2"/>
  <c r="U812" i="2"/>
  <c r="U813" i="2"/>
  <c r="U814" i="2"/>
  <c r="U815" i="2"/>
  <c r="U816" i="2"/>
  <c r="U817" i="2"/>
  <c r="U818" i="2"/>
  <c r="U819" i="2"/>
  <c r="U820" i="2"/>
  <c r="U821" i="2"/>
  <c r="U822" i="2"/>
  <c r="U823" i="2"/>
  <c r="U824" i="2"/>
  <c r="U825" i="2"/>
  <c r="U826" i="2"/>
  <c r="U827" i="2"/>
  <c r="U828" i="2"/>
  <c r="U829" i="2"/>
  <c r="U830" i="2"/>
  <c r="U831" i="2"/>
  <c r="U832" i="2"/>
  <c r="U833" i="2"/>
  <c r="U834" i="2"/>
  <c r="U835" i="2"/>
  <c r="U836" i="2"/>
  <c r="U837" i="2"/>
  <c r="U838" i="2"/>
  <c r="U839" i="2"/>
  <c r="U840" i="2"/>
  <c r="U841" i="2"/>
  <c r="U842" i="2"/>
  <c r="U843" i="2"/>
  <c r="U844" i="2"/>
  <c r="U845" i="2"/>
  <c r="U846" i="2"/>
  <c r="U847" i="2"/>
  <c r="U848" i="2"/>
  <c r="U849" i="2"/>
  <c r="U850" i="2"/>
  <c r="U851" i="2"/>
  <c r="U852" i="2"/>
  <c r="U853" i="2"/>
  <c r="U854" i="2"/>
  <c r="U855" i="2"/>
  <c r="U856" i="2"/>
  <c r="U857" i="2"/>
  <c r="U858" i="2"/>
  <c r="U859" i="2"/>
  <c r="U860" i="2"/>
  <c r="U861" i="2"/>
  <c r="U862" i="2"/>
  <c r="U863" i="2"/>
  <c r="U864" i="2"/>
  <c r="U865" i="2"/>
  <c r="U866" i="2"/>
  <c r="U867" i="2"/>
  <c r="U868" i="2"/>
  <c r="U869" i="2"/>
  <c r="U870" i="2"/>
  <c r="U871" i="2"/>
  <c r="U872" i="2"/>
  <c r="U873" i="2"/>
  <c r="U874" i="2"/>
  <c r="U875" i="2"/>
  <c r="U876" i="2"/>
  <c r="U877" i="2"/>
  <c r="U878" i="2"/>
  <c r="U879" i="2"/>
  <c r="U880" i="2"/>
  <c r="U881" i="2"/>
  <c r="U882" i="2"/>
  <c r="U883" i="2"/>
  <c r="U884" i="2"/>
  <c r="U885" i="2"/>
  <c r="U886" i="2"/>
  <c r="U887" i="2"/>
  <c r="U888" i="2"/>
  <c r="U889" i="2"/>
  <c r="U890" i="2"/>
  <c r="U891" i="2"/>
  <c r="U892" i="2"/>
  <c r="U893" i="2"/>
  <c r="U894" i="2"/>
  <c r="U895" i="2"/>
  <c r="U896" i="2"/>
  <c r="U897" i="2"/>
  <c r="U898" i="2"/>
  <c r="U899" i="2"/>
  <c r="U900" i="2"/>
  <c r="U901" i="2"/>
  <c r="U902" i="2"/>
  <c r="U903" i="2"/>
  <c r="U904" i="2"/>
  <c r="U905" i="2"/>
  <c r="U906" i="2"/>
  <c r="U907" i="2"/>
  <c r="U908" i="2"/>
  <c r="U909" i="2"/>
  <c r="U910" i="2"/>
  <c r="U911" i="2"/>
  <c r="U912" i="2"/>
  <c r="U913" i="2"/>
  <c r="U914" i="2"/>
  <c r="U915" i="2"/>
  <c r="U916" i="2"/>
  <c r="U917" i="2"/>
  <c r="U918" i="2"/>
  <c r="U919" i="2"/>
  <c r="U920" i="2"/>
  <c r="U921" i="2"/>
  <c r="U922" i="2"/>
  <c r="U923" i="2"/>
  <c r="U924" i="2"/>
  <c r="U925" i="2"/>
  <c r="U926" i="2"/>
  <c r="U927" i="2"/>
  <c r="U928" i="2"/>
  <c r="U929" i="2"/>
  <c r="U930" i="2"/>
  <c r="U931" i="2"/>
  <c r="U932" i="2"/>
  <c r="U933" i="2"/>
  <c r="U934" i="2"/>
  <c r="U935" i="2"/>
  <c r="U936" i="2"/>
  <c r="U937" i="2"/>
  <c r="U938" i="2"/>
  <c r="U939" i="2"/>
  <c r="U940" i="2"/>
  <c r="U941" i="2"/>
  <c r="U942" i="2"/>
  <c r="U943" i="2"/>
  <c r="U944" i="2"/>
  <c r="U945" i="2"/>
  <c r="U946" i="2"/>
  <c r="U947" i="2"/>
  <c r="U948" i="2"/>
  <c r="U949" i="2"/>
  <c r="U950" i="2"/>
  <c r="U951" i="2"/>
  <c r="U952" i="2"/>
  <c r="U953" i="2"/>
  <c r="U954" i="2"/>
  <c r="U955" i="2"/>
  <c r="U956" i="2"/>
  <c r="U957" i="2"/>
  <c r="U958" i="2"/>
  <c r="U959" i="2"/>
  <c r="U960" i="2"/>
  <c r="U961" i="2"/>
  <c r="U962" i="2"/>
  <c r="U963" i="2"/>
  <c r="U964" i="2"/>
  <c r="U965" i="2"/>
  <c r="U966" i="2"/>
  <c r="U967" i="2"/>
  <c r="U968" i="2"/>
  <c r="U969" i="2"/>
  <c r="U970" i="2"/>
  <c r="U971" i="2"/>
  <c r="U972" i="2"/>
  <c r="U973" i="2"/>
  <c r="U974" i="2"/>
  <c r="U975" i="2"/>
  <c r="U976" i="2"/>
  <c r="U977" i="2"/>
  <c r="U978" i="2"/>
  <c r="U979" i="2"/>
  <c r="U980" i="2"/>
  <c r="U981" i="2"/>
  <c r="U982" i="2"/>
  <c r="U983" i="2"/>
  <c r="U984" i="2"/>
  <c r="U985" i="2"/>
  <c r="U986" i="2"/>
  <c r="U987" i="2"/>
  <c r="U988" i="2"/>
  <c r="U989" i="2"/>
  <c r="U990" i="2"/>
  <c r="U991" i="2"/>
  <c r="U992" i="2"/>
  <c r="U993" i="2"/>
  <c r="U994" i="2"/>
  <c r="U995" i="2"/>
  <c r="U996" i="2"/>
  <c r="U997" i="2"/>
  <c r="U998" i="2"/>
  <c r="U999" i="2"/>
  <c r="U1000" i="2"/>
  <c r="U1001" i="2"/>
  <c r="U1002" i="2"/>
  <c r="U1003" i="2"/>
  <c r="U1004" i="2"/>
  <c r="U1005" i="2"/>
  <c r="U1006" i="2"/>
  <c r="U1007" i="2"/>
  <c r="U1008" i="2"/>
  <c r="U1009" i="2"/>
  <c r="U1010" i="2"/>
  <c r="U1011" i="2"/>
  <c r="U1012" i="2"/>
  <c r="U1013" i="2"/>
  <c r="U1014" i="2"/>
  <c r="U1015" i="2"/>
  <c r="U1016" i="2"/>
  <c r="U1017" i="2"/>
  <c r="U1018" i="2"/>
  <c r="U1019" i="2"/>
  <c r="U1020" i="2"/>
  <c r="U1021" i="2"/>
  <c r="U1022" i="2"/>
  <c r="U1023" i="2"/>
  <c r="U1024" i="2"/>
  <c r="U1025" i="2"/>
  <c r="U1026" i="2"/>
  <c r="U1027" i="2"/>
  <c r="U1028" i="2"/>
  <c r="U1029" i="2"/>
  <c r="U1030" i="2"/>
  <c r="U1031" i="2"/>
  <c r="U1032" i="2"/>
  <c r="U1033" i="2"/>
  <c r="U1034" i="2"/>
  <c r="U1035" i="2"/>
  <c r="U1036" i="2"/>
  <c r="U1037" i="2"/>
  <c r="U1038" i="2"/>
  <c r="U1039" i="2"/>
  <c r="U1040" i="2"/>
  <c r="U1041" i="2"/>
  <c r="U1042" i="2"/>
  <c r="U1043" i="2"/>
  <c r="U1044" i="2"/>
  <c r="U1045" i="2"/>
  <c r="U1046" i="2"/>
  <c r="U1047" i="2"/>
  <c r="U1048" i="2"/>
  <c r="U1049" i="2"/>
  <c r="U1050" i="2"/>
  <c r="U1051" i="2"/>
  <c r="U1052" i="2"/>
  <c r="U1053" i="2"/>
  <c r="U1054" i="2"/>
  <c r="U1055" i="2"/>
  <c r="U1056" i="2"/>
  <c r="U1057" i="2"/>
  <c r="U1058" i="2"/>
  <c r="U1059" i="2"/>
  <c r="U1060" i="2"/>
  <c r="U1061" i="2"/>
  <c r="U1062" i="2"/>
  <c r="U1063" i="2"/>
  <c r="U1064" i="2"/>
  <c r="U1065" i="2"/>
  <c r="U1066" i="2"/>
  <c r="U1067" i="2"/>
  <c r="U1068" i="2"/>
  <c r="U1069" i="2"/>
  <c r="U1070" i="2"/>
  <c r="U1071" i="2"/>
  <c r="U1072" i="2"/>
  <c r="U1073" i="2"/>
  <c r="U1074" i="2"/>
  <c r="U1075" i="2"/>
  <c r="U1076" i="2"/>
  <c r="U1077" i="2"/>
  <c r="U1078" i="2"/>
  <c r="U1079" i="2"/>
  <c r="U1080" i="2"/>
  <c r="U1081" i="2"/>
  <c r="U1082" i="2"/>
  <c r="U1083" i="2"/>
  <c r="U1084" i="2"/>
  <c r="U1085" i="2"/>
  <c r="U1086" i="2"/>
  <c r="U1087" i="2"/>
  <c r="U1088" i="2"/>
  <c r="U1089" i="2"/>
  <c r="U1090" i="2"/>
  <c r="U1091" i="2"/>
  <c r="U1092" i="2"/>
  <c r="U1093" i="2"/>
  <c r="U1094" i="2"/>
  <c r="U1095" i="2"/>
  <c r="U1096" i="2"/>
  <c r="U1097" i="2"/>
  <c r="U1098" i="2"/>
  <c r="U1099" i="2"/>
  <c r="U1100" i="2"/>
  <c r="U1101" i="2"/>
  <c r="U1102" i="2"/>
  <c r="U1103" i="2"/>
  <c r="U1104" i="2"/>
  <c r="U1105" i="2"/>
  <c r="U1106" i="2"/>
  <c r="U1107" i="2"/>
  <c r="U1108" i="2"/>
  <c r="U1109" i="2"/>
  <c r="U1110" i="2"/>
  <c r="U1111" i="2"/>
  <c r="U1112" i="2"/>
  <c r="U1113" i="2"/>
  <c r="U1114" i="2"/>
  <c r="U1115" i="2"/>
  <c r="U1116" i="2"/>
  <c r="U1117" i="2"/>
  <c r="U1118" i="2"/>
  <c r="U1119" i="2"/>
  <c r="U1120" i="2"/>
  <c r="U1121" i="2"/>
  <c r="U1122" i="2"/>
  <c r="U1123" i="2"/>
  <c r="U1124" i="2"/>
  <c r="U1125" i="2"/>
  <c r="U1126" i="2"/>
  <c r="U1127" i="2"/>
  <c r="U1128" i="2"/>
  <c r="U1129" i="2"/>
  <c r="U1130" i="2"/>
  <c r="U1131" i="2"/>
  <c r="U1132" i="2"/>
  <c r="U1133" i="2"/>
  <c r="U1134" i="2"/>
  <c r="U1135" i="2"/>
  <c r="U1136" i="2"/>
  <c r="U1137" i="2"/>
  <c r="U1138" i="2"/>
  <c r="U1139" i="2"/>
  <c r="U1140" i="2"/>
  <c r="U1141" i="2"/>
  <c r="U1142" i="2"/>
  <c r="U1143" i="2"/>
  <c r="U1144" i="2"/>
  <c r="U1145" i="2"/>
  <c r="U1146" i="2"/>
  <c r="U1147" i="2"/>
  <c r="U1148" i="2"/>
  <c r="U1149" i="2"/>
  <c r="U1150" i="2"/>
  <c r="U1151" i="2"/>
  <c r="U1152" i="2"/>
  <c r="U1153" i="2"/>
  <c r="U1154" i="2"/>
  <c r="U1155" i="2"/>
  <c r="U1156" i="2"/>
  <c r="U1157" i="2"/>
  <c r="U1158" i="2"/>
  <c r="U1159" i="2"/>
  <c r="U1160" i="2"/>
  <c r="U1161" i="2"/>
  <c r="U1162" i="2"/>
  <c r="U1163" i="2"/>
  <c r="U1164" i="2"/>
  <c r="U1165" i="2"/>
  <c r="U1166" i="2"/>
  <c r="U1167" i="2"/>
  <c r="U1168" i="2"/>
  <c r="U1169" i="2"/>
  <c r="U1170" i="2"/>
  <c r="U1171" i="2"/>
  <c r="U1172" i="2"/>
  <c r="U1173" i="2"/>
  <c r="U1174" i="2"/>
  <c r="U1175" i="2"/>
  <c r="U1176" i="2"/>
  <c r="U1177" i="2"/>
  <c r="U1178" i="2"/>
  <c r="U1179" i="2"/>
  <c r="U1180" i="2"/>
  <c r="U1181" i="2"/>
  <c r="U1182" i="2"/>
  <c r="U1183" i="2"/>
  <c r="U1184" i="2"/>
  <c r="U1185" i="2"/>
  <c r="U1186" i="2"/>
  <c r="U1187" i="2"/>
  <c r="U1188" i="2"/>
  <c r="U1189" i="2"/>
  <c r="U1190" i="2"/>
  <c r="U1191" i="2"/>
  <c r="U1192" i="2"/>
  <c r="U1193" i="2"/>
  <c r="U1194" i="2"/>
  <c r="U1195" i="2"/>
  <c r="U1196" i="2"/>
  <c r="U1197" i="2"/>
  <c r="U1198" i="2"/>
  <c r="U1199" i="2"/>
  <c r="U1200" i="2"/>
  <c r="U1201" i="2"/>
  <c r="U1202" i="2"/>
  <c r="U1203" i="2"/>
  <c r="U1204" i="2"/>
  <c r="U1205" i="2"/>
  <c r="U1206" i="2"/>
  <c r="U1207" i="2"/>
  <c r="U1208" i="2"/>
  <c r="U1209" i="2"/>
  <c r="U1210" i="2"/>
  <c r="U1211" i="2"/>
  <c r="U1212" i="2"/>
  <c r="U1213" i="2"/>
  <c r="U1214" i="2"/>
  <c r="U1215" i="2"/>
  <c r="U1216" i="2"/>
  <c r="U1217" i="2"/>
  <c r="U1218" i="2"/>
  <c r="U1219" i="2"/>
  <c r="U1220" i="2"/>
  <c r="U1221" i="2"/>
  <c r="U1222" i="2"/>
  <c r="U1223" i="2"/>
  <c r="U1224" i="2"/>
  <c r="U1225" i="2"/>
  <c r="U1226" i="2"/>
  <c r="U1227" i="2"/>
  <c r="U1228" i="2"/>
  <c r="U1229" i="2"/>
  <c r="U1230" i="2"/>
  <c r="U1231" i="2"/>
  <c r="U1232" i="2"/>
  <c r="U1233" i="2"/>
  <c r="U1234" i="2"/>
  <c r="U1235" i="2"/>
  <c r="U1236" i="2"/>
  <c r="U1237" i="2"/>
  <c r="U1238" i="2"/>
  <c r="U1239" i="2"/>
  <c r="U1240" i="2"/>
  <c r="U1241" i="2"/>
  <c r="U1242" i="2"/>
  <c r="U1243" i="2"/>
  <c r="U1244" i="2"/>
  <c r="U1245" i="2"/>
  <c r="U1246" i="2"/>
  <c r="U1247" i="2"/>
  <c r="U1248" i="2"/>
  <c r="U1249" i="2"/>
  <c r="U1250" i="2"/>
  <c r="U1251" i="2"/>
  <c r="U1252" i="2"/>
  <c r="U1253" i="2"/>
  <c r="U1254" i="2"/>
  <c r="U1255" i="2"/>
  <c r="U1256" i="2"/>
  <c r="U1257" i="2"/>
  <c r="U1258" i="2"/>
  <c r="U1259" i="2"/>
  <c r="U1260" i="2"/>
  <c r="U1261" i="2"/>
  <c r="U1262" i="2"/>
  <c r="U1263" i="2"/>
  <c r="U1264" i="2"/>
  <c r="U1265" i="2"/>
  <c r="U1266" i="2"/>
  <c r="U1267" i="2"/>
  <c r="U1268" i="2"/>
  <c r="U1269" i="2"/>
  <c r="U1270" i="2"/>
  <c r="U1271" i="2"/>
  <c r="U1272" i="2"/>
  <c r="U1273" i="2"/>
  <c r="U1274" i="2"/>
  <c r="U1275" i="2"/>
  <c r="U1276" i="2"/>
  <c r="U1277" i="2"/>
  <c r="U1278" i="2"/>
  <c r="U1279" i="2"/>
  <c r="U1280" i="2"/>
  <c r="U1281" i="2"/>
  <c r="U1282" i="2"/>
  <c r="U1283" i="2"/>
  <c r="U1284" i="2"/>
  <c r="U1285" i="2"/>
  <c r="U1286" i="2"/>
  <c r="U1287" i="2"/>
  <c r="U1288" i="2"/>
  <c r="U1289" i="2"/>
  <c r="U1290" i="2"/>
  <c r="U1291" i="2"/>
  <c r="U1292" i="2"/>
  <c r="U1293" i="2"/>
  <c r="U1294" i="2"/>
  <c r="U1295" i="2"/>
  <c r="U1296" i="2"/>
  <c r="U1297" i="2"/>
  <c r="U1298" i="2"/>
  <c r="U1299" i="2"/>
  <c r="U1300" i="2"/>
  <c r="U1301" i="2"/>
  <c r="U1302" i="2"/>
  <c r="U1303" i="2"/>
  <c r="U1304" i="2"/>
  <c r="U1305" i="2"/>
  <c r="U1306" i="2"/>
  <c r="U1307" i="2"/>
  <c r="U1308" i="2"/>
  <c r="U1309" i="2"/>
  <c r="U1310" i="2"/>
  <c r="U1311" i="2"/>
  <c r="U1312" i="2"/>
  <c r="U1313" i="2"/>
  <c r="U1314" i="2"/>
  <c r="U1315" i="2"/>
  <c r="U1316" i="2"/>
  <c r="U1317" i="2"/>
  <c r="U1318" i="2"/>
  <c r="U1319" i="2"/>
  <c r="U1320" i="2"/>
  <c r="U1321" i="2"/>
  <c r="U1322" i="2"/>
  <c r="U1323" i="2"/>
  <c r="U1324" i="2"/>
  <c r="U1325" i="2"/>
  <c r="U1326" i="2"/>
  <c r="U1327" i="2"/>
  <c r="U1328" i="2"/>
  <c r="U1329" i="2"/>
  <c r="U1330" i="2"/>
  <c r="U1331" i="2"/>
  <c r="U1332" i="2"/>
  <c r="U1333" i="2"/>
  <c r="U1334" i="2"/>
  <c r="U1335" i="2"/>
  <c r="U1336" i="2"/>
  <c r="U1337" i="2"/>
  <c r="U1338" i="2"/>
  <c r="U1339" i="2"/>
  <c r="U1340" i="2"/>
  <c r="U1341" i="2"/>
  <c r="U1342" i="2"/>
  <c r="U1343" i="2"/>
  <c r="U1344" i="2"/>
  <c r="U1345" i="2"/>
  <c r="U1346" i="2"/>
  <c r="U1347" i="2"/>
  <c r="U1348" i="2"/>
  <c r="U1349" i="2"/>
  <c r="U1350" i="2"/>
  <c r="U1351" i="2"/>
  <c r="U1352" i="2"/>
  <c r="U1353" i="2"/>
  <c r="U1354" i="2"/>
  <c r="U1355" i="2"/>
  <c r="U1356" i="2"/>
  <c r="U1357" i="2"/>
  <c r="U1358" i="2"/>
  <c r="U1359" i="2"/>
  <c r="U1360" i="2"/>
  <c r="U1361" i="2"/>
  <c r="U1362" i="2"/>
  <c r="U1363" i="2"/>
  <c r="U1364" i="2"/>
  <c r="U1365" i="2"/>
  <c r="U1366" i="2"/>
  <c r="U1367" i="2"/>
  <c r="U1368" i="2"/>
  <c r="U1369" i="2"/>
  <c r="U1370" i="2"/>
  <c r="U1371" i="2"/>
  <c r="U1372" i="2"/>
  <c r="U1373" i="2"/>
  <c r="U1374" i="2"/>
  <c r="U1375" i="2"/>
  <c r="U1376" i="2"/>
  <c r="U1377" i="2"/>
  <c r="U1378" i="2"/>
  <c r="U1379" i="2"/>
  <c r="U1380" i="2"/>
  <c r="U1381" i="2"/>
  <c r="U1382" i="2"/>
  <c r="U1383" i="2"/>
  <c r="U1384" i="2"/>
  <c r="U1385" i="2"/>
  <c r="U1386" i="2"/>
  <c r="U1387" i="2"/>
  <c r="U1388" i="2"/>
  <c r="U1389" i="2"/>
  <c r="U1390" i="2"/>
  <c r="U1391" i="2"/>
  <c r="U1392" i="2"/>
  <c r="U1393" i="2"/>
  <c r="U1394" i="2"/>
  <c r="U1395" i="2"/>
  <c r="U1396" i="2"/>
  <c r="U1397" i="2"/>
  <c r="U1398" i="2"/>
  <c r="U1399" i="2"/>
  <c r="U1400" i="2"/>
  <c r="U1401" i="2"/>
  <c r="U1402" i="2"/>
  <c r="U1403" i="2"/>
  <c r="U1404" i="2"/>
  <c r="U1405" i="2"/>
  <c r="U1406" i="2"/>
  <c r="U1407" i="2"/>
  <c r="U1408" i="2"/>
  <c r="U1409" i="2"/>
  <c r="U1410" i="2"/>
  <c r="U1411" i="2"/>
  <c r="U1412" i="2"/>
  <c r="U1413" i="2"/>
  <c r="U1414" i="2"/>
  <c r="U1415" i="2"/>
  <c r="U1416" i="2"/>
  <c r="U1417" i="2"/>
  <c r="U1418" i="2"/>
  <c r="U1419" i="2"/>
  <c r="U1420" i="2"/>
  <c r="U1421" i="2"/>
  <c r="U1422" i="2"/>
  <c r="U1423" i="2"/>
  <c r="U1424" i="2"/>
  <c r="U1425" i="2"/>
  <c r="U1426" i="2"/>
  <c r="U1427" i="2"/>
  <c r="U1428" i="2"/>
  <c r="U1429" i="2"/>
  <c r="U1430" i="2"/>
  <c r="U1431" i="2"/>
  <c r="U1432" i="2"/>
  <c r="U1433" i="2"/>
  <c r="U1434" i="2"/>
  <c r="U1435" i="2"/>
  <c r="U1436" i="2"/>
  <c r="U1437" i="2"/>
  <c r="U1438" i="2"/>
  <c r="U1439" i="2"/>
  <c r="U1440" i="2"/>
  <c r="U1441" i="2"/>
  <c r="U1442" i="2"/>
  <c r="U1443" i="2"/>
  <c r="U1444" i="2"/>
  <c r="U1445" i="2"/>
  <c r="U1446" i="2"/>
  <c r="U1447" i="2"/>
  <c r="U1448" i="2"/>
  <c r="U1449" i="2"/>
  <c r="U1450" i="2"/>
  <c r="U1451" i="2"/>
  <c r="U1452" i="2"/>
  <c r="U1453" i="2"/>
  <c r="U1454" i="2"/>
  <c r="U1455" i="2"/>
  <c r="U1456" i="2"/>
  <c r="U1457" i="2"/>
  <c r="U1458" i="2"/>
  <c r="U1459" i="2"/>
  <c r="U1460" i="2"/>
  <c r="U1461" i="2"/>
  <c r="U1462" i="2"/>
  <c r="U1463" i="2"/>
  <c r="U1464" i="2"/>
  <c r="U1465" i="2"/>
  <c r="U1466" i="2"/>
  <c r="U1467" i="2"/>
  <c r="U1468" i="2"/>
  <c r="U1469" i="2"/>
  <c r="U1470" i="2"/>
  <c r="U1471" i="2"/>
  <c r="U1472" i="2"/>
  <c r="U1473" i="2"/>
  <c r="U1474" i="2"/>
  <c r="U1475" i="2"/>
  <c r="U1476" i="2"/>
  <c r="U1477" i="2"/>
  <c r="U1478" i="2"/>
  <c r="U1479" i="2"/>
  <c r="U1480" i="2"/>
  <c r="U1481" i="2"/>
  <c r="U1482" i="2"/>
  <c r="U1483" i="2"/>
  <c r="U1484" i="2"/>
  <c r="U1485" i="2"/>
  <c r="U1486" i="2"/>
  <c r="U1487" i="2"/>
  <c r="U1488" i="2"/>
  <c r="U1489" i="2"/>
  <c r="U1490" i="2"/>
  <c r="U1491" i="2"/>
  <c r="U1492" i="2"/>
  <c r="U1493" i="2"/>
  <c r="U1494" i="2"/>
  <c r="U1495" i="2"/>
  <c r="U1496" i="2"/>
  <c r="U1497" i="2"/>
  <c r="U1498" i="2"/>
  <c r="U1499" i="2"/>
  <c r="U1500" i="2"/>
  <c r="U1501" i="2"/>
  <c r="U2" i="2"/>
</calcChain>
</file>

<file path=xl/sharedStrings.xml><?xml version="1.0" encoding="utf-8"?>
<sst xmlns="http://schemas.openxmlformats.org/spreadsheetml/2006/main" count="33309" uniqueCount="483">
  <si>
    <t>Inspection_ID</t>
  </si>
  <si>
    <t>Inspection_Date</t>
  </si>
  <si>
    <t>Plant</t>
  </si>
  <si>
    <t>Production_Line</t>
  </si>
  <si>
    <t>Product</t>
  </si>
  <si>
    <t>Shift</t>
  </si>
  <si>
    <t>Machine_ID</t>
  </si>
  <si>
    <t>Operator_ID</t>
  </si>
  <si>
    <t>Batch_ID</t>
  </si>
  <si>
    <t>Production_Qty</t>
  </si>
  <si>
    <t>Defect_Qty</t>
  </si>
  <si>
    <t>Defect_Type</t>
  </si>
  <si>
    <t>Downtime_Min</t>
  </si>
  <si>
    <t>Cycle_Time_Sec</t>
  </si>
  <si>
    <t>Temperature_C</t>
  </si>
  <si>
    <t>Pressure_Bar</t>
  </si>
  <si>
    <t>Vibration_mm_s</t>
  </si>
  <si>
    <t>Material_Batch</t>
  </si>
  <si>
    <t>Supplier</t>
  </si>
  <si>
    <t>Inspection_Status</t>
  </si>
  <si>
    <t>Plant A</t>
  </si>
  <si>
    <t>Line 4</t>
  </si>
  <si>
    <t>Widget A</t>
  </si>
  <si>
    <t>Morning</t>
  </si>
  <si>
    <t>M-09</t>
  </si>
  <si>
    <t>OP-128</t>
  </si>
  <si>
    <t>B1005</t>
  </si>
  <si>
    <t>Color Defect</t>
  </si>
  <si>
    <t>MB-211</t>
  </si>
  <si>
    <t>Supplier Y</t>
  </si>
  <si>
    <t>Pass</t>
  </si>
  <si>
    <t>Plant C</t>
  </si>
  <si>
    <t>Line 3</t>
  </si>
  <si>
    <t>Widget B</t>
  </si>
  <si>
    <t>M-04</t>
  </si>
  <si>
    <t>OP-149</t>
  </si>
  <si>
    <t>B1194</t>
  </si>
  <si>
    <t>Dent</t>
  </si>
  <si>
    <t>MB-200</t>
  </si>
  <si>
    <t>Supplier Z</t>
  </si>
  <si>
    <t>Widget C</t>
  </si>
  <si>
    <t>Evening</t>
  </si>
  <si>
    <t>M-02</t>
  </si>
  <si>
    <t>OP-142</t>
  </si>
  <si>
    <t>B1165</t>
  </si>
  <si>
    <t>Scratch</t>
  </si>
  <si>
    <t>MB-202</t>
  </si>
  <si>
    <t>Supplier W</t>
  </si>
  <si>
    <t>Review</t>
  </si>
  <si>
    <t>Plant B</t>
  </si>
  <si>
    <t>M-07</t>
  </si>
  <si>
    <t>OP-117</t>
  </si>
  <si>
    <t>B1070</t>
  </si>
  <si>
    <t>MB-208</t>
  </si>
  <si>
    <t>M-12</t>
  </si>
  <si>
    <t>OP-130</t>
  </si>
  <si>
    <t>B1003</t>
  </si>
  <si>
    <t>Assembly Error</t>
  </si>
  <si>
    <t>MB-221</t>
  </si>
  <si>
    <t>Line 2</t>
  </si>
  <si>
    <t>M-10</t>
  </si>
  <si>
    <t>OP-135</t>
  </si>
  <si>
    <t>B1128</t>
  </si>
  <si>
    <t>MB-203</t>
  </si>
  <si>
    <t>Line 1</t>
  </si>
  <si>
    <t>NIGHT</t>
  </si>
  <si>
    <t>OP-147</t>
  </si>
  <si>
    <t>B1062</t>
  </si>
  <si>
    <t>Dimension Error</t>
  </si>
  <si>
    <t>OP-143</t>
  </si>
  <si>
    <t>B1016</t>
  </si>
  <si>
    <t>Crack</t>
  </si>
  <si>
    <t>MB-227</t>
  </si>
  <si>
    <t>Supplier X</t>
  </si>
  <si>
    <t>M-06</t>
  </si>
  <si>
    <t>OP-139</t>
  </si>
  <si>
    <t>B1152</t>
  </si>
  <si>
    <t>MB-235</t>
  </si>
  <si>
    <t>OP-123</t>
  </si>
  <si>
    <t>B1104</t>
  </si>
  <si>
    <t>MB-241</t>
  </si>
  <si>
    <t>Night</t>
  </si>
  <si>
    <t>OP-114</t>
  </si>
  <si>
    <t>B1119</t>
  </si>
  <si>
    <t>MB-237</t>
  </si>
  <si>
    <t>OP-131</t>
  </si>
  <si>
    <t>B1039</t>
  </si>
  <si>
    <t>MB-244</t>
  </si>
  <si>
    <t>OP-118</t>
  </si>
  <si>
    <t>M-01</t>
  </si>
  <si>
    <t>OP-145</t>
  </si>
  <si>
    <t>B1146</t>
  </si>
  <si>
    <t>MB-205</t>
  </si>
  <si>
    <t>OP-126</t>
  </si>
  <si>
    <t>B1135</t>
  </si>
  <si>
    <t>M-03</t>
  </si>
  <si>
    <t>OP-122</t>
  </si>
  <si>
    <t>B1030</t>
  </si>
  <si>
    <t>MORNING</t>
  </si>
  <si>
    <t>OP-101</t>
  </si>
  <si>
    <t>B1035</t>
  </si>
  <si>
    <t>OP-110</t>
  </si>
  <si>
    <t>B1164</t>
  </si>
  <si>
    <t>MB-225</t>
  </si>
  <si>
    <t>B1167</t>
  </si>
  <si>
    <t>MB-220</t>
  </si>
  <si>
    <t>plant b</t>
  </si>
  <si>
    <t>Widget D</t>
  </si>
  <si>
    <t>EVENING</t>
  </si>
  <si>
    <t>M-05</t>
  </si>
  <si>
    <t>B1117</t>
  </si>
  <si>
    <t>MB-232</t>
  </si>
  <si>
    <t>morning</t>
  </si>
  <si>
    <t>M-11</t>
  </si>
  <si>
    <t>OP-119</t>
  </si>
  <si>
    <t>B1125</t>
  </si>
  <si>
    <t>OP-107</t>
  </si>
  <si>
    <t>B1048</t>
  </si>
  <si>
    <t>B1133</t>
  </si>
  <si>
    <t>MB-223</t>
  </si>
  <si>
    <t>OP-136</t>
  </si>
  <si>
    <t>B1145</t>
  </si>
  <si>
    <t>MB-214</t>
  </si>
  <si>
    <t>OP-108</t>
  </si>
  <si>
    <t>B1130</t>
  </si>
  <si>
    <t>MB-230</t>
  </si>
  <si>
    <t>OP-109</t>
  </si>
  <si>
    <t>B1153</t>
  </si>
  <si>
    <t>MB-247</t>
  </si>
  <si>
    <t>B1011</t>
  </si>
  <si>
    <t>MB-234</t>
  </si>
  <si>
    <t>OP-105</t>
  </si>
  <si>
    <t>B1136</t>
  </si>
  <si>
    <t>MB-243</t>
  </si>
  <si>
    <t>M-08</t>
  </si>
  <si>
    <t>B1034</t>
  </si>
  <si>
    <t>B1126</t>
  </si>
  <si>
    <t>MB-201</t>
  </si>
  <si>
    <t>OP-150</t>
  </si>
  <si>
    <t>B1040</t>
  </si>
  <si>
    <t>MB-226</t>
  </si>
  <si>
    <t>OP-115</t>
  </si>
  <si>
    <t>B1195</t>
  </si>
  <si>
    <t>MB-212</t>
  </si>
  <si>
    <t>OP-116</t>
  </si>
  <si>
    <t>B1113</t>
  </si>
  <si>
    <t>B1076</t>
  </si>
  <si>
    <t>MB-233</t>
  </si>
  <si>
    <t>OP-129</t>
  </si>
  <si>
    <t>B1072</t>
  </si>
  <si>
    <t>Plant-C</t>
  </si>
  <si>
    <t>B1149</t>
  </si>
  <si>
    <t>MB-207</t>
  </si>
  <si>
    <t>MB-229</t>
  </si>
  <si>
    <t>B1008</t>
  </si>
  <si>
    <t>MB-218</t>
  </si>
  <si>
    <t>plant c</t>
  </si>
  <si>
    <t>B1190</t>
  </si>
  <si>
    <t>B1004</t>
  </si>
  <si>
    <t>MB-236</t>
  </si>
  <si>
    <t>B1111</t>
  </si>
  <si>
    <t>OP-141</t>
  </si>
  <si>
    <t>B1028</t>
  </si>
  <si>
    <t>B1014</t>
  </si>
  <si>
    <t>MB-219</t>
  </si>
  <si>
    <t>OP-138</t>
  </si>
  <si>
    <t>B1051</t>
  </si>
  <si>
    <t>MB-228</t>
  </si>
  <si>
    <t>B1063</t>
  </si>
  <si>
    <t>OP-144</t>
  </si>
  <si>
    <t>B1180</t>
  </si>
  <si>
    <t>B1102</t>
  </si>
  <si>
    <t>OP-134</t>
  </si>
  <si>
    <t>B1052</t>
  </si>
  <si>
    <t>MB-222</t>
  </si>
  <si>
    <t>OP-133</t>
  </si>
  <si>
    <t>B1018</t>
  </si>
  <si>
    <t>OP-132</t>
  </si>
  <si>
    <t>B1037</t>
  </si>
  <si>
    <t>MB-209</t>
  </si>
  <si>
    <t>OP-124</t>
  </si>
  <si>
    <t>B1150</t>
  </si>
  <si>
    <t>B1182</t>
  </si>
  <si>
    <t>MB-249</t>
  </si>
  <si>
    <t>MB-217</t>
  </si>
  <si>
    <t>B1084</t>
  </si>
  <si>
    <t>MB-250</t>
  </si>
  <si>
    <t>B1092</t>
  </si>
  <si>
    <t>B1124</t>
  </si>
  <si>
    <t>MB-204</t>
  </si>
  <si>
    <t>OP-104</t>
  </si>
  <si>
    <t>B1079</t>
  </si>
  <si>
    <t>OP-148</t>
  </si>
  <si>
    <t>OP-137</t>
  </si>
  <si>
    <t>B1156</t>
  </si>
  <si>
    <t>MB-224</t>
  </si>
  <si>
    <t>OP-113</t>
  </si>
  <si>
    <t>B1012</t>
  </si>
  <si>
    <t>B1172</t>
  </si>
  <si>
    <t>Plant-B</t>
  </si>
  <si>
    <t>OP-125</t>
  </si>
  <si>
    <t>B1154</t>
  </si>
  <si>
    <t>MB-231</t>
  </si>
  <si>
    <t>B1093</t>
  </si>
  <si>
    <t>B1186</t>
  </si>
  <si>
    <t>OP-140</t>
  </si>
  <si>
    <t>B1142</t>
  </si>
  <si>
    <t>PLANT B</t>
  </si>
  <si>
    <t>B1068</t>
  </si>
  <si>
    <t>MB-238</t>
  </si>
  <si>
    <t>B1025</t>
  </si>
  <si>
    <t>B1168</t>
  </si>
  <si>
    <t>B1175</t>
  </si>
  <si>
    <t>OP-106</t>
  </si>
  <si>
    <t>B1007</t>
  </si>
  <si>
    <t>OP-146</t>
  </si>
  <si>
    <t>MB-213</t>
  </si>
  <si>
    <t>B1002</t>
  </si>
  <si>
    <t>B1185</t>
  </si>
  <si>
    <t>B1162</t>
  </si>
  <si>
    <t>B1047</t>
  </si>
  <si>
    <t>B1073</t>
  </si>
  <si>
    <t>MB-239</t>
  </si>
  <si>
    <t>OP-121</t>
  </si>
  <si>
    <t>B1200</t>
  </si>
  <si>
    <t>B1083</t>
  </si>
  <si>
    <t>B1045</t>
  </si>
  <si>
    <t>MB-215</t>
  </si>
  <si>
    <t>B1192</t>
  </si>
  <si>
    <t>MB-246</t>
  </si>
  <si>
    <t>B1179</t>
  </si>
  <si>
    <t>B1189</t>
  </si>
  <si>
    <t>MB-240</t>
  </si>
  <si>
    <t>B1090</t>
  </si>
  <si>
    <t>B1161</t>
  </si>
  <si>
    <t>B1103</t>
  </si>
  <si>
    <t>B1110</t>
  </si>
  <si>
    <t>B1108</t>
  </si>
  <si>
    <t>B1159</t>
  </si>
  <si>
    <t>B1101</t>
  </si>
  <si>
    <t>MB-248</t>
  </si>
  <si>
    <t>B1050</t>
  </si>
  <si>
    <t>MB-242</t>
  </si>
  <si>
    <t>MB-245</t>
  </si>
  <si>
    <t>B1147</t>
  </si>
  <si>
    <t>MB-216</t>
  </si>
  <si>
    <t>B1131</t>
  </si>
  <si>
    <t>night</t>
  </si>
  <si>
    <t>B1098</t>
  </si>
  <si>
    <t>B1193</t>
  </si>
  <si>
    <t>20</t>
  </si>
  <si>
    <t>B1058</t>
  </si>
  <si>
    <t>OP-102</t>
  </si>
  <si>
    <t>B1096</t>
  </si>
  <si>
    <t>B1188</t>
  </si>
  <si>
    <t>B1191</t>
  </si>
  <si>
    <t>B1197</t>
  </si>
  <si>
    <t>B1055</t>
  </si>
  <si>
    <t>B1183</t>
  </si>
  <si>
    <t>B1138</t>
  </si>
  <si>
    <t>B1143</t>
  </si>
  <si>
    <t>B1091</t>
  </si>
  <si>
    <t>B1095</t>
  </si>
  <si>
    <t>OP-103</t>
  </si>
  <si>
    <t>B1166</t>
  </si>
  <si>
    <t>OP-112</t>
  </si>
  <si>
    <t>B1000</t>
  </si>
  <si>
    <t>MB-206</t>
  </si>
  <si>
    <t>B1178</t>
  </si>
  <si>
    <t>B1176</t>
  </si>
  <si>
    <t>B1129</t>
  </si>
  <si>
    <t>Plant-A</t>
  </si>
  <si>
    <t>B1010</t>
  </si>
  <si>
    <t>B1181</t>
  </si>
  <si>
    <t>evening</t>
  </si>
  <si>
    <t>B1116</t>
  </si>
  <si>
    <t>B1081</t>
  </si>
  <si>
    <t>PLANT C</t>
  </si>
  <si>
    <t>OP-120</t>
  </si>
  <si>
    <t>B1107</t>
  </si>
  <si>
    <t>MB-210</t>
  </si>
  <si>
    <t>B1054</t>
  </si>
  <si>
    <t>B1086</t>
  </si>
  <si>
    <t>B1049</t>
  </si>
  <si>
    <t>B1053</t>
  </si>
  <si>
    <t>B1115</t>
  </si>
  <si>
    <t>483</t>
  </si>
  <si>
    <t>OP-127</t>
  </si>
  <si>
    <t>68</t>
  </si>
  <si>
    <t>B1085</t>
  </si>
  <si>
    <t>B1059</t>
  </si>
  <si>
    <t>PLANT A</t>
  </si>
  <si>
    <t>11</t>
  </si>
  <si>
    <t>B1089</t>
  </si>
  <si>
    <t>B1158</t>
  </si>
  <si>
    <t>B1155</t>
  </si>
  <si>
    <t>B1177</t>
  </si>
  <si>
    <t>B1046</t>
  </si>
  <si>
    <t>B1196</t>
  </si>
  <si>
    <t>B1120</t>
  </si>
  <si>
    <t>46.8</t>
  </si>
  <si>
    <t>B1064</t>
  </si>
  <si>
    <t>B1031</t>
  </si>
  <si>
    <t>B1132</t>
  </si>
  <si>
    <t>B1114</t>
  </si>
  <si>
    <t>B1044</t>
  </si>
  <si>
    <t>B1067</t>
  </si>
  <si>
    <t>B1036</t>
  </si>
  <si>
    <t>B1038</t>
  </si>
  <si>
    <t>B1137</t>
  </si>
  <si>
    <t>B1121</t>
  </si>
  <si>
    <t>44.6</t>
  </si>
  <si>
    <t>B1075</t>
  </si>
  <si>
    <t>B1173</t>
  </si>
  <si>
    <t>B1043</t>
  </si>
  <si>
    <t>B1123</t>
  </si>
  <si>
    <t>B1163</t>
  </si>
  <si>
    <t>B1033</t>
  </si>
  <si>
    <t>B1057</t>
  </si>
  <si>
    <t>B1160</t>
  </si>
  <si>
    <t>82</t>
  </si>
  <si>
    <t>B1157</t>
  </si>
  <si>
    <t>B1112</t>
  </si>
  <si>
    <t>B1042</t>
  </si>
  <si>
    <t>B1094</t>
  </si>
  <si>
    <t>B1074</t>
  </si>
  <si>
    <t>B1198</t>
  </si>
  <si>
    <t>B1041</t>
  </si>
  <si>
    <t>B1088</t>
  </si>
  <si>
    <t>B1015</t>
  </si>
  <si>
    <t>B1109</t>
  </si>
  <si>
    <t>B1105</t>
  </si>
  <si>
    <t>B1100</t>
  </si>
  <si>
    <t>B1151</t>
  </si>
  <si>
    <t>B1013</t>
  </si>
  <si>
    <t>B1127</t>
  </si>
  <si>
    <t>B1082</t>
  </si>
  <si>
    <t>B1187</t>
  </si>
  <si>
    <t>B1061</t>
  </si>
  <si>
    <t>B1174</t>
  </si>
  <si>
    <t>B1087</t>
  </si>
  <si>
    <t>50</t>
  </si>
  <si>
    <t>1481</t>
  </si>
  <si>
    <t>B1078</t>
  </si>
  <si>
    <t>B1141</t>
  </si>
  <si>
    <t>B1020</t>
  </si>
  <si>
    <t>B1032</t>
  </si>
  <si>
    <t>B1024</t>
  </si>
  <si>
    <t>B1060</t>
  </si>
  <si>
    <t>B1077</t>
  </si>
  <si>
    <t>3</t>
  </si>
  <si>
    <t>OP-111</t>
  </si>
  <si>
    <t>B1097</t>
  </si>
  <si>
    <t>B1122</t>
  </si>
  <si>
    <t>B1029</t>
  </si>
  <si>
    <t>B1140</t>
  </si>
  <si>
    <t>B1171</t>
  </si>
  <si>
    <t>B1169</t>
  </si>
  <si>
    <t>B1009</t>
  </si>
  <si>
    <t>B1144</t>
  </si>
  <si>
    <t>plant a</t>
  </si>
  <si>
    <t>B1069</t>
  </si>
  <si>
    <t>B1184</t>
  </si>
  <si>
    <t>719</t>
  </si>
  <si>
    <t>B1056</t>
  </si>
  <si>
    <t>B1148</t>
  </si>
  <si>
    <t>B1118</t>
  </si>
  <si>
    <t>B1199</t>
  </si>
  <si>
    <t>B1071</t>
  </si>
  <si>
    <t>40.6</t>
  </si>
  <si>
    <t>B1021</t>
  </si>
  <si>
    <t>B1001</t>
  </si>
  <si>
    <t>B1026</t>
  </si>
  <si>
    <t>B1066</t>
  </si>
  <si>
    <t>B1139</t>
  </si>
  <si>
    <t>B1080</t>
  </si>
  <si>
    <t>B1170</t>
  </si>
  <si>
    <t>B1023</t>
  </si>
  <si>
    <t>B1022</t>
  </si>
  <si>
    <t>B1106</t>
  </si>
  <si>
    <t>B1065</t>
  </si>
  <si>
    <t>B1006</t>
  </si>
  <si>
    <t>34.9</t>
  </si>
  <si>
    <t>170</t>
  </si>
  <si>
    <t>B1099</t>
  </si>
  <si>
    <t>B1019</t>
  </si>
  <si>
    <t>55</t>
  </si>
  <si>
    <t>24</t>
  </si>
  <si>
    <t>B1017</t>
  </si>
  <si>
    <t>4</t>
  </si>
  <si>
    <t>676</t>
  </si>
  <si>
    <t>722</t>
  </si>
  <si>
    <t>128</t>
  </si>
  <si>
    <t>B1134</t>
  </si>
  <si>
    <t>40.9</t>
  </si>
  <si>
    <t>893</t>
  </si>
  <si>
    <t>43.1</t>
  </si>
  <si>
    <t>46.5</t>
  </si>
  <si>
    <t>164</t>
  </si>
  <si>
    <t>53.4</t>
  </si>
  <si>
    <t>19</t>
  </si>
  <si>
    <t>8</t>
  </si>
  <si>
    <t>108</t>
  </si>
  <si>
    <t>37</t>
  </si>
  <si>
    <t>B1027</t>
  </si>
  <si>
    <t>1022</t>
  </si>
  <si>
    <t>1526</t>
  </si>
  <si>
    <t>154</t>
  </si>
  <si>
    <t>749</t>
  </si>
  <si>
    <t>36</t>
  </si>
  <si>
    <t>1107</t>
  </si>
  <si>
    <t>49.5</t>
  </si>
  <si>
    <t>51</t>
  </si>
  <si>
    <t>40.0</t>
  </si>
  <si>
    <t>Issue</t>
  </si>
  <si>
    <t>Column(s)</t>
  </si>
  <si>
    <t>Action</t>
  </si>
  <si>
    <t>Duplicate records</t>
  </si>
  <si>
    <t>Missing values</t>
  </si>
  <si>
    <t>Inconsistent text</t>
  </si>
  <si>
    <t>Numeric values stored as text</t>
  </si>
  <si>
    <t>Inconsistent date formats</t>
  </si>
  <si>
    <t>Potential outliers</t>
  </si>
  <si>
    <t>10 exact duplicate records removed using Excel Remove Duplicates</t>
  </si>
  <si>
    <t>Unknown</t>
  </si>
  <si>
    <t>18 missing values replaced with "Unknown"</t>
  </si>
  <si>
    <t>15 missing values replaced with "Unknown"</t>
  </si>
  <si>
    <t>Missing values replaced with median temperature of 71.5°C</t>
  </si>
  <si>
    <t>15 missing values replaced with median pressure of 5.2 bar</t>
  </si>
  <si>
    <t>12 missing values replaced with "Unknown" because all corresponding records had Defect_Qty &gt; 0</t>
  </si>
  <si>
    <t>Standardized plant names to Plant A, Plant B, Plant C</t>
  </si>
  <si>
    <t>Standardized all shift names to Morning, Evening, and Night</t>
  </si>
  <si>
    <t>Converted numeric values stored as text to numeric format</t>
  </si>
  <si>
    <t>Verified Inspection_Date as a valid Excel date using ISNUMBER()</t>
  </si>
  <si>
    <t>Temperature_Flag</t>
  </si>
  <si>
    <t>Flagged values below 20°C or above 100°C for investigation</t>
  </si>
  <si>
    <t>Pressure_Flag</t>
  </si>
  <si>
    <t>Flagged values below 2 bar or above 10 bar for investigation</t>
  </si>
  <si>
    <t>Vibration_Flag</t>
  </si>
  <si>
    <t>Flagged values above 10 mm/s for investigation</t>
  </si>
  <si>
    <t>Column1</t>
  </si>
  <si>
    <t>Duplicate Inspection IDs</t>
  </si>
  <si>
    <t>Removed 2 additional duplicate IDs; 1,500 unique inspections remain</t>
  </si>
  <si>
    <t>KPI</t>
  </si>
  <si>
    <t>Value</t>
  </si>
  <si>
    <t>Total Inspections</t>
  </si>
  <si>
    <t>Total Production</t>
  </si>
  <si>
    <t>Total Defects</t>
  </si>
  <si>
    <t>Defect Rate</t>
  </si>
  <si>
    <t>Quality Rate</t>
  </si>
  <si>
    <t>Total Downtime (Min)</t>
  </si>
  <si>
    <t>Average Cycle Time (Sec)</t>
  </si>
  <si>
    <t>Average Temperature (°C)</t>
  </si>
  <si>
    <t>Average Pressure (Bar)</t>
  </si>
  <si>
    <t>Average Vibration (mm/s)</t>
  </si>
  <si>
    <t>Manufacturing Quality Analytics — KPI Summary</t>
  </si>
  <si>
    <t>Inspections</t>
  </si>
  <si>
    <t>Production</t>
  </si>
  <si>
    <t>Defects</t>
  </si>
  <si>
    <t>Downtime</t>
  </si>
  <si>
    <t>Production Line</t>
  </si>
  <si>
    <t>Defect Type</t>
  </si>
  <si>
    <t>Defect Count</t>
  </si>
  <si>
    <t>Defect %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</si>
  <si>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</si>
  <si>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</si>
  <si>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</si>
  <si>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</si>
  <si>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</si>
  <si>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</si>
  <si>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</si>
  <si>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</si>
  <si>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</si>
  <si>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</si>
  <si>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</si>
  <si>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</si>
  <si>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</si>
  <si>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Metric</t>
  </si>
  <si>
    <t>Investigate Count</t>
  </si>
  <si>
    <t>Normal Count</t>
  </si>
  <si>
    <t>Temperature</t>
  </si>
  <si>
    <t>Pressure</t>
  </si>
  <si>
    <t>Vibration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</si>
</sst>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/>
    <xf numFmtId="0" fontId="4" fillId="0" borderId="2" xfId="0" applyFont="1" applyBorder="1" applyAlignment="1">
      <alignment horizontal="center" vertical="top"/>
    </xf>
    <xf numFmtId="0" fontId="3" fillId="0" borderId="0" xfId="0" applyFont="1" applyAlignment="1">
      <alignment vertical="center" wrapText="1"/>
    </xf>
    <xf numFmtId="10" fontId="0" fillId="0" borderId="0" xfId="0" applyNumberFormat="1" applyAlignment="1">
      <alignment vertical="center" wrapText="1"/>
    </xf>
    <xf numFmtId="2" fontId="0" fillId="0" borderId="0" xfId="0" applyNumberFormat="1" applyAlignment="1">
      <alignment vertical="center" wrapText="1"/>
    </xf>
    <xf numFmtId="0" fontId="0" fillId="0" borderId="0" xfId="0" applyAlignment="1">
      <alignment horizontal="right" vertical="center" wrapText="1"/>
    </xf>
    <xf numFmtId="10" fontId="0" fillId="0" borderId="0" xfId="0" applyNumberFormat="1" applyAlignment="1">
      <alignment horizontal="right" vertical="center" wrapText="1"/>
    </xf>
    <xf numFmtId="10" fontId="0" fillId="0" borderId="0" xfId="1" applyNumberFormat="1" applyFont="1" applyAlignment="1">
      <alignment horizontal="right" vertical="center" wrapText="1"/>
    </xf>
    <xf numFmtId="0" fontId="0" fillId="0" borderId="0" xfId="0" applyAlignment="1">
      <alignment horizontal="left"/>
    </xf>
    <xf numFmtId="10" fontId="0" fillId="0" borderId="0" xfId="0" applyNumberFormat="1"/>
    <xf numFmtId="0" fontId="5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16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\-mm\-dd\ hh:mm:ss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EAB0F8A-9483-43C5-BE2F-4618754DE6B3}" name="Table2" displayName="Table2" ref="A1:X1501" totalsRowShown="0" headerRowDxfId="15">
  <autoFilter ref="A1:X1501" xr:uid="{BEAB0F8A-9483-43C5-BE2F-4618754DE6B3}"/>
  <tableColumns count="24">
    <tableColumn id="1" xr3:uid="{BF3BF76D-5182-4EE7-AF9D-E697606D6791}" name="Inspection_ID"/>
    <tableColumn id="2" xr3:uid="{D97C8D39-B1F2-469C-BEF2-F9FB0323531B}" name="Inspection_Date" dataDxfId="14"/>
    <tableColumn id="3" xr3:uid="{F5410EA0-BFE8-4C9C-9F0A-0FA317383EC1}" name="Plant"/>
    <tableColumn id="4" xr3:uid="{089C20F4-B404-4F8A-A01E-C1D28012F19C}" name="Production_Line"/>
    <tableColumn id="5" xr3:uid="{BDBD18AC-44B6-4CA8-B742-36BD202C1DF8}" name="Product"/>
    <tableColumn id="6" xr3:uid="{C82DA491-39CD-42CE-B3A8-0F0703418E5C}" name="Shift"/>
    <tableColumn id="7" xr3:uid="{C0DDB0BC-CCAB-4055-AEB4-7C4D11D2C4EE}" name="Machine_ID"/>
    <tableColumn id="8" xr3:uid="{E45FC978-631A-4901-9B12-9DD05D34767B}" name="Operator_ID"/>
    <tableColumn id="9" xr3:uid="{1C435E91-4527-438D-8FB4-EF569396D590}" name="Batch_ID"/>
    <tableColumn id="10" xr3:uid="{9102C86C-7288-4B3B-895E-9469AF5BD13E}" name="Production_Qty"/>
    <tableColumn id="11" xr3:uid="{14234CD6-42DC-4440-B393-7C0C4B10CA05}" name="Defect_Qty"/>
    <tableColumn id="12" xr3:uid="{D815307C-99C7-4E9B-A183-5EAD48DDBA2A}" name="Defect_Type"/>
    <tableColumn id="13" xr3:uid="{204E99AC-F5DD-4464-BD10-4CB6001D9E03}" name="Downtime_Min"/>
    <tableColumn id="14" xr3:uid="{73988B17-FC1E-4643-A258-F59C1911D44D}" name="Cycle_Time_Sec"/>
    <tableColumn id="15" xr3:uid="{9DE0F110-7B99-45EC-A1C8-6BB0CAA166A3}" name="Temperature_C"/>
    <tableColumn id="16" xr3:uid="{B9B78D8B-5B47-47CF-8EFD-A2C82B95E00D}" name="Pressure_Bar"/>
    <tableColumn id="17" xr3:uid="{6B9B320B-9D1D-4D72-A72E-8C3092B46E51}" name="Vibration_mm_s"/>
    <tableColumn id="18" xr3:uid="{6996872C-C470-478C-8B18-0150D8CEB0EC}" name="Material_Batch"/>
    <tableColumn id="19" xr3:uid="{E6520F87-F91E-4CD7-AA6F-22271D97E3BD}" name="Supplier"/>
    <tableColumn id="20" xr3:uid="{0BE2E8C9-B419-4E54-A545-3D6C97BD58EA}" name="Inspection_Status"/>
    <tableColumn id="21" xr3:uid="{F9505B18-CBE3-4D31-90D5-A9782C2C5E8B}" name="Temperature_Flag">
      <calculatedColumnFormula>IF(OR(O2&lt;20,O2&gt;100),"Investigate","Normal")</calculatedColumnFormula>
    </tableColumn>
    <tableColumn id="22" xr3:uid="{B3DD0891-9DA5-4237-8515-6D080B28ABA5}" name="Pressure_Flag" dataDxfId="13">
      <calculatedColumnFormula>IF(OR(P2&lt;2,P2&gt;10),"Investigate","Normal")</calculatedColumnFormula>
    </tableColumn>
    <tableColumn id="23" xr3:uid="{CA7F61C0-3D9A-412A-BC6A-20E9FC345688}" name="Vibration_Flag" dataDxfId="12">
      <calculatedColumnFormula>IF(Q2&gt;10,"Investigate","Normal")</calculatedColumnFormula>
    </tableColumn>
    <tableColumn id="24" xr3:uid="{D3EB69CB-76B4-471B-BD2B-D1BC8FC9C532}" name="Column1" dataDxfId="1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BD5392-B456-4EAF-8A5A-4FFB13BBD317}" name="Table1" displayName="Table1" ref="A1:C18" totalsRowShown="0" headerRowDxfId="10" dataDxfId="9">
  <tableColumns count="3">
    <tableColumn id="1" xr3:uid="{055D84A3-41FA-47D8-98AA-CC98A9B18DCC}" name="Issue" dataDxfId="8"/>
    <tableColumn id="2" xr3:uid="{C4839E52-8B1A-4F67-B959-D7818EF78EF1}" name="Column(s)" dataDxfId="7"/>
    <tableColumn id="3" xr3:uid="{245CB31C-D7E7-4876-9EBE-95123B6DEEFE}" name="Action" dataDxfId="6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7C49095-7B3C-4356-910C-3EE110970EDF}" name="Table3" displayName="Table3" ref="A2:B12" totalsRowShown="0" headerRowDxfId="5" dataDxfId="4">
  <tableColumns count="2">
    <tableColumn id="1" xr3:uid="{EB114A07-9404-457D-B02C-9E9A55991CA7}" name="KPI" dataDxfId="3"/>
    <tableColumn id="2" xr3:uid="{FDA2E995-6D59-430F-BD8A-3F66675E200B}" name="Value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13"/>
  <sheetViews>
    <sheetView workbookViewId="0">
      <selection activeCell="J1035" sqref="J1035"/>
    </sheetView>
  </sheetViews>
  <sheetFormatPr defaultRowHeight="14.4" x14ac:dyDescent="0.3"/>
  <cols>
    <col min="1" max="1" width="12.5546875" bestFit="1" customWidth="1"/>
    <col min="2" max="2" width="18.109375" bestFit="1" customWidth="1"/>
    <col min="3" max="3" width="7.88671875" bestFit="1" customWidth="1"/>
    <col min="4" max="4" width="14.88671875" bestFit="1" customWidth="1"/>
    <col min="5" max="5" width="8.44140625" bestFit="1" customWidth="1"/>
    <col min="6" max="6" width="9.5546875" bestFit="1" customWidth="1"/>
    <col min="7" max="7" width="11.109375" bestFit="1" customWidth="1"/>
    <col min="8" max="8" width="11.33203125" bestFit="1" customWidth="1"/>
    <col min="9" max="9" width="8.5546875" bestFit="1" customWidth="1"/>
    <col min="10" max="10" width="14.44140625" bestFit="1" customWidth="1"/>
    <col min="11" max="11" width="10.44140625" bestFit="1" customWidth="1"/>
    <col min="12" max="12" width="14.21875" bestFit="1" customWidth="1"/>
    <col min="13" max="13" width="14.109375" bestFit="1" customWidth="1"/>
    <col min="14" max="14" width="14.5546875" bestFit="1" customWidth="1"/>
    <col min="15" max="15" width="14.109375" bestFit="1" customWidth="1"/>
    <col min="16" max="16" width="11.88671875" bestFit="1" customWidth="1"/>
    <col min="17" max="17" width="15" bestFit="1" customWidth="1"/>
    <col min="18" max="18" width="13.88671875" bestFit="1" customWidth="1"/>
    <col min="19" max="19" width="9.6640625" bestFit="1" customWidth="1"/>
    <col min="20" max="20" width="16.10937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>
        <v>10908</v>
      </c>
      <c r="B2" s="2">
        <v>45934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>
        <v>1228</v>
      </c>
      <c r="K2">
        <v>10</v>
      </c>
      <c r="L2" t="s">
        <v>27</v>
      </c>
      <c r="M2">
        <v>116</v>
      </c>
      <c r="N2">
        <v>57</v>
      </c>
      <c r="O2">
        <v>58.8</v>
      </c>
      <c r="P2">
        <v>5.33</v>
      </c>
      <c r="Q2">
        <v>2.63</v>
      </c>
      <c r="R2" t="s">
        <v>28</v>
      </c>
      <c r="S2" t="s">
        <v>29</v>
      </c>
      <c r="T2" t="s">
        <v>30</v>
      </c>
    </row>
    <row r="3" spans="1:20" x14ac:dyDescent="0.3">
      <c r="A3">
        <v>10618</v>
      </c>
      <c r="B3" s="2">
        <v>45670</v>
      </c>
      <c r="C3" t="s">
        <v>31</v>
      </c>
      <c r="D3" t="s">
        <v>32</v>
      </c>
      <c r="E3" t="s">
        <v>33</v>
      </c>
      <c r="F3" t="s">
        <v>23</v>
      </c>
      <c r="G3" t="s">
        <v>34</v>
      </c>
      <c r="H3" t="s">
        <v>35</v>
      </c>
      <c r="I3" t="s">
        <v>36</v>
      </c>
      <c r="J3">
        <v>1296</v>
      </c>
      <c r="K3">
        <v>10</v>
      </c>
      <c r="L3" t="s">
        <v>37</v>
      </c>
      <c r="M3">
        <v>89</v>
      </c>
      <c r="N3">
        <v>35.700000000000003</v>
      </c>
      <c r="O3">
        <v>71.400000000000006</v>
      </c>
      <c r="P3">
        <v>5.12</v>
      </c>
      <c r="Q3">
        <v>4.8600000000000003</v>
      </c>
      <c r="R3" t="s">
        <v>38</v>
      </c>
      <c r="S3" t="s">
        <v>39</v>
      </c>
      <c r="T3" t="s">
        <v>30</v>
      </c>
    </row>
    <row r="4" spans="1:20" x14ac:dyDescent="0.3">
      <c r="A4">
        <v>11387</v>
      </c>
      <c r="B4" s="2">
        <v>45851</v>
      </c>
      <c r="C4" t="s">
        <v>20</v>
      </c>
      <c r="D4" t="s">
        <v>21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>
        <v>1284</v>
      </c>
      <c r="K4">
        <v>49</v>
      </c>
      <c r="L4" t="s">
        <v>45</v>
      </c>
      <c r="M4">
        <v>7</v>
      </c>
      <c r="N4">
        <v>40.700000000000003</v>
      </c>
      <c r="O4">
        <v>84.5</v>
      </c>
      <c r="P4">
        <v>6.13</v>
      </c>
      <c r="Q4">
        <v>3.13</v>
      </c>
      <c r="R4" t="s">
        <v>46</v>
      </c>
      <c r="S4" t="s">
        <v>47</v>
      </c>
      <c r="T4" t="s">
        <v>48</v>
      </c>
    </row>
    <row r="5" spans="1:20" x14ac:dyDescent="0.3">
      <c r="A5">
        <v>10942</v>
      </c>
      <c r="B5" s="2">
        <v>45837</v>
      </c>
      <c r="C5" t="s">
        <v>49</v>
      </c>
      <c r="D5" t="s">
        <v>21</v>
      </c>
      <c r="E5" t="s">
        <v>22</v>
      </c>
      <c r="F5" t="s">
        <v>23</v>
      </c>
      <c r="G5" t="s">
        <v>50</v>
      </c>
      <c r="H5" t="s">
        <v>51</v>
      </c>
      <c r="I5" t="s">
        <v>52</v>
      </c>
      <c r="J5">
        <v>874</v>
      </c>
      <c r="K5">
        <v>10</v>
      </c>
      <c r="L5" t="s">
        <v>37</v>
      </c>
      <c r="M5">
        <v>158</v>
      </c>
      <c r="N5">
        <v>13.5</v>
      </c>
      <c r="O5">
        <v>63.1</v>
      </c>
      <c r="P5">
        <v>3.78</v>
      </c>
      <c r="Q5">
        <v>4.0599999999999996</v>
      </c>
      <c r="R5" t="s">
        <v>53</v>
      </c>
      <c r="S5" t="s">
        <v>29</v>
      </c>
      <c r="T5" t="s">
        <v>30</v>
      </c>
    </row>
    <row r="6" spans="1:20" x14ac:dyDescent="0.3">
      <c r="A6">
        <v>10304</v>
      </c>
      <c r="B6" s="2">
        <v>45857</v>
      </c>
      <c r="C6" t="s">
        <v>31</v>
      </c>
      <c r="D6" t="s">
        <v>32</v>
      </c>
      <c r="E6" t="s">
        <v>40</v>
      </c>
      <c r="F6" t="s">
        <v>41</v>
      </c>
      <c r="G6" t="s">
        <v>54</v>
      </c>
      <c r="H6" t="s">
        <v>55</v>
      </c>
      <c r="I6" t="s">
        <v>56</v>
      </c>
      <c r="J6">
        <v>1381</v>
      </c>
      <c r="K6">
        <v>37</v>
      </c>
      <c r="L6" t="s">
        <v>57</v>
      </c>
      <c r="M6">
        <v>171</v>
      </c>
      <c r="N6">
        <v>41.6</v>
      </c>
      <c r="O6">
        <v>75.900000000000006</v>
      </c>
      <c r="P6">
        <v>5.43</v>
      </c>
      <c r="Q6">
        <v>0.6</v>
      </c>
      <c r="R6" t="s">
        <v>58</v>
      </c>
      <c r="S6" t="s">
        <v>39</v>
      </c>
      <c r="T6" t="s">
        <v>30</v>
      </c>
    </row>
    <row r="7" spans="1:20" x14ac:dyDescent="0.3">
      <c r="A7">
        <v>11480</v>
      </c>
      <c r="B7" s="2">
        <v>45856</v>
      </c>
      <c r="C7" t="s">
        <v>31</v>
      </c>
      <c r="D7" t="s">
        <v>59</v>
      </c>
      <c r="E7" t="s">
        <v>40</v>
      </c>
      <c r="F7" t="s">
        <v>41</v>
      </c>
      <c r="G7" t="s">
        <v>60</v>
      </c>
      <c r="H7" t="s">
        <v>61</v>
      </c>
      <c r="I7" t="s">
        <v>62</v>
      </c>
      <c r="J7">
        <v>1098</v>
      </c>
      <c r="K7">
        <v>5</v>
      </c>
      <c r="L7" t="s">
        <v>45</v>
      </c>
      <c r="M7">
        <v>49</v>
      </c>
      <c r="N7">
        <v>41.3</v>
      </c>
      <c r="O7">
        <v>69.400000000000006</v>
      </c>
      <c r="P7">
        <v>4.5599999999999996</v>
      </c>
      <c r="Q7">
        <v>0.73</v>
      </c>
      <c r="R7" t="s">
        <v>63</v>
      </c>
      <c r="S7" t="s">
        <v>39</v>
      </c>
      <c r="T7" t="s">
        <v>30</v>
      </c>
    </row>
    <row r="8" spans="1:20" x14ac:dyDescent="0.3">
      <c r="A8">
        <v>10176</v>
      </c>
      <c r="B8" s="2">
        <v>45825</v>
      </c>
      <c r="C8" t="s">
        <v>31</v>
      </c>
      <c r="D8" t="s">
        <v>64</v>
      </c>
      <c r="E8" t="s">
        <v>22</v>
      </c>
      <c r="F8" t="s">
        <v>65</v>
      </c>
      <c r="G8" t="s">
        <v>34</v>
      </c>
      <c r="H8" t="s">
        <v>66</v>
      </c>
      <c r="I8" t="s">
        <v>67</v>
      </c>
      <c r="J8">
        <v>1364</v>
      </c>
      <c r="K8">
        <v>13</v>
      </c>
      <c r="L8" t="s">
        <v>68</v>
      </c>
      <c r="M8">
        <v>114</v>
      </c>
      <c r="N8">
        <v>35.6</v>
      </c>
      <c r="O8">
        <v>65.3</v>
      </c>
      <c r="P8">
        <v>5.15</v>
      </c>
      <c r="Q8">
        <v>2.0099999999999998</v>
      </c>
      <c r="R8" t="s">
        <v>46</v>
      </c>
      <c r="S8" t="s">
        <v>29</v>
      </c>
      <c r="T8" t="s">
        <v>30</v>
      </c>
    </row>
    <row r="9" spans="1:20" x14ac:dyDescent="0.3">
      <c r="A9">
        <v>10343</v>
      </c>
      <c r="B9" s="2">
        <v>45673</v>
      </c>
      <c r="C9" t="s">
        <v>49</v>
      </c>
      <c r="D9" t="s">
        <v>21</v>
      </c>
      <c r="E9" t="s">
        <v>40</v>
      </c>
      <c r="F9" t="s">
        <v>41</v>
      </c>
      <c r="G9" t="s">
        <v>42</v>
      </c>
      <c r="H9" t="s">
        <v>69</v>
      </c>
      <c r="I9" t="s">
        <v>70</v>
      </c>
      <c r="J9">
        <v>1308</v>
      </c>
      <c r="K9">
        <v>16</v>
      </c>
      <c r="L9" t="s">
        <v>71</v>
      </c>
      <c r="M9">
        <v>36</v>
      </c>
      <c r="N9">
        <v>40.200000000000003</v>
      </c>
      <c r="O9">
        <v>59.2</v>
      </c>
      <c r="P9">
        <v>4.6100000000000003</v>
      </c>
      <c r="Q9">
        <v>3.52</v>
      </c>
      <c r="R9" t="s">
        <v>72</v>
      </c>
      <c r="S9" t="s">
        <v>73</v>
      </c>
      <c r="T9" t="s">
        <v>30</v>
      </c>
    </row>
    <row r="10" spans="1:20" x14ac:dyDescent="0.3">
      <c r="A10">
        <v>11309</v>
      </c>
      <c r="B10" s="2">
        <v>45916</v>
      </c>
      <c r="C10" t="s">
        <v>20</v>
      </c>
      <c r="D10" t="s">
        <v>32</v>
      </c>
      <c r="E10" t="s">
        <v>22</v>
      </c>
      <c r="F10" t="s">
        <v>41</v>
      </c>
      <c r="G10" t="s">
        <v>74</v>
      </c>
      <c r="H10" t="s">
        <v>75</v>
      </c>
      <c r="I10" t="s">
        <v>76</v>
      </c>
      <c r="J10">
        <v>916</v>
      </c>
      <c r="K10">
        <v>60</v>
      </c>
      <c r="L10" t="s">
        <v>45</v>
      </c>
      <c r="M10">
        <v>68</v>
      </c>
      <c r="N10">
        <v>49.8</v>
      </c>
      <c r="O10">
        <v>82.4</v>
      </c>
      <c r="P10">
        <v>3.78</v>
      </c>
      <c r="Q10">
        <v>3.32</v>
      </c>
      <c r="R10" t="s">
        <v>77</v>
      </c>
      <c r="S10" t="s">
        <v>73</v>
      </c>
      <c r="T10" t="s">
        <v>48</v>
      </c>
    </row>
    <row r="11" spans="1:20" x14ac:dyDescent="0.3">
      <c r="A11">
        <v>11230</v>
      </c>
      <c r="B11" s="2">
        <v>45933</v>
      </c>
      <c r="C11" t="s">
        <v>31</v>
      </c>
      <c r="D11" t="s">
        <v>64</v>
      </c>
      <c r="E11" t="s">
        <v>22</v>
      </c>
      <c r="F11" t="s">
        <v>23</v>
      </c>
      <c r="G11" t="s">
        <v>42</v>
      </c>
      <c r="H11" t="s">
        <v>78</v>
      </c>
      <c r="I11" t="s">
        <v>79</v>
      </c>
      <c r="J11">
        <v>650</v>
      </c>
      <c r="K11">
        <v>33</v>
      </c>
      <c r="L11" t="s">
        <v>37</v>
      </c>
      <c r="M11">
        <v>97</v>
      </c>
      <c r="N11">
        <v>31.8</v>
      </c>
      <c r="O11">
        <v>73.900000000000006</v>
      </c>
      <c r="P11">
        <v>5.07</v>
      </c>
      <c r="Q11">
        <v>4.0199999999999996</v>
      </c>
      <c r="R11" t="s">
        <v>80</v>
      </c>
      <c r="S11" t="s">
        <v>39</v>
      </c>
      <c r="T11" t="s">
        <v>48</v>
      </c>
    </row>
    <row r="12" spans="1:20" x14ac:dyDescent="0.3">
      <c r="A12">
        <v>10585</v>
      </c>
      <c r="B12" s="2">
        <v>45830</v>
      </c>
      <c r="C12" t="s">
        <v>20</v>
      </c>
      <c r="D12" t="s">
        <v>59</v>
      </c>
      <c r="E12" t="s">
        <v>40</v>
      </c>
      <c r="F12" t="s">
        <v>81</v>
      </c>
      <c r="G12" t="s">
        <v>74</v>
      </c>
      <c r="H12" t="s">
        <v>82</v>
      </c>
      <c r="I12" t="s">
        <v>83</v>
      </c>
      <c r="J12">
        <v>949</v>
      </c>
      <c r="K12">
        <v>11</v>
      </c>
      <c r="L12" t="s">
        <v>71</v>
      </c>
      <c r="M12">
        <v>156</v>
      </c>
      <c r="N12">
        <v>33.6</v>
      </c>
      <c r="O12">
        <v>56.1</v>
      </c>
      <c r="P12">
        <v>5.41</v>
      </c>
      <c r="Q12">
        <v>2.4700000000000002</v>
      </c>
      <c r="R12" t="s">
        <v>84</v>
      </c>
      <c r="S12" t="s">
        <v>39</v>
      </c>
      <c r="T12" t="s">
        <v>30</v>
      </c>
    </row>
    <row r="13" spans="1:20" x14ac:dyDescent="0.3">
      <c r="A13">
        <v>10549</v>
      </c>
      <c r="B13" s="2">
        <v>45947</v>
      </c>
      <c r="C13" t="s">
        <v>20</v>
      </c>
      <c r="D13" t="s">
        <v>64</v>
      </c>
      <c r="E13" t="s">
        <v>40</v>
      </c>
      <c r="F13" t="s">
        <v>41</v>
      </c>
      <c r="G13" t="s">
        <v>50</v>
      </c>
      <c r="H13" t="s">
        <v>85</v>
      </c>
      <c r="I13" t="s">
        <v>86</v>
      </c>
      <c r="J13">
        <v>929</v>
      </c>
      <c r="K13">
        <v>37</v>
      </c>
      <c r="L13" t="s">
        <v>71</v>
      </c>
      <c r="M13">
        <v>146</v>
      </c>
      <c r="N13">
        <v>31.2</v>
      </c>
      <c r="O13">
        <v>82.6</v>
      </c>
      <c r="P13">
        <v>6.46</v>
      </c>
      <c r="Q13">
        <v>1.85</v>
      </c>
      <c r="R13" t="s">
        <v>87</v>
      </c>
      <c r="S13" t="s">
        <v>73</v>
      </c>
      <c r="T13" t="s">
        <v>48</v>
      </c>
    </row>
    <row r="14" spans="1:20" x14ac:dyDescent="0.3">
      <c r="A14">
        <v>10311</v>
      </c>
      <c r="B14" s="2">
        <v>45709</v>
      </c>
      <c r="C14" t="s">
        <v>20</v>
      </c>
      <c r="D14" t="s">
        <v>59</v>
      </c>
      <c r="E14" t="s">
        <v>33</v>
      </c>
      <c r="F14" t="s">
        <v>41</v>
      </c>
      <c r="G14" t="s">
        <v>50</v>
      </c>
      <c r="H14" t="s">
        <v>88</v>
      </c>
      <c r="I14" t="s">
        <v>44</v>
      </c>
      <c r="J14">
        <v>663</v>
      </c>
      <c r="K14">
        <v>7</v>
      </c>
      <c r="L14" t="s">
        <v>45</v>
      </c>
      <c r="M14">
        <v>122</v>
      </c>
      <c r="N14">
        <v>41.1</v>
      </c>
      <c r="O14">
        <v>65.599999999999994</v>
      </c>
      <c r="P14">
        <v>5.52</v>
      </c>
      <c r="Q14">
        <v>0.81</v>
      </c>
      <c r="R14" t="s">
        <v>80</v>
      </c>
      <c r="S14" t="s">
        <v>39</v>
      </c>
      <c r="T14" t="s">
        <v>30</v>
      </c>
    </row>
    <row r="15" spans="1:20" x14ac:dyDescent="0.3">
      <c r="A15">
        <v>10567</v>
      </c>
      <c r="B15" s="2">
        <v>45680</v>
      </c>
      <c r="C15" t="s">
        <v>20</v>
      </c>
      <c r="D15" t="s">
        <v>32</v>
      </c>
      <c r="E15" t="s">
        <v>40</v>
      </c>
      <c r="F15" t="s">
        <v>41</v>
      </c>
      <c r="G15" t="s">
        <v>89</v>
      </c>
      <c r="H15" t="s">
        <v>90</v>
      </c>
      <c r="I15" t="s">
        <v>91</v>
      </c>
      <c r="J15">
        <v>984</v>
      </c>
      <c r="K15">
        <v>10</v>
      </c>
      <c r="L15" t="s">
        <v>57</v>
      </c>
      <c r="M15">
        <v>91</v>
      </c>
      <c r="N15">
        <v>42.5</v>
      </c>
      <c r="O15">
        <v>70</v>
      </c>
      <c r="P15">
        <v>5.85</v>
      </c>
      <c r="Q15">
        <v>1.5</v>
      </c>
      <c r="R15" t="s">
        <v>92</v>
      </c>
      <c r="S15" t="s">
        <v>39</v>
      </c>
      <c r="T15" t="s">
        <v>30</v>
      </c>
    </row>
    <row r="16" spans="1:20" x14ac:dyDescent="0.3">
      <c r="A16">
        <v>10562</v>
      </c>
      <c r="B16" s="2">
        <v>45777</v>
      </c>
      <c r="C16" t="s">
        <v>49</v>
      </c>
      <c r="D16" t="s">
        <v>21</v>
      </c>
      <c r="E16" t="s">
        <v>33</v>
      </c>
      <c r="F16" t="s">
        <v>41</v>
      </c>
      <c r="G16" t="s">
        <v>60</v>
      </c>
      <c r="H16" t="s">
        <v>93</v>
      </c>
      <c r="I16" t="s">
        <v>94</v>
      </c>
      <c r="J16">
        <v>1495</v>
      </c>
      <c r="K16">
        <v>17</v>
      </c>
      <c r="L16" t="s">
        <v>71</v>
      </c>
      <c r="M16">
        <v>12</v>
      </c>
      <c r="N16">
        <v>40.799999999999997</v>
      </c>
      <c r="O16">
        <v>72.2</v>
      </c>
      <c r="P16">
        <v>5.67</v>
      </c>
      <c r="Q16">
        <v>1</v>
      </c>
      <c r="R16" t="s">
        <v>58</v>
      </c>
      <c r="S16" t="s">
        <v>47</v>
      </c>
      <c r="T16" t="s">
        <v>30</v>
      </c>
    </row>
    <row r="17" spans="1:20" x14ac:dyDescent="0.3">
      <c r="A17">
        <v>10651</v>
      </c>
      <c r="B17" s="2">
        <v>45940</v>
      </c>
      <c r="C17" t="s">
        <v>20</v>
      </c>
      <c r="D17" t="s">
        <v>21</v>
      </c>
      <c r="E17" t="s">
        <v>40</v>
      </c>
      <c r="F17" t="s">
        <v>41</v>
      </c>
      <c r="G17" t="s">
        <v>95</v>
      </c>
      <c r="H17" t="s">
        <v>96</v>
      </c>
      <c r="I17" t="s">
        <v>97</v>
      </c>
      <c r="J17">
        <v>775</v>
      </c>
      <c r="K17">
        <v>19</v>
      </c>
      <c r="L17" t="s">
        <v>37</v>
      </c>
      <c r="M17">
        <v>7</v>
      </c>
      <c r="N17">
        <v>43.6</v>
      </c>
      <c r="O17">
        <v>74</v>
      </c>
      <c r="P17">
        <v>4.7699999999999996</v>
      </c>
      <c r="Q17">
        <v>4.09</v>
      </c>
      <c r="R17" t="s">
        <v>58</v>
      </c>
      <c r="S17" t="s">
        <v>47</v>
      </c>
      <c r="T17" t="s">
        <v>30</v>
      </c>
    </row>
    <row r="18" spans="1:20" x14ac:dyDescent="0.3">
      <c r="A18">
        <v>11254</v>
      </c>
      <c r="B18" s="2">
        <v>45867</v>
      </c>
      <c r="C18" t="s">
        <v>31</v>
      </c>
      <c r="D18" t="s">
        <v>59</v>
      </c>
      <c r="E18" t="s">
        <v>40</v>
      </c>
      <c r="F18" t="s">
        <v>98</v>
      </c>
      <c r="G18" t="s">
        <v>95</v>
      </c>
      <c r="H18" t="s">
        <v>99</v>
      </c>
      <c r="I18" t="s">
        <v>100</v>
      </c>
      <c r="J18">
        <v>552</v>
      </c>
      <c r="K18">
        <v>14</v>
      </c>
      <c r="L18" t="s">
        <v>71</v>
      </c>
      <c r="M18">
        <v>138</v>
      </c>
      <c r="N18">
        <v>40</v>
      </c>
      <c r="O18">
        <v>65</v>
      </c>
      <c r="P18">
        <v>5.77</v>
      </c>
      <c r="Q18">
        <v>3.37</v>
      </c>
      <c r="R18" t="s">
        <v>84</v>
      </c>
      <c r="S18" t="s">
        <v>39</v>
      </c>
      <c r="T18" t="s">
        <v>30</v>
      </c>
    </row>
    <row r="19" spans="1:20" x14ac:dyDescent="0.3">
      <c r="A19">
        <v>11092</v>
      </c>
      <c r="B19" s="2">
        <v>45723</v>
      </c>
      <c r="C19" t="s">
        <v>20</v>
      </c>
      <c r="D19" t="s">
        <v>59</v>
      </c>
      <c r="E19" t="s">
        <v>40</v>
      </c>
      <c r="F19" t="s">
        <v>41</v>
      </c>
      <c r="G19" t="s">
        <v>95</v>
      </c>
      <c r="H19" t="s">
        <v>101</v>
      </c>
      <c r="I19" t="s">
        <v>102</v>
      </c>
      <c r="J19">
        <v>1509</v>
      </c>
      <c r="K19">
        <v>11</v>
      </c>
      <c r="L19" t="s">
        <v>71</v>
      </c>
      <c r="M19">
        <v>131</v>
      </c>
      <c r="N19">
        <v>40.700000000000003</v>
      </c>
      <c r="O19">
        <v>71.099999999999994</v>
      </c>
      <c r="P19">
        <v>4.99</v>
      </c>
      <c r="Q19">
        <v>2.0699999999999998</v>
      </c>
      <c r="R19" t="s">
        <v>103</v>
      </c>
      <c r="S19" t="s">
        <v>39</v>
      </c>
      <c r="T19" t="s">
        <v>30</v>
      </c>
    </row>
    <row r="20" spans="1:20" x14ac:dyDescent="0.3">
      <c r="A20">
        <v>11349</v>
      </c>
      <c r="B20" s="2">
        <v>45836</v>
      </c>
      <c r="C20" t="s">
        <v>20</v>
      </c>
      <c r="D20" t="s">
        <v>32</v>
      </c>
      <c r="E20" t="s">
        <v>22</v>
      </c>
      <c r="F20" t="s">
        <v>41</v>
      </c>
      <c r="G20" t="s">
        <v>60</v>
      </c>
      <c r="H20" t="s">
        <v>93</v>
      </c>
      <c r="I20" t="s">
        <v>104</v>
      </c>
      <c r="J20">
        <v>673</v>
      </c>
      <c r="K20">
        <v>35</v>
      </c>
      <c r="L20" t="s">
        <v>27</v>
      </c>
      <c r="M20">
        <v>7</v>
      </c>
      <c r="N20">
        <v>35</v>
      </c>
      <c r="O20">
        <v>78.099999999999994</v>
      </c>
      <c r="P20">
        <v>5.55</v>
      </c>
      <c r="Q20">
        <v>2.41</v>
      </c>
      <c r="R20" t="s">
        <v>105</v>
      </c>
      <c r="S20" t="s">
        <v>29</v>
      </c>
      <c r="T20" t="s">
        <v>48</v>
      </c>
    </row>
    <row r="21" spans="1:20" x14ac:dyDescent="0.3">
      <c r="A21">
        <v>10988</v>
      </c>
      <c r="B21" s="2">
        <v>45756</v>
      </c>
      <c r="C21" t="s">
        <v>106</v>
      </c>
      <c r="D21" t="s">
        <v>64</v>
      </c>
      <c r="E21" t="s">
        <v>107</v>
      </c>
      <c r="F21" t="s">
        <v>108</v>
      </c>
      <c r="G21" t="s">
        <v>109</v>
      </c>
      <c r="H21" t="s">
        <v>90</v>
      </c>
      <c r="I21" t="s">
        <v>110</v>
      </c>
      <c r="J21">
        <v>1101</v>
      </c>
      <c r="K21">
        <v>92</v>
      </c>
      <c r="L21" t="s">
        <v>37</v>
      </c>
      <c r="M21">
        <v>56</v>
      </c>
      <c r="N21">
        <v>46.2</v>
      </c>
      <c r="O21">
        <v>68.599999999999994</v>
      </c>
      <c r="P21">
        <v>7.26</v>
      </c>
      <c r="Q21">
        <v>2.73</v>
      </c>
      <c r="R21" t="s">
        <v>111</v>
      </c>
      <c r="S21" t="s">
        <v>47</v>
      </c>
      <c r="T21" t="s">
        <v>48</v>
      </c>
    </row>
    <row r="22" spans="1:20" x14ac:dyDescent="0.3">
      <c r="A22">
        <v>11115</v>
      </c>
      <c r="B22" s="2">
        <v>45907</v>
      </c>
      <c r="C22" t="s">
        <v>31</v>
      </c>
      <c r="D22" t="s">
        <v>64</v>
      </c>
      <c r="E22" t="s">
        <v>40</v>
      </c>
      <c r="F22" t="s">
        <v>112</v>
      </c>
      <c r="G22" t="s">
        <v>113</v>
      </c>
      <c r="H22" t="s">
        <v>114</v>
      </c>
      <c r="I22" t="s">
        <v>115</v>
      </c>
      <c r="J22">
        <v>764</v>
      </c>
      <c r="K22">
        <v>3</v>
      </c>
      <c r="L22" t="s">
        <v>37</v>
      </c>
      <c r="M22">
        <v>85</v>
      </c>
      <c r="N22">
        <v>47.8</v>
      </c>
      <c r="O22">
        <v>57.6</v>
      </c>
      <c r="P22">
        <v>6.39</v>
      </c>
      <c r="Q22">
        <v>4.71</v>
      </c>
      <c r="R22" t="s">
        <v>80</v>
      </c>
      <c r="S22" t="s">
        <v>47</v>
      </c>
      <c r="T22" t="s">
        <v>30</v>
      </c>
    </row>
    <row r="23" spans="1:20" x14ac:dyDescent="0.3">
      <c r="A23">
        <v>10454</v>
      </c>
      <c r="B23" s="2">
        <v>45832</v>
      </c>
      <c r="C23" t="s">
        <v>31</v>
      </c>
      <c r="D23" t="s">
        <v>64</v>
      </c>
      <c r="E23" t="s">
        <v>22</v>
      </c>
      <c r="F23" t="s">
        <v>23</v>
      </c>
      <c r="G23" t="s">
        <v>42</v>
      </c>
      <c r="H23" t="s">
        <v>116</v>
      </c>
      <c r="I23" t="s">
        <v>117</v>
      </c>
      <c r="J23">
        <v>582</v>
      </c>
      <c r="K23">
        <v>5</v>
      </c>
      <c r="L23" t="s">
        <v>57</v>
      </c>
      <c r="M23">
        <v>20</v>
      </c>
      <c r="N23">
        <v>57</v>
      </c>
      <c r="P23">
        <v>3.61</v>
      </c>
      <c r="Q23">
        <v>1.1499999999999999</v>
      </c>
      <c r="R23" t="s">
        <v>103</v>
      </c>
      <c r="S23" t="s">
        <v>29</v>
      </c>
      <c r="T23" t="s">
        <v>30</v>
      </c>
    </row>
    <row r="24" spans="1:20" x14ac:dyDescent="0.3">
      <c r="A24">
        <v>10472</v>
      </c>
      <c r="B24" s="2">
        <v>45829</v>
      </c>
      <c r="C24" t="s">
        <v>20</v>
      </c>
      <c r="D24" t="s">
        <v>64</v>
      </c>
      <c r="E24" t="s">
        <v>107</v>
      </c>
      <c r="F24" t="s">
        <v>23</v>
      </c>
      <c r="G24" t="s">
        <v>50</v>
      </c>
      <c r="H24" t="s">
        <v>90</v>
      </c>
      <c r="I24" t="s">
        <v>118</v>
      </c>
      <c r="J24">
        <v>1518</v>
      </c>
      <c r="K24">
        <v>15</v>
      </c>
      <c r="L24" t="s">
        <v>57</v>
      </c>
      <c r="M24">
        <v>28</v>
      </c>
      <c r="N24">
        <v>46.8</v>
      </c>
      <c r="O24">
        <v>79.7</v>
      </c>
      <c r="P24">
        <v>4.22</v>
      </c>
      <c r="Q24">
        <v>5.22</v>
      </c>
      <c r="R24" t="s">
        <v>119</v>
      </c>
      <c r="S24" t="s">
        <v>47</v>
      </c>
      <c r="T24" t="s">
        <v>30</v>
      </c>
    </row>
    <row r="25" spans="1:20" x14ac:dyDescent="0.3">
      <c r="A25">
        <v>10325</v>
      </c>
      <c r="B25" s="2">
        <v>45726</v>
      </c>
      <c r="C25" t="s">
        <v>20</v>
      </c>
      <c r="D25" t="s">
        <v>59</v>
      </c>
      <c r="E25" t="s">
        <v>22</v>
      </c>
      <c r="F25" t="s">
        <v>41</v>
      </c>
      <c r="G25" t="s">
        <v>34</v>
      </c>
      <c r="H25" t="s">
        <v>120</v>
      </c>
      <c r="I25" t="s">
        <v>121</v>
      </c>
      <c r="J25">
        <v>1485</v>
      </c>
      <c r="K25">
        <v>51</v>
      </c>
      <c r="L25" t="s">
        <v>45</v>
      </c>
      <c r="M25">
        <v>13</v>
      </c>
      <c r="N25">
        <v>38.9</v>
      </c>
      <c r="O25">
        <v>64</v>
      </c>
      <c r="P25">
        <v>6.02</v>
      </c>
      <c r="Q25">
        <v>2.08</v>
      </c>
      <c r="R25" t="s">
        <v>122</v>
      </c>
      <c r="S25" t="s">
        <v>73</v>
      </c>
      <c r="T25" t="s">
        <v>48</v>
      </c>
    </row>
    <row r="26" spans="1:20" x14ac:dyDescent="0.3">
      <c r="A26">
        <v>10428</v>
      </c>
      <c r="B26" s="2">
        <v>45737</v>
      </c>
      <c r="C26" t="s">
        <v>49</v>
      </c>
      <c r="D26" t="s">
        <v>64</v>
      </c>
      <c r="E26" t="s">
        <v>33</v>
      </c>
      <c r="F26" t="s">
        <v>81</v>
      </c>
      <c r="G26" t="s">
        <v>74</v>
      </c>
      <c r="H26" t="s">
        <v>123</v>
      </c>
      <c r="I26" t="s">
        <v>124</v>
      </c>
      <c r="J26">
        <v>657</v>
      </c>
      <c r="K26">
        <v>8</v>
      </c>
      <c r="L26" t="s">
        <v>27</v>
      </c>
      <c r="M26">
        <v>29</v>
      </c>
      <c r="N26">
        <v>35.700000000000003</v>
      </c>
      <c r="O26">
        <v>80.599999999999994</v>
      </c>
      <c r="P26">
        <v>5.6</v>
      </c>
      <c r="Q26">
        <v>2.17</v>
      </c>
      <c r="R26" t="s">
        <v>125</v>
      </c>
      <c r="S26" t="s">
        <v>73</v>
      </c>
      <c r="T26" t="s">
        <v>30</v>
      </c>
    </row>
    <row r="27" spans="1:20" x14ac:dyDescent="0.3">
      <c r="A27">
        <v>11218</v>
      </c>
      <c r="B27" s="2">
        <v>46001</v>
      </c>
      <c r="C27" t="s">
        <v>49</v>
      </c>
      <c r="D27" t="s">
        <v>59</v>
      </c>
      <c r="E27" t="s">
        <v>107</v>
      </c>
      <c r="F27" t="s">
        <v>41</v>
      </c>
      <c r="G27" t="s">
        <v>89</v>
      </c>
      <c r="H27" t="s">
        <v>126</v>
      </c>
      <c r="I27" t="s">
        <v>127</v>
      </c>
      <c r="J27">
        <v>674</v>
      </c>
      <c r="K27">
        <v>11</v>
      </c>
      <c r="L27" t="s">
        <v>27</v>
      </c>
      <c r="M27">
        <v>28</v>
      </c>
      <c r="N27">
        <v>45.1</v>
      </c>
      <c r="O27">
        <v>63.6</v>
      </c>
      <c r="P27">
        <v>5.47</v>
      </c>
      <c r="Q27">
        <v>2.1800000000000002</v>
      </c>
      <c r="R27" t="s">
        <v>128</v>
      </c>
      <c r="S27" t="s">
        <v>73</v>
      </c>
      <c r="T27" t="s">
        <v>30</v>
      </c>
    </row>
    <row r="28" spans="1:20" x14ac:dyDescent="0.3">
      <c r="A28">
        <v>10462</v>
      </c>
      <c r="B28" s="2">
        <v>45909</v>
      </c>
      <c r="C28" t="s">
        <v>20</v>
      </c>
      <c r="D28" t="s">
        <v>21</v>
      </c>
      <c r="E28" t="s">
        <v>107</v>
      </c>
      <c r="F28" t="s">
        <v>23</v>
      </c>
      <c r="G28" t="s">
        <v>95</v>
      </c>
      <c r="H28" t="s">
        <v>66</v>
      </c>
      <c r="I28" t="s">
        <v>129</v>
      </c>
      <c r="J28">
        <v>768</v>
      </c>
      <c r="K28">
        <v>68</v>
      </c>
      <c r="L28" t="s">
        <v>27</v>
      </c>
      <c r="M28">
        <v>153</v>
      </c>
      <c r="N28">
        <v>46.3</v>
      </c>
      <c r="O28">
        <v>75.099999999999994</v>
      </c>
      <c r="P28">
        <v>4.97</v>
      </c>
      <c r="Q28">
        <v>3.63</v>
      </c>
      <c r="R28" t="s">
        <v>130</v>
      </c>
      <c r="S28" t="s">
        <v>73</v>
      </c>
      <c r="T28" t="s">
        <v>48</v>
      </c>
    </row>
    <row r="29" spans="1:20" x14ac:dyDescent="0.3">
      <c r="A29">
        <v>10307</v>
      </c>
      <c r="B29" s="2">
        <v>45795</v>
      </c>
      <c r="C29" t="s">
        <v>31</v>
      </c>
      <c r="D29" t="s">
        <v>21</v>
      </c>
      <c r="E29" t="s">
        <v>22</v>
      </c>
      <c r="F29" t="s">
        <v>23</v>
      </c>
      <c r="G29" t="s">
        <v>95</v>
      </c>
      <c r="H29" t="s">
        <v>131</v>
      </c>
      <c r="I29" t="s">
        <v>132</v>
      </c>
      <c r="J29">
        <v>958</v>
      </c>
      <c r="K29">
        <v>4</v>
      </c>
      <c r="L29" t="s">
        <v>68</v>
      </c>
      <c r="M29">
        <v>25</v>
      </c>
      <c r="N29">
        <v>44.1</v>
      </c>
      <c r="O29">
        <v>71.5</v>
      </c>
      <c r="P29">
        <v>4.29</v>
      </c>
      <c r="Q29">
        <v>1.82</v>
      </c>
      <c r="R29" t="s">
        <v>133</v>
      </c>
      <c r="S29" t="s">
        <v>73</v>
      </c>
      <c r="T29" t="s">
        <v>30</v>
      </c>
    </row>
    <row r="30" spans="1:20" x14ac:dyDescent="0.3">
      <c r="A30">
        <v>11465</v>
      </c>
      <c r="B30" s="2">
        <v>45929</v>
      </c>
      <c r="C30" t="s">
        <v>20</v>
      </c>
      <c r="D30" t="s">
        <v>32</v>
      </c>
      <c r="E30" t="s">
        <v>22</v>
      </c>
      <c r="F30" t="s">
        <v>23</v>
      </c>
      <c r="G30" t="s">
        <v>134</v>
      </c>
      <c r="H30" t="s">
        <v>88</v>
      </c>
      <c r="I30" t="s">
        <v>135</v>
      </c>
      <c r="J30">
        <v>700</v>
      </c>
      <c r="K30">
        <v>6</v>
      </c>
      <c r="L30" t="s">
        <v>27</v>
      </c>
      <c r="M30">
        <v>178</v>
      </c>
      <c r="N30">
        <v>26.5</v>
      </c>
      <c r="O30">
        <v>71.7</v>
      </c>
      <c r="P30">
        <v>4.33</v>
      </c>
      <c r="Q30">
        <v>2.94</v>
      </c>
      <c r="R30" t="s">
        <v>84</v>
      </c>
      <c r="S30" t="s">
        <v>47</v>
      </c>
      <c r="T30" t="s">
        <v>30</v>
      </c>
    </row>
    <row r="31" spans="1:20" x14ac:dyDescent="0.3">
      <c r="A31">
        <v>10799</v>
      </c>
      <c r="B31" s="2">
        <v>45676</v>
      </c>
      <c r="C31" t="s">
        <v>49</v>
      </c>
      <c r="D31" t="s">
        <v>32</v>
      </c>
      <c r="E31" t="s">
        <v>33</v>
      </c>
      <c r="F31" t="s">
        <v>81</v>
      </c>
      <c r="G31" t="s">
        <v>60</v>
      </c>
      <c r="H31" t="s">
        <v>61</v>
      </c>
      <c r="I31" t="s">
        <v>136</v>
      </c>
      <c r="J31">
        <v>625</v>
      </c>
      <c r="K31">
        <v>8</v>
      </c>
      <c r="L31" t="s">
        <v>27</v>
      </c>
      <c r="M31">
        <v>62</v>
      </c>
      <c r="N31">
        <v>51.1</v>
      </c>
      <c r="O31">
        <v>71.400000000000006</v>
      </c>
      <c r="P31">
        <v>5.37</v>
      </c>
      <c r="Q31">
        <v>2.69</v>
      </c>
      <c r="R31" t="s">
        <v>137</v>
      </c>
      <c r="S31" t="s">
        <v>47</v>
      </c>
      <c r="T31" t="s">
        <v>30</v>
      </c>
    </row>
    <row r="32" spans="1:20" x14ac:dyDescent="0.3">
      <c r="A32">
        <v>10310</v>
      </c>
      <c r="B32" s="2">
        <v>45727</v>
      </c>
      <c r="C32" t="s">
        <v>20</v>
      </c>
      <c r="D32" t="s">
        <v>32</v>
      </c>
      <c r="E32" t="s">
        <v>107</v>
      </c>
      <c r="F32" t="s">
        <v>41</v>
      </c>
      <c r="G32" t="s">
        <v>42</v>
      </c>
      <c r="H32" t="s">
        <v>138</v>
      </c>
      <c r="I32" t="s">
        <v>76</v>
      </c>
      <c r="J32">
        <v>1589</v>
      </c>
      <c r="K32">
        <v>14</v>
      </c>
      <c r="L32" t="s">
        <v>37</v>
      </c>
      <c r="M32">
        <v>144</v>
      </c>
      <c r="N32">
        <v>44.8</v>
      </c>
      <c r="O32">
        <v>77.7</v>
      </c>
      <c r="Q32">
        <v>2.44</v>
      </c>
      <c r="R32" t="s">
        <v>137</v>
      </c>
      <c r="S32" t="s">
        <v>47</v>
      </c>
      <c r="T32" t="s">
        <v>30</v>
      </c>
    </row>
    <row r="33" spans="1:20" x14ac:dyDescent="0.3">
      <c r="A33">
        <v>10352</v>
      </c>
      <c r="B33" s="2">
        <v>45947</v>
      </c>
      <c r="C33" t="s">
        <v>49</v>
      </c>
      <c r="D33" t="s">
        <v>32</v>
      </c>
      <c r="E33" t="s">
        <v>33</v>
      </c>
      <c r="F33" t="s">
        <v>41</v>
      </c>
      <c r="G33" t="s">
        <v>95</v>
      </c>
      <c r="H33" t="s">
        <v>88</v>
      </c>
      <c r="I33" t="s">
        <v>139</v>
      </c>
      <c r="J33">
        <v>829</v>
      </c>
      <c r="K33">
        <v>30</v>
      </c>
      <c r="L33" t="s">
        <v>57</v>
      </c>
      <c r="M33">
        <v>52</v>
      </c>
      <c r="N33">
        <v>42.8</v>
      </c>
      <c r="O33">
        <v>65</v>
      </c>
      <c r="P33">
        <v>4.9400000000000004</v>
      </c>
      <c r="Q33">
        <v>3.45</v>
      </c>
      <c r="R33" t="s">
        <v>140</v>
      </c>
      <c r="T33" t="s">
        <v>48</v>
      </c>
    </row>
    <row r="34" spans="1:20" x14ac:dyDescent="0.3">
      <c r="A34">
        <v>10827</v>
      </c>
      <c r="B34" s="2">
        <v>45794</v>
      </c>
      <c r="C34" t="s">
        <v>49</v>
      </c>
      <c r="D34" t="s">
        <v>21</v>
      </c>
      <c r="E34" t="s">
        <v>22</v>
      </c>
      <c r="F34" t="s">
        <v>81</v>
      </c>
      <c r="G34" t="s">
        <v>113</v>
      </c>
      <c r="H34" t="s">
        <v>141</v>
      </c>
      <c r="I34" t="s">
        <v>142</v>
      </c>
      <c r="J34">
        <v>581</v>
      </c>
      <c r="K34">
        <v>2</v>
      </c>
      <c r="L34" t="s">
        <v>71</v>
      </c>
      <c r="M34">
        <v>74</v>
      </c>
      <c r="N34">
        <v>43.6</v>
      </c>
      <c r="O34">
        <v>70</v>
      </c>
      <c r="P34">
        <v>5.19</v>
      </c>
      <c r="Q34">
        <v>4.57</v>
      </c>
      <c r="R34" t="s">
        <v>143</v>
      </c>
      <c r="S34" t="s">
        <v>39</v>
      </c>
      <c r="T34" t="s">
        <v>30</v>
      </c>
    </row>
    <row r="35" spans="1:20" x14ac:dyDescent="0.3">
      <c r="A35">
        <v>10142</v>
      </c>
      <c r="B35" s="2">
        <v>45720</v>
      </c>
      <c r="C35" t="s">
        <v>49</v>
      </c>
      <c r="D35" t="s">
        <v>32</v>
      </c>
      <c r="E35" t="s">
        <v>40</v>
      </c>
      <c r="F35" t="s">
        <v>23</v>
      </c>
      <c r="G35" t="s">
        <v>50</v>
      </c>
      <c r="H35" t="s">
        <v>144</v>
      </c>
      <c r="I35" t="s">
        <v>145</v>
      </c>
      <c r="J35">
        <v>960</v>
      </c>
      <c r="K35">
        <v>35</v>
      </c>
      <c r="L35" t="s">
        <v>71</v>
      </c>
      <c r="M35">
        <v>26</v>
      </c>
      <c r="N35">
        <v>49.9</v>
      </c>
      <c r="O35">
        <v>79.599999999999994</v>
      </c>
      <c r="P35">
        <v>4.58</v>
      </c>
      <c r="Q35">
        <v>3.25</v>
      </c>
      <c r="R35" t="s">
        <v>105</v>
      </c>
      <c r="S35" t="s">
        <v>47</v>
      </c>
      <c r="T35" t="s">
        <v>48</v>
      </c>
    </row>
    <row r="36" spans="1:20" x14ac:dyDescent="0.3">
      <c r="A36">
        <v>10953</v>
      </c>
      <c r="B36" s="2">
        <v>45727</v>
      </c>
      <c r="C36" t="s">
        <v>49</v>
      </c>
      <c r="D36" t="s">
        <v>21</v>
      </c>
      <c r="E36" t="s">
        <v>22</v>
      </c>
      <c r="F36" t="s">
        <v>23</v>
      </c>
      <c r="G36" t="s">
        <v>113</v>
      </c>
      <c r="H36" t="s">
        <v>126</v>
      </c>
      <c r="I36" t="s">
        <v>146</v>
      </c>
      <c r="J36">
        <v>473</v>
      </c>
      <c r="K36">
        <v>36</v>
      </c>
      <c r="L36" t="s">
        <v>71</v>
      </c>
      <c r="M36">
        <v>18</v>
      </c>
      <c r="N36">
        <v>44</v>
      </c>
      <c r="O36">
        <v>66.2</v>
      </c>
      <c r="P36">
        <v>4.7300000000000004</v>
      </c>
      <c r="Q36">
        <v>4.09</v>
      </c>
      <c r="R36" t="s">
        <v>147</v>
      </c>
      <c r="S36" t="s">
        <v>73</v>
      </c>
      <c r="T36" t="s">
        <v>48</v>
      </c>
    </row>
    <row r="37" spans="1:20" x14ac:dyDescent="0.3">
      <c r="A37">
        <v>10465</v>
      </c>
      <c r="B37" s="2">
        <v>45984</v>
      </c>
      <c r="C37" t="s">
        <v>49</v>
      </c>
      <c r="D37" t="s">
        <v>59</v>
      </c>
      <c r="E37" t="s">
        <v>33</v>
      </c>
      <c r="F37" t="s">
        <v>41</v>
      </c>
      <c r="G37" t="s">
        <v>60</v>
      </c>
      <c r="H37" t="s">
        <v>148</v>
      </c>
      <c r="I37" t="s">
        <v>149</v>
      </c>
      <c r="J37">
        <v>1069</v>
      </c>
      <c r="K37">
        <v>7</v>
      </c>
      <c r="L37" t="s">
        <v>45</v>
      </c>
      <c r="M37">
        <v>104</v>
      </c>
      <c r="N37">
        <v>42.5</v>
      </c>
      <c r="O37">
        <v>85.6</v>
      </c>
      <c r="P37">
        <v>3.71</v>
      </c>
      <c r="Q37">
        <v>1.25</v>
      </c>
      <c r="R37" t="s">
        <v>111</v>
      </c>
      <c r="S37" t="s">
        <v>29</v>
      </c>
      <c r="T37" t="s">
        <v>30</v>
      </c>
    </row>
    <row r="38" spans="1:20" x14ac:dyDescent="0.3">
      <c r="A38">
        <v>10722</v>
      </c>
      <c r="B38" s="2">
        <v>45928</v>
      </c>
      <c r="C38" t="s">
        <v>150</v>
      </c>
      <c r="D38" t="s">
        <v>32</v>
      </c>
      <c r="E38" t="s">
        <v>33</v>
      </c>
      <c r="F38" t="s">
        <v>41</v>
      </c>
      <c r="G38" t="s">
        <v>50</v>
      </c>
      <c r="H38" t="s">
        <v>88</v>
      </c>
      <c r="I38" t="s">
        <v>151</v>
      </c>
      <c r="J38">
        <v>700</v>
      </c>
      <c r="K38">
        <v>5</v>
      </c>
      <c r="L38" t="s">
        <v>57</v>
      </c>
      <c r="M38">
        <v>65</v>
      </c>
      <c r="N38">
        <v>42.2</v>
      </c>
      <c r="O38">
        <v>76.599999999999994</v>
      </c>
      <c r="P38">
        <v>5.63</v>
      </c>
      <c r="Q38">
        <v>0.09</v>
      </c>
      <c r="R38" t="s">
        <v>152</v>
      </c>
      <c r="S38" t="s">
        <v>73</v>
      </c>
      <c r="T38" t="s">
        <v>30</v>
      </c>
    </row>
    <row r="39" spans="1:20" x14ac:dyDescent="0.3">
      <c r="A39">
        <v>10721</v>
      </c>
      <c r="B39" s="2">
        <v>45724</v>
      </c>
      <c r="C39" t="s">
        <v>31</v>
      </c>
      <c r="D39" t="s">
        <v>59</v>
      </c>
      <c r="E39" t="s">
        <v>33</v>
      </c>
      <c r="F39" t="s">
        <v>81</v>
      </c>
      <c r="G39" t="s">
        <v>54</v>
      </c>
      <c r="H39" t="s">
        <v>101</v>
      </c>
      <c r="I39" t="s">
        <v>117</v>
      </c>
      <c r="J39">
        <v>1408</v>
      </c>
      <c r="K39">
        <v>5</v>
      </c>
      <c r="L39" t="s">
        <v>68</v>
      </c>
      <c r="M39">
        <v>19</v>
      </c>
      <c r="N39">
        <v>43.5</v>
      </c>
      <c r="P39">
        <v>7.37</v>
      </c>
      <c r="Q39">
        <v>1.0900000000000001</v>
      </c>
      <c r="R39" t="s">
        <v>153</v>
      </c>
      <c r="S39" t="s">
        <v>73</v>
      </c>
      <c r="T39" t="s">
        <v>30</v>
      </c>
    </row>
    <row r="40" spans="1:20" x14ac:dyDescent="0.3">
      <c r="A40">
        <v>11151</v>
      </c>
      <c r="B40" s="2">
        <v>45703</v>
      </c>
      <c r="C40" t="s">
        <v>31</v>
      </c>
      <c r="D40" t="s">
        <v>64</v>
      </c>
      <c r="E40" t="s">
        <v>33</v>
      </c>
      <c r="F40" t="s">
        <v>23</v>
      </c>
      <c r="G40" t="s">
        <v>54</v>
      </c>
      <c r="H40" t="s">
        <v>51</v>
      </c>
      <c r="I40" t="s">
        <v>154</v>
      </c>
      <c r="J40">
        <v>1039</v>
      </c>
      <c r="K40">
        <v>13</v>
      </c>
      <c r="L40" t="s">
        <v>27</v>
      </c>
      <c r="M40">
        <v>74</v>
      </c>
      <c r="N40">
        <v>38.200000000000003</v>
      </c>
      <c r="P40">
        <v>4.6100000000000003</v>
      </c>
      <c r="Q40">
        <v>2.78</v>
      </c>
      <c r="R40" t="s">
        <v>155</v>
      </c>
      <c r="S40" t="s">
        <v>73</v>
      </c>
      <c r="T40" t="s">
        <v>30</v>
      </c>
    </row>
    <row r="41" spans="1:20" x14ac:dyDescent="0.3">
      <c r="A41">
        <v>11007</v>
      </c>
      <c r="B41" s="2">
        <v>46012</v>
      </c>
      <c r="C41" t="s">
        <v>156</v>
      </c>
      <c r="D41" t="s">
        <v>64</v>
      </c>
      <c r="E41" t="s">
        <v>40</v>
      </c>
      <c r="F41" t="s">
        <v>23</v>
      </c>
      <c r="G41" t="s">
        <v>42</v>
      </c>
      <c r="H41" t="s">
        <v>78</v>
      </c>
      <c r="I41" t="s">
        <v>157</v>
      </c>
      <c r="J41">
        <v>1057</v>
      </c>
      <c r="K41">
        <v>14</v>
      </c>
      <c r="L41" t="s">
        <v>45</v>
      </c>
      <c r="M41">
        <v>51</v>
      </c>
      <c r="N41">
        <v>34.200000000000003</v>
      </c>
      <c r="O41">
        <v>71.7</v>
      </c>
      <c r="P41">
        <v>4.8499999999999996</v>
      </c>
      <c r="Q41">
        <v>4.07</v>
      </c>
      <c r="R41" t="s">
        <v>147</v>
      </c>
      <c r="S41" t="s">
        <v>39</v>
      </c>
      <c r="T41" t="s">
        <v>30</v>
      </c>
    </row>
    <row r="42" spans="1:20" x14ac:dyDescent="0.3">
      <c r="A42">
        <v>11179</v>
      </c>
      <c r="B42" s="2">
        <v>45941</v>
      </c>
      <c r="C42" t="s">
        <v>49</v>
      </c>
      <c r="D42" t="s">
        <v>21</v>
      </c>
      <c r="E42" t="s">
        <v>107</v>
      </c>
      <c r="F42" t="s">
        <v>81</v>
      </c>
      <c r="G42" t="s">
        <v>60</v>
      </c>
      <c r="I42" t="s">
        <v>158</v>
      </c>
      <c r="J42">
        <v>1369</v>
      </c>
      <c r="K42">
        <v>18</v>
      </c>
      <c r="L42" t="s">
        <v>57</v>
      </c>
      <c r="M42">
        <v>105</v>
      </c>
      <c r="N42">
        <v>40.700000000000003</v>
      </c>
      <c r="O42">
        <v>68.400000000000006</v>
      </c>
      <c r="P42">
        <v>5.82</v>
      </c>
      <c r="Q42">
        <v>4.37</v>
      </c>
      <c r="R42" t="s">
        <v>159</v>
      </c>
      <c r="S42" t="s">
        <v>73</v>
      </c>
      <c r="T42" t="s">
        <v>30</v>
      </c>
    </row>
    <row r="43" spans="1:20" x14ac:dyDescent="0.3">
      <c r="A43">
        <v>10599</v>
      </c>
      <c r="B43" s="2">
        <v>45938</v>
      </c>
      <c r="C43" t="s">
        <v>20</v>
      </c>
      <c r="D43" t="s">
        <v>32</v>
      </c>
      <c r="E43" t="s">
        <v>22</v>
      </c>
      <c r="F43" t="s">
        <v>23</v>
      </c>
      <c r="G43" t="s">
        <v>74</v>
      </c>
      <c r="H43" t="s">
        <v>35</v>
      </c>
      <c r="I43" t="s">
        <v>160</v>
      </c>
      <c r="J43">
        <v>648</v>
      </c>
      <c r="K43">
        <v>1</v>
      </c>
      <c r="L43" t="s">
        <v>57</v>
      </c>
      <c r="M43">
        <v>90</v>
      </c>
      <c r="N43">
        <v>32.6</v>
      </c>
      <c r="O43">
        <v>67.599999999999994</v>
      </c>
      <c r="P43">
        <v>4.83</v>
      </c>
      <c r="Q43">
        <v>3.73</v>
      </c>
      <c r="R43" t="s">
        <v>80</v>
      </c>
      <c r="S43" t="s">
        <v>29</v>
      </c>
      <c r="T43" t="s">
        <v>30</v>
      </c>
    </row>
    <row r="44" spans="1:20" x14ac:dyDescent="0.3">
      <c r="A44">
        <v>10808</v>
      </c>
      <c r="B44" s="2">
        <v>45953</v>
      </c>
      <c r="C44" t="s">
        <v>20</v>
      </c>
      <c r="D44" t="s">
        <v>32</v>
      </c>
      <c r="E44" t="s">
        <v>107</v>
      </c>
      <c r="F44" t="s">
        <v>41</v>
      </c>
      <c r="G44" t="s">
        <v>54</v>
      </c>
      <c r="H44" t="s">
        <v>161</v>
      </c>
      <c r="I44" t="s">
        <v>162</v>
      </c>
      <c r="J44">
        <v>1023</v>
      </c>
      <c r="K44">
        <v>3</v>
      </c>
      <c r="L44" t="s">
        <v>37</v>
      </c>
      <c r="M44">
        <v>27</v>
      </c>
      <c r="N44">
        <v>37.299999999999997</v>
      </c>
      <c r="O44">
        <v>71.3</v>
      </c>
      <c r="P44">
        <v>4.53</v>
      </c>
      <c r="Q44">
        <v>2.9</v>
      </c>
      <c r="R44" t="s">
        <v>159</v>
      </c>
      <c r="S44" t="s">
        <v>29</v>
      </c>
      <c r="T44" t="s">
        <v>30</v>
      </c>
    </row>
    <row r="45" spans="1:20" x14ac:dyDescent="0.3">
      <c r="A45">
        <v>10068</v>
      </c>
      <c r="B45" s="2">
        <v>45883</v>
      </c>
      <c r="C45" t="s">
        <v>20</v>
      </c>
      <c r="D45" t="s">
        <v>21</v>
      </c>
      <c r="E45" t="s">
        <v>22</v>
      </c>
      <c r="F45" t="s">
        <v>112</v>
      </c>
      <c r="G45" t="s">
        <v>24</v>
      </c>
      <c r="H45" t="s">
        <v>75</v>
      </c>
      <c r="I45" t="s">
        <v>163</v>
      </c>
      <c r="J45">
        <v>1506</v>
      </c>
      <c r="K45">
        <v>9</v>
      </c>
      <c r="L45" t="s">
        <v>37</v>
      </c>
      <c r="M45">
        <v>123</v>
      </c>
      <c r="N45">
        <v>38.200000000000003</v>
      </c>
      <c r="O45">
        <v>79</v>
      </c>
      <c r="P45">
        <v>5.57</v>
      </c>
      <c r="Q45">
        <v>3.44</v>
      </c>
      <c r="R45" t="s">
        <v>164</v>
      </c>
      <c r="S45" t="s">
        <v>29</v>
      </c>
      <c r="T45" t="s">
        <v>30</v>
      </c>
    </row>
    <row r="46" spans="1:20" x14ac:dyDescent="0.3">
      <c r="A46">
        <v>10900</v>
      </c>
      <c r="B46" s="2">
        <v>45761</v>
      </c>
      <c r="C46" t="s">
        <v>49</v>
      </c>
      <c r="D46" t="s">
        <v>64</v>
      </c>
      <c r="E46" t="s">
        <v>40</v>
      </c>
      <c r="F46" t="s">
        <v>41</v>
      </c>
      <c r="G46" t="s">
        <v>74</v>
      </c>
      <c r="H46" t="s">
        <v>165</v>
      </c>
      <c r="I46" t="s">
        <v>124</v>
      </c>
      <c r="J46">
        <v>1578</v>
      </c>
      <c r="K46">
        <v>19</v>
      </c>
      <c r="L46" t="s">
        <v>37</v>
      </c>
      <c r="M46">
        <v>116</v>
      </c>
      <c r="N46">
        <v>41.2</v>
      </c>
      <c r="O46">
        <v>80.400000000000006</v>
      </c>
      <c r="P46">
        <v>5.53</v>
      </c>
      <c r="Q46">
        <v>2.44</v>
      </c>
      <c r="R46" t="s">
        <v>119</v>
      </c>
      <c r="S46" t="s">
        <v>47</v>
      </c>
      <c r="T46" t="s">
        <v>30</v>
      </c>
    </row>
    <row r="47" spans="1:20" x14ac:dyDescent="0.3">
      <c r="A47">
        <v>10298</v>
      </c>
      <c r="B47" s="2">
        <v>45870</v>
      </c>
      <c r="C47" t="s">
        <v>20</v>
      </c>
      <c r="D47" t="s">
        <v>64</v>
      </c>
      <c r="E47" t="s">
        <v>22</v>
      </c>
      <c r="F47" t="s">
        <v>41</v>
      </c>
      <c r="G47" t="s">
        <v>24</v>
      </c>
      <c r="H47" t="s">
        <v>85</v>
      </c>
      <c r="I47" t="s">
        <v>166</v>
      </c>
      <c r="J47">
        <v>1140</v>
      </c>
      <c r="K47">
        <v>10</v>
      </c>
      <c r="L47" t="s">
        <v>57</v>
      </c>
      <c r="M47">
        <v>44</v>
      </c>
      <c r="N47">
        <v>39.1</v>
      </c>
      <c r="O47">
        <v>71.5</v>
      </c>
      <c r="P47">
        <v>5.52</v>
      </c>
      <c r="Q47">
        <v>3.09</v>
      </c>
      <c r="R47" t="s">
        <v>167</v>
      </c>
      <c r="S47" t="s">
        <v>39</v>
      </c>
      <c r="T47" t="s">
        <v>30</v>
      </c>
    </row>
    <row r="48" spans="1:20" x14ac:dyDescent="0.3">
      <c r="A48">
        <v>11280</v>
      </c>
      <c r="B48" s="2">
        <v>45727</v>
      </c>
      <c r="C48" t="s">
        <v>31</v>
      </c>
      <c r="D48" t="s">
        <v>32</v>
      </c>
      <c r="E48" t="s">
        <v>107</v>
      </c>
      <c r="F48" t="s">
        <v>41</v>
      </c>
      <c r="G48" t="s">
        <v>109</v>
      </c>
      <c r="H48" t="s">
        <v>123</v>
      </c>
      <c r="I48" t="s">
        <v>168</v>
      </c>
      <c r="J48">
        <v>894</v>
      </c>
      <c r="K48">
        <v>13</v>
      </c>
      <c r="L48" t="s">
        <v>68</v>
      </c>
      <c r="M48">
        <v>162</v>
      </c>
      <c r="N48">
        <v>42.9</v>
      </c>
      <c r="O48">
        <v>70.5</v>
      </c>
      <c r="P48">
        <v>6.1</v>
      </c>
      <c r="Q48">
        <v>2.63</v>
      </c>
      <c r="R48" t="s">
        <v>53</v>
      </c>
      <c r="S48" t="s">
        <v>39</v>
      </c>
      <c r="T48" t="s">
        <v>30</v>
      </c>
    </row>
    <row r="49" spans="1:20" x14ac:dyDescent="0.3">
      <c r="A49">
        <v>10272</v>
      </c>
      <c r="B49" s="2">
        <v>45731</v>
      </c>
      <c r="C49" t="s">
        <v>31</v>
      </c>
      <c r="D49" t="s">
        <v>64</v>
      </c>
      <c r="E49" t="s">
        <v>22</v>
      </c>
      <c r="F49" t="s">
        <v>81</v>
      </c>
      <c r="G49" t="s">
        <v>50</v>
      </c>
      <c r="H49" t="s">
        <v>169</v>
      </c>
      <c r="I49" t="s">
        <v>170</v>
      </c>
      <c r="J49">
        <v>941</v>
      </c>
      <c r="K49">
        <v>7</v>
      </c>
      <c r="L49" t="s">
        <v>68</v>
      </c>
      <c r="M49">
        <v>75</v>
      </c>
      <c r="N49">
        <v>49.4</v>
      </c>
      <c r="O49">
        <v>72.099999999999994</v>
      </c>
      <c r="P49">
        <v>6.91</v>
      </c>
      <c r="Q49">
        <v>1.41</v>
      </c>
      <c r="R49" t="s">
        <v>137</v>
      </c>
      <c r="S49" t="s">
        <v>29</v>
      </c>
      <c r="T49" t="s">
        <v>30</v>
      </c>
    </row>
    <row r="50" spans="1:20" x14ac:dyDescent="0.3">
      <c r="A50">
        <v>11085</v>
      </c>
      <c r="B50" s="2">
        <v>45857</v>
      </c>
      <c r="C50" t="s">
        <v>20</v>
      </c>
      <c r="D50" t="s">
        <v>64</v>
      </c>
      <c r="E50" t="s">
        <v>107</v>
      </c>
      <c r="F50" t="s">
        <v>41</v>
      </c>
      <c r="G50" t="s">
        <v>50</v>
      </c>
      <c r="H50" t="s">
        <v>51</v>
      </c>
      <c r="I50" t="s">
        <v>171</v>
      </c>
      <c r="J50">
        <v>739</v>
      </c>
      <c r="K50">
        <v>8</v>
      </c>
      <c r="L50" t="s">
        <v>27</v>
      </c>
      <c r="M50">
        <v>137</v>
      </c>
      <c r="N50">
        <v>35.200000000000003</v>
      </c>
      <c r="O50">
        <v>69.5</v>
      </c>
      <c r="P50">
        <v>6.78</v>
      </c>
      <c r="Q50">
        <v>1.33</v>
      </c>
      <c r="R50" t="s">
        <v>130</v>
      </c>
      <c r="S50" t="s">
        <v>73</v>
      </c>
      <c r="T50" t="s">
        <v>30</v>
      </c>
    </row>
    <row r="51" spans="1:20" x14ac:dyDescent="0.3">
      <c r="A51">
        <v>10052</v>
      </c>
      <c r="B51" s="2">
        <v>45677</v>
      </c>
      <c r="C51" t="s">
        <v>20</v>
      </c>
      <c r="D51" t="s">
        <v>64</v>
      </c>
      <c r="E51" t="s">
        <v>33</v>
      </c>
      <c r="F51" t="s">
        <v>41</v>
      </c>
      <c r="G51" t="s">
        <v>24</v>
      </c>
      <c r="H51" t="s">
        <v>172</v>
      </c>
      <c r="I51" t="s">
        <v>173</v>
      </c>
      <c r="J51">
        <v>1158</v>
      </c>
      <c r="K51">
        <v>7</v>
      </c>
      <c r="L51" t="s">
        <v>68</v>
      </c>
      <c r="M51">
        <v>176</v>
      </c>
      <c r="N51">
        <v>39.5</v>
      </c>
      <c r="O51">
        <v>74.099999999999994</v>
      </c>
      <c r="P51">
        <v>5.43</v>
      </c>
      <c r="Q51">
        <v>2.84</v>
      </c>
      <c r="R51" t="s">
        <v>174</v>
      </c>
      <c r="S51" t="s">
        <v>47</v>
      </c>
      <c r="T51" t="s">
        <v>30</v>
      </c>
    </row>
    <row r="52" spans="1:20" x14ac:dyDescent="0.3">
      <c r="A52">
        <v>10427</v>
      </c>
      <c r="B52" s="2">
        <v>45725</v>
      </c>
      <c r="C52" t="s">
        <v>31</v>
      </c>
      <c r="D52" t="s">
        <v>21</v>
      </c>
      <c r="E52" t="s">
        <v>22</v>
      </c>
      <c r="F52" t="s">
        <v>41</v>
      </c>
      <c r="G52" t="s">
        <v>113</v>
      </c>
      <c r="H52" t="s">
        <v>175</v>
      </c>
      <c r="I52" t="s">
        <v>176</v>
      </c>
      <c r="J52">
        <v>791</v>
      </c>
      <c r="K52">
        <v>3</v>
      </c>
      <c r="L52" t="s">
        <v>57</v>
      </c>
      <c r="M52">
        <v>153</v>
      </c>
      <c r="N52">
        <v>48.6</v>
      </c>
      <c r="O52">
        <v>81.5</v>
      </c>
      <c r="P52">
        <v>5.12</v>
      </c>
      <c r="Q52">
        <v>4.87</v>
      </c>
      <c r="R52" t="s">
        <v>87</v>
      </c>
      <c r="S52" t="s">
        <v>47</v>
      </c>
      <c r="T52" t="s">
        <v>30</v>
      </c>
    </row>
    <row r="53" spans="1:20" x14ac:dyDescent="0.3">
      <c r="A53">
        <v>10429</v>
      </c>
      <c r="B53" s="2">
        <v>45792</v>
      </c>
      <c r="C53" t="s">
        <v>49</v>
      </c>
      <c r="D53" t="s">
        <v>32</v>
      </c>
      <c r="E53" t="s">
        <v>22</v>
      </c>
      <c r="F53" t="s">
        <v>98</v>
      </c>
      <c r="G53" t="s">
        <v>24</v>
      </c>
      <c r="H53" t="s">
        <v>177</v>
      </c>
      <c r="I53" t="s">
        <v>178</v>
      </c>
      <c r="J53">
        <v>1072</v>
      </c>
      <c r="K53">
        <v>7</v>
      </c>
      <c r="L53" t="s">
        <v>57</v>
      </c>
      <c r="M53">
        <v>154</v>
      </c>
      <c r="N53">
        <v>39.799999999999997</v>
      </c>
      <c r="O53">
        <v>59.3</v>
      </c>
      <c r="P53">
        <v>6.11</v>
      </c>
      <c r="Q53">
        <v>1.88</v>
      </c>
      <c r="R53" t="s">
        <v>140</v>
      </c>
      <c r="S53" t="s">
        <v>73</v>
      </c>
      <c r="T53" t="s">
        <v>30</v>
      </c>
    </row>
    <row r="54" spans="1:20" x14ac:dyDescent="0.3">
      <c r="A54">
        <v>10241</v>
      </c>
      <c r="B54" s="2">
        <v>46015</v>
      </c>
      <c r="C54" t="s">
        <v>49</v>
      </c>
      <c r="D54" t="s">
        <v>32</v>
      </c>
      <c r="E54" t="s">
        <v>40</v>
      </c>
      <c r="F54" t="s">
        <v>41</v>
      </c>
      <c r="G54" t="s">
        <v>74</v>
      </c>
      <c r="H54" t="s">
        <v>165</v>
      </c>
      <c r="I54" t="s">
        <v>168</v>
      </c>
      <c r="J54">
        <v>1169</v>
      </c>
      <c r="K54">
        <v>4</v>
      </c>
      <c r="L54" t="s">
        <v>45</v>
      </c>
      <c r="M54">
        <v>91</v>
      </c>
      <c r="N54">
        <v>53.1</v>
      </c>
      <c r="O54">
        <v>67.3</v>
      </c>
      <c r="P54">
        <v>4.96</v>
      </c>
      <c r="Q54">
        <v>2.41</v>
      </c>
      <c r="R54" t="s">
        <v>179</v>
      </c>
      <c r="S54" t="s">
        <v>29</v>
      </c>
      <c r="T54" t="s">
        <v>30</v>
      </c>
    </row>
    <row r="55" spans="1:20" x14ac:dyDescent="0.3">
      <c r="A55">
        <v>10528</v>
      </c>
      <c r="B55" s="2">
        <v>46016</v>
      </c>
      <c r="C55" t="s">
        <v>20</v>
      </c>
      <c r="D55" t="s">
        <v>59</v>
      </c>
      <c r="E55" t="s">
        <v>40</v>
      </c>
      <c r="F55" t="s">
        <v>41</v>
      </c>
      <c r="G55" t="s">
        <v>34</v>
      </c>
      <c r="H55" t="s">
        <v>180</v>
      </c>
      <c r="I55" t="s">
        <v>181</v>
      </c>
      <c r="J55">
        <v>1416</v>
      </c>
      <c r="K55">
        <v>4</v>
      </c>
      <c r="L55" t="s">
        <v>57</v>
      </c>
      <c r="M55">
        <v>180</v>
      </c>
      <c r="N55">
        <v>33.6</v>
      </c>
      <c r="O55">
        <v>68.900000000000006</v>
      </c>
      <c r="P55">
        <v>4.97</v>
      </c>
      <c r="Q55">
        <v>2.1800000000000002</v>
      </c>
      <c r="R55" t="s">
        <v>77</v>
      </c>
      <c r="S55" t="s">
        <v>73</v>
      </c>
      <c r="T55" t="s">
        <v>30</v>
      </c>
    </row>
    <row r="56" spans="1:20" x14ac:dyDescent="0.3">
      <c r="A56">
        <v>10417</v>
      </c>
      <c r="B56" s="2">
        <v>45911</v>
      </c>
      <c r="C56" t="s">
        <v>20</v>
      </c>
      <c r="D56" t="s">
        <v>32</v>
      </c>
      <c r="E56" t="s">
        <v>107</v>
      </c>
      <c r="F56" t="s">
        <v>41</v>
      </c>
      <c r="G56" t="s">
        <v>95</v>
      </c>
      <c r="H56" t="s">
        <v>180</v>
      </c>
      <c r="I56" t="s">
        <v>182</v>
      </c>
      <c r="J56">
        <v>583</v>
      </c>
      <c r="K56">
        <v>6</v>
      </c>
      <c r="L56" t="s">
        <v>57</v>
      </c>
      <c r="M56">
        <v>61</v>
      </c>
      <c r="N56">
        <v>31.8</v>
      </c>
      <c r="O56">
        <v>86.9</v>
      </c>
      <c r="P56">
        <v>3.9</v>
      </c>
      <c r="Q56">
        <v>2.41</v>
      </c>
      <c r="R56" t="s">
        <v>105</v>
      </c>
      <c r="S56" t="s">
        <v>39</v>
      </c>
      <c r="T56" t="s">
        <v>30</v>
      </c>
    </row>
    <row r="57" spans="1:20" x14ac:dyDescent="0.3">
      <c r="A57">
        <v>10702</v>
      </c>
      <c r="B57" s="2">
        <v>45823</v>
      </c>
      <c r="C57" t="s">
        <v>20</v>
      </c>
      <c r="D57" t="s">
        <v>59</v>
      </c>
      <c r="E57" t="s">
        <v>40</v>
      </c>
      <c r="F57" t="s">
        <v>112</v>
      </c>
      <c r="G57" t="s">
        <v>95</v>
      </c>
      <c r="H57" t="s">
        <v>55</v>
      </c>
      <c r="I57" t="s">
        <v>102</v>
      </c>
      <c r="J57">
        <v>1585</v>
      </c>
      <c r="K57">
        <v>17</v>
      </c>
      <c r="L57" t="s">
        <v>71</v>
      </c>
      <c r="M57">
        <v>127</v>
      </c>
      <c r="N57">
        <v>52.2</v>
      </c>
      <c r="O57">
        <v>72.7</v>
      </c>
      <c r="P57">
        <v>4.25</v>
      </c>
      <c r="Q57">
        <v>0.06</v>
      </c>
      <c r="R57" t="s">
        <v>183</v>
      </c>
      <c r="S57" t="s">
        <v>73</v>
      </c>
      <c r="T57" t="s">
        <v>30</v>
      </c>
    </row>
    <row r="58" spans="1:20" x14ac:dyDescent="0.3">
      <c r="A58">
        <v>10675</v>
      </c>
      <c r="B58" s="2">
        <v>45792</v>
      </c>
      <c r="C58" t="s">
        <v>49</v>
      </c>
      <c r="D58" t="s">
        <v>21</v>
      </c>
      <c r="E58" t="s">
        <v>22</v>
      </c>
      <c r="F58" t="s">
        <v>41</v>
      </c>
      <c r="G58" t="s">
        <v>113</v>
      </c>
      <c r="H58" t="s">
        <v>69</v>
      </c>
      <c r="I58" t="s">
        <v>124</v>
      </c>
      <c r="J58">
        <v>604</v>
      </c>
      <c r="K58">
        <v>13</v>
      </c>
      <c r="L58" t="s">
        <v>37</v>
      </c>
      <c r="M58">
        <v>178</v>
      </c>
      <c r="N58">
        <v>40.5</v>
      </c>
      <c r="O58">
        <v>65.400000000000006</v>
      </c>
      <c r="P58">
        <v>4.8</v>
      </c>
      <c r="Q58">
        <v>1.96</v>
      </c>
      <c r="R58" t="s">
        <v>184</v>
      </c>
      <c r="S58" t="s">
        <v>39</v>
      </c>
      <c r="T58" t="s">
        <v>30</v>
      </c>
    </row>
    <row r="59" spans="1:20" x14ac:dyDescent="0.3">
      <c r="A59">
        <v>10907</v>
      </c>
      <c r="B59" s="2">
        <v>45694</v>
      </c>
      <c r="C59" t="s">
        <v>49</v>
      </c>
      <c r="D59" t="s">
        <v>21</v>
      </c>
      <c r="E59" t="s">
        <v>107</v>
      </c>
      <c r="F59" t="s">
        <v>23</v>
      </c>
      <c r="G59" t="s">
        <v>113</v>
      </c>
      <c r="H59" t="s">
        <v>131</v>
      </c>
      <c r="I59" t="s">
        <v>118</v>
      </c>
      <c r="J59">
        <v>1082</v>
      </c>
      <c r="K59">
        <v>7</v>
      </c>
      <c r="L59" t="s">
        <v>37</v>
      </c>
      <c r="M59">
        <v>91</v>
      </c>
      <c r="N59">
        <v>44</v>
      </c>
      <c r="O59">
        <v>83.8</v>
      </c>
      <c r="P59">
        <v>4.12</v>
      </c>
      <c r="Q59">
        <v>4.07</v>
      </c>
      <c r="R59" t="s">
        <v>133</v>
      </c>
      <c r="S59" t="s">
        <v>39</v>
      </c>
      <c r="T59" t="s">
        <v>30</v>
      </c>
    </row>
    <row r="60" spans="1:20" x14ac:dyDescent="0.3">
      <c r="A60">
        <v>11058</v>
      </c>
      <c r="B60" s="2">
        <v>45890</v>
      </c>
      <c r="C60" t="s">
        <v>20</v>
      </c>
      <c r="D60" t="s">
        <v>59</v>
      </c>
      <c r="E60" t="s">
        <v>22</v>
      </c>
      <c r="F60" t="s">
        <v>41</v>
      </c>
      <c r="G60" t="s">
        <v>54</v>
      </c>
      <c r="H60" t="s">
        <v>148</v>
      </c>
      <c r="I60" t="s">
        <v>185</v>
      </c>
      <c r="J60">
        <v>848</v>
      </c>
      <c r="K60">
        <v>4</v>
      </c>
      <c r="L60" t="s">
        <v>71</v>
      </c>
      <c r="M60">
        <v>88</v>
      </c>
      <c r="N60">
        <v>26.8</v>
      </c>
      <c r="O60">
        <v>64.7</v>
      </c>
      <c r="P60">
        <v>4.7699999999999996</v>
      </c>
      <c r="Q60">
        <v>3.3</v>
      </c>
      <c r="R60" t="s">
        <v>186</v>
      </c>
      <c r="S60" t="s">
        <v>47</v>
      </c>
      <c r="T60" t="s">
        <v>30</v>
      </c>
    </row>
    <row r="61" spans="1:20" x14ac:dyDescent="0.3">
      <c r="A61">
        <v>11287</v>
      </c>
      <c r="B61" s="2">
        <v>45791</v>
      </c>
      <c r="C61" t="s">
        <v>49</v>
      </c>
      <c r="D61" t="s">
        <v>64</v>
      </c>
      <c r="E61" t="s">
        <v>107</v>
      </c>
      <c r="F61" t="s">
        <v>112</v>
      </c>
      <c r="G61" t="s">
        <v>109</v>
      </c>
      <c r="H61" t="s">
        <v>165</v>
      </c>
      <c r="I61" t="s">
        <v>142</v>
      </c>
      <c r="J61">
        <v>1549</v>
      </c>
      <c r="K61">
        <v>39</v>
      </c>
      <c r="L61" t="s">
        <v>71</v>
      </c>
      <c r="M61">
        <v>54</v>
      </c>
      <c r="N61">
        <v>40.700000000000003</v>
      </c>
      <c r="O61">
        <v>68.7</v>
      </c>
      <c r="P61">
        <v>4.66</v>
      </c>
      <c r="Q61">
        <v>0.77</v>
      </c>
      <c r="R61" t="s">
        <v>122</v>
      </c>
      <c r="S61" t="s">
        <v>73</v>
      </c>
      <c r="T61" t="s">
        <v>30</v>
      </c>
    </row>
    <row r="62" spans="1:20" x14ac:dyDescent="0.3">
      <c r="A62">
        <v>10050</v>
      </c>
      <c r="B62" s="2">
        <v>45819</v>
      </c>
      <c r="C62" t="s">
        <v>20</v>
      </c>
      <c r="D62" t="s">
        <v>32</v>
      </c>
      <c r="E62" t="s">
        <v>40</v>
      </c>
      <c r="F62" t="s">
        <v>23</v>
      </c>
      <c r="G62" t="s">
        <v>42</v>
      </c>
      <c r="H62" t="s">
        <v>116</v>
      </c>
      <c r="I62" t="s">
        <v>187</v>
      </c>
      <c r="J62">
        <v>1396</v>
      </c>
      <c r="K62">
        <v>27</v>
      </c>
      <c r="L62" t="s">
        <v>37</v>
      </c>
      <c r="M62">
        <v>12</v>
      </c>
      <c r="N62">
        <v>47.1</v>
      </c>
      <c r="O62">
        <v>63</v>
      </c>
      <c r="P62">
        <v>4.78</v>
      </c>
      <c r="Q62">
        <v>3.34</v>
      </c>
      <c r="R62" t="s">
        <v>111</v>
      </c>
      <c r="S62" t="s">
        <v>47</v>
      </c>
      <c r="T62" t="s">
        <v>30</v>
      </c>
    </row>
    <row r="63" spans="1:20" x14ac:dyDescent="0.3">
      <c r="A63">
        <v>10071</v>
      </c>
      <c r="B63" s="2">
        <v>46001</v>
      </c>
      <c r="C63" t="s">
        <v>31</v>
      </c>
      <c r="D63" t="s">
        <v>21</v>
      </c>
      <c r="E63" t="s">
        <v>22</v>
      </c>
      <c r="F63" t="s">
        <v>23</v>
      </c>
      <c r="G63" t="s">
        <v>109</v>
      </c>
      <c r="H63" t="s">
        <v>88</v>
      </c>
      <c r="I63" t="s">
        <v>168</v>
      </c>
      <c r="J63">
        <v>970</v>
      </c>
      <c r="K63">
        <v>4</v>
      </c>
      <c r="L63" t="s">
        <v>27</v>
      </c>
      <c r="M63">
        <v>86</v>
      </c>
      <c r="N63">
        <v>59.3</v>
      </c>
      <c r="O63">
        <v>68</v>
      </c>
      <c r="P63">
        <v>6.02</v>
      </c>
      <c r="Q63">
        <v>1.6</v>
      </c>
      <c r="R63" t="s">
        <v>111</v>
      </c>
      <c r="S63" t="s">
        <v>47</v>
      </c>
      <c r="T63" t="s">
        <v>30</v>
      </c>
    </row>
    <row r="64" spans="1:20" x14ac:dyDescent="0.3">
      <c r="A64">
        <v>10498</v>
      </c>
      <c r="B64" s="2">
        <v>45703</v>
      </c>
      <c r="C64" t="s">
        <v>31</v>
      </c>
      <c r="D64" t="s">
        <v>59</v>
      </c>
      <c r="E64" t="s">
        <v>22</v>
      </c>
      <c r="F64" t="s">
        <v>23</v>
      </c>
      <c r="G64" t="s">
        <v>95</v>
      </c>
      <c r="H64" t="s">
        <v>25</v>
      </c>
      <c r="I64" t="s">
        <v>188</v>
      </c>
      <c r="J64">
        <v>1194</v>
      </c>
      <c r="K64">
        <v>25</v>
      </c>
      <c r="L64" t="s">
        <v>68</v>
      </c>
      <c r="M64">
        <v>161</v>
      </c>
      <c r="N64">
        <v>46.6</v>
      </c>
      <c r="O64">
        <v>70.099999999999994</v>
      </c>
      <c r="P64">
        <v>5.51</v>
      </c>
      <c r="Q64">
        <v>1.88</v>
      </c>
      <c r="R64" t="s">
        <v>189</v>
      </c>
      <c r="S64" t="s">
        <v>39</v>
      </c>
      <c r="T64" t="s">
        <v>30</v>
      </c>
    </row>
    <row r="65" spans="1:20" x14ac:dyDescent="0.3">
      <c r="A65">
        <v>10414</v>
      </c>
      <c r="B65" s="2">
        <v>45700</v>
      </c>
      <c r="C65" t="s">
        <v>31</v>
      </c>
      <c r="D65" t="s">
        <v>32</v>
      </c>
      <c r="E65" t="s">
        <v>22</v>
      </c>
      <c r="F65" t="s">
        <v>41</v>
      </c>
      <c r="G65" t="s">
        <v>95</v>
      </c>
      <c r="H65" t="s">
        <v>190</v>
      </c>
      <c r="I65" t="s">
        <v>191</v>
      </c>
      <c r="J65">
        <v>832</v>
      </c>
      <c r="K65">
        <v>6</v>
      </c>
      <c r="L65" t="s">
        <v>27</v>
      </c>
      <c r="M65">
        <v>84</v>
      </c>
      <c r="N65">
        <v>35.299999999999997</v>
      </c>
      <c r="O65">
        <v>76.2</v>
      </c>
      <c r="P65">
        <v>5.99</v>
      </c>
      <c r="Q65">
        <v>3.94</v>
      </c>
      <c r="R65" t="s">
        <v>72</v>
      </c>
      <c r="S65" t="s">
        <v>73</v>
      </c>
      <c r="T65" t="s">
        <v>30</v>
      </c>
    </row>
    <row r="66" spans="1:20" x14ac:dyDescent="0.3">
      <c r="A66">
        <v>10351</v>
      </c>
      <c r="B66" s="2">
        <v>45710</v>
      </c>
      <c r="C66" t="s">
        <v>49</v>
      </c>
      <c r="D66" t="s">
        <v>59</v>
      </c>
      <c r="E66" t="s">
        <v>107</v>
      </c>
      <c r="F66" t="s">
        <v>23</v>
      </c>
      <c r="G66" t="s">
        <v>54</v>
      </c>
      <c r="H66" t="s">
        <v>192</v>
      </c>
      <c r="I66" t="s">
        <v>76</v>
      </c>
      <c r="J66">
        <v>1187</v>
      </c>
      <c r="K66">
        <v>8</v>
      </c>
      <c r="L66" t="s">
        <v>57</v>
      </c>
      <c r="M66">
        <v>11</v>
      </c>
      <c r="N66">
        <v>40.799999999999997</v>
      </c>
      <c r="O66">
        <v>72</v>
      </c>
      <c r="P66">
        <v>3.27</v>
      </c>
      <c r="Q66">
        <v>2.83</v>
      </c>
      <c r="R66" t="s">
        <v>164</v>
      </c>
      <c r="S66" t="s">
        <v>39</v>
      </c>
      <c r="T66" t="s">
        <v>30</v>
      </c>
    </row>
    <row r="67" spans="1:20" x14ac:dyDescent="0.3">
      <c r="A67">
        <v>11281</v>
      </c>
      <c r="B67" s="2">
        <v>45808</v>
      </c>
      <c r="C67" t="s">
        <v>31</v>
      </c>
      <c r="D67" t="s">
        <v>32</v>
      </c>
      <c r="E67" t="s">
        <v>40</v>
      </c>
      <c r="F67" t="s">
        <v>41</v>
      </c>
      <c r="G67" t="s">
        <v>113</v>
      </c>
      <c r="H67" t="s">
        <v>193</v>
      </c>
      <c r="I67" t="s">
        <v>194</v>
      </c>
      <c r="J67">
        <v>1385</v>
      </c>
      <c r="K67">
        <v>6</v>
      </c>
      <c r="L67" t="s">
        <v>68</v>
      </c>
      <c r="M67">
        <v>161</v>
      </c>
      <c r="N67">
        <v>48.4</v>
      </c>
      <c r="O67">
        <v>72.099999999999994</v>
      </c>
      <c r="P67">
        <v>5.59</v>
      </c>
      <c r="Q67">
        <v>1.84</v>
      </c>
      <c r="R67" t="s">
        <v>195</v>
      </c>
      <c r="S67" t="s">
        <v>73</v>
      </c>
      <c r="T67" t="s">
        <v>30</v>
      </c>
    </row>
    <row r="68" spans="1:20" x14ac:dyDescent="0.3">
      <c r="A68">
        <v>11301</v>
      </c>
      <c r="B68" s="2">
        <v>45762</v>
      </c>
      <c r="C68" t="s">
        <v>31</v>
      </c>
      <c r="D68" t="s">
        <v>32</v>
      </c>
      <c r="E68" t="s">
        <v>33</v>
      </c>
      <c r="F68" t="s">
        <v>23</v>
      </c>
      <c r="G68" t="s">
        <v>113</v>
      </c>
      <c r="H68" t="s">
        <v>131</v>
      </c>
      <c r="I68" t="s">
        <v>157</v>
      </c>
      <c r="J68">
        <v>1326</v>
      </c>
      <c r="K68">
        <v>37</v>
      </c>
      <c r="L68" t="s">
        <v>68</v>
      </c>
      <c r="M68">
        <v>51</v>
      </c>
      <c r="N68">
        <v>46.2</v>
      </c>
      <c r="O68">
        <v>73.8</v>
      </c>
      <c r="P68">
        <v>6.59</v>
      </c>
      <c r="Q68">
        <v>2.2200000000000002</v>
      </c>
      <c r="R68" t="s">
        <v>72</v>
      </c>
      <c r="S68" t="s">
        <v>47</v>
      </c>
      <c r="T68" t="s">
        <v>30</v>
      </c>
    </row>
    <row r="69" spans="1:20" x14ac:dyDescent="0.3">
      <c r="A69">
        <v>10821</v>
      </c>
      <c r="B69" s="2">
        <v>45795</v>
      </c>
      <c r="C69" t="s">
        <v>49</v>
      </c>
      <c r="D69" t="s">
        <v>21</v>
      </c>
      <c r="E69" t="s">
        <v>22</v>
      </c>
      <c r="F69" t="s">
        <v>81</v>
      </c>
      <c r="G69" t="s">
        <v>60</v>
      </c>
      <c r="H69" t="s">
        <v>196</v>
      </c>
      <c r="I69" t="s">
        <v>191</v>
      </c>
      <c r="J69">
        <v>797</v>
      </c>
      <c r="K69">
        <v>23</v>
      </c>
      <c r="L69" t="s">
        <v>57</v>
      </c>
      <c r="M69">
        <v>34</v>
      </c>
      <c r="N69">
        <v>31.7</v>
      </c>
      <c r="O69">
        <v>73.900000000000006</v>
      </c>
      <c r="P69">
        <v>3.46</v>
      </c>
      <c r="Q69">
        <v>3.59</v>
      </c>
      <c r="R69" t="s">
        <v>133</v>
      </c>
      <c r="S69" t="s">
        <v>47</v>
      </c>
      <c r="T69" t="s">
        <v>30</v>
      </c>
    </row>
    <row r="70" spans="1:20" x14ac:dyDescent="0.3">
      <c r="A70">
        <v>10501</v>
      </c>
      <c r="B70" s="2">
        <v>45891</v>
      </c>
      <c r="C70" t="s">
        <v>49</v>
      </c>
      <c r="D70" t="s">
        <v>32</v>
      </c>
      <c r="E70" t="s">
        <v>22</v>
      </c>
      <c r="F70" t="s">
        <v>41</v>
      </c>
      <c r="G70" t="s">
        <v>54</v>
      </c>
      <c r="H70" t="s">
        <v>35</v>
      </c>
      <c r="I70" t="s">
        <v>197</v>
      </c>
      <c r="J70">
        <v>1002</v>
      </c>
      <c r="K70">
        <v>4</v>
      </c>
      <c r="L70" t="s">
        <v>57</v>
      </c>
      <c r="M70">
        <v>151</v>
      </c>
      <c r="N70">
        <v>45.1</v>
      </c>
      <c r="O70">
        <v>79.900000000000006</v>
      </c>
      <c r="P70">
        <v>6.64</v>
      </c>
      <c r="Q70">
        <v>2.82</v>
      </c>
      <c r="R70" t="s">
        <v>174</v>
      </c>
      <c r="S70" t="s">
        <v>29</v>
      </c>
      <c r="T70" t="s">
        <v>30</v>
      </c>
    </row>
    <row r="71" spans="1:20" x14ac:dyDescent="0.3">
      <c r="A71">
        <v>10125</v>
      </c>
      <c r="B71" s="2">
        <v>45740</v>
      </c>
      <c r="C71" t="s">
        <v>49</v>
      </c>
      <c r="D71" t="s">
        <v>32</v>
      </c>
      <c r="E71" t="s">
        <v>40</v>
      </c>
      <c r="F71" t="s">
        <v>41</v>
      </c>
      <c r="G71" t="s">
        <v>24</v>
      </c>
      <c r="H71" t="s">
        <v>25</v>
      </c>
      <c r="I71" t="s">
        <v>198</v>
      </c>
      <c r="J71">
        <v>1045</v>
      </c>
      <c r="K71">
        <v>44</v>
      </c>
      <c r="L71" t="s">
        <v>57</v>
      </c>
      <c r="M71">
        <v>75</v>
      </c>
      <c r="N71">
        <v>49</v>
      </c>
      <c r="O71">
        <v>88.5</v>
      </c>
      <c r="P71">
        <v>5.66</v>
      </c>
      <c r="Q71">
        <v>5.26</v>
      </c>
      <c r="R71" t="s">
        <v>155</v>
      </c>
      <c r="S71" t="s">
        <v>39</v>
      </c>
      <c r="T71" t="s">
        <v>48</v>
      </c>
    </row>
    <row r="72" spans="1:20" x14ac:dyDescent="0.3">
      <c r="A72">
        <v>10773</v>
      </c>
      <c r="B72" s="2">
        <v>45707</v>
      </c>
      <c r="C72" t="s">
        <v>199</v>
      </c>
      <c r="D72" t="s">
        <v>21</v>
      </c>
      <c r="E72" t="s">
        <v>40</v>
      </c>
      <c r="F72" t="s">
        <v>23</v>
      </c>
      <c r="G72" t="s">
        <v>50</v>
      </c>
      <c r="H72" t="s">
        <v>200</v>
      </c>
      <c r="I72" t="s">
        <v>201</v>
      </c>
      <c r="J72">
        <v>884</v>
      </c>
      <c r="K72">
        <v>4</v>
      </c>
      <c r="L72" t="s">
        <v>37</v>
      </c>
      <c r="M72">
        <v>133</v>
      </c>
      <c r="N72">
        <v>33.299999999999997</v>
      </c>
      <c r="O72">
        <v>75.8</v>
      </c>
      <c r="P72">
        <v>5.91</v>
      </c>
      <c r="Q72">
        <v>1.86</v>
      </c>
      <c r="R72" t="s">
        <v>183</v>
      </c>
      <c r="S72" t="s">
        <v>29</v>
      </c>
      <c r="T72" t="s">
        <v>30</v>
      </c>
    </row>
    <row r="73" spans="1:20" x14ac:dyDescent="0.3">
      <c r="A73">
        <v>10757</v>
      </c>
      <c r="B73" s="2">
        <v>45720</v>
      </c>
      <c r="C73" t="s">
        <v>20</v>
      </c>
      <c r="D73" t="s">
        <v>64</v>
      </c>
      <c r="E73" t="s">
        <v>40</v>
      </c>
      <c r="F73" t="s">
        <v>41</v>
      </c>
      <c r="G73" t="s">
        <v>24</v>
      </c>
      <c r="H73" t="s">
        <v>35</v>
      </c>
      <c r="I73" t="s">
        <v>118</v>
      </c>
      <c r="J73">
        <v>512</v>
      </c>
      <c r="K73">
        <v>11</v>
      </c>
      <c r="L73" t="s">
        <v>27</v>
      </c>
      <c r="M73">
        <v>86</v>
      </c>
      <c r="N73">
        <v>34.799999999999997</v>
      </c>
      <c r="O73">
        <v>78.5</v>
      </c>
      <c r="P73">
        <v>4.79</v>
      </c>
      <c r="Q73">
        <v>2.81</v>
      </c>
      <c r="R73" t="s">
        <v>202</v>
      </c>
      <c r="S73" t="s">
        <v>29</v>
      </c>
      <c r="T73" t="s">
        <v>30</v>
      </c>
    </row>
    <row r="74" spans="1:20" x14ac:dyDescent="0.3">
      <c r="A74">
        <v>10366</v>
      </c>
      <c r="B74" s="2">
        <v>45950</v>
      </c>
      <c r="C74" t="s">
        <v>31</v>
      </c>
      <c r="D74" t="s">
        <v>64</v>
      </c>
      <c r="E74" t="s">
        <v>40</v>
      </c>
      <c r="F74" t="s">
        <v>23</v>
      </c>
      <c r="G74" t="s">
        <v>89</v>
      </c>
      <c r="H74" t="s">
        <v>148</v>
      </c>
      <c r="I74" t="s">
        <v>203</v>
      </c>
      <c r="J74">
        <v>845</v>
      </c>
      <c r="K74">
        <v>2</v>
      </c>
      <c r="L74" t="s">
        <v>27</v>
      </c>
      <c r="M74">
        <v>75</v>
      </c>
      <c r="N74">
        <v>41.6</v>
      </c>
      <c r="O74">
        <v>65.400000000000006</v>
      </c>
      <c r="P74">
        <v>5.67</v>
      </c>
      <c r="Q74">
        <v>3.53</v>
      </c>
      <c r="R74" t="s">
        <v>143</v>
      </c>
      <c r="S74" t="s">
        <v>39</v>
      </c>
      <c r="T74" t="s">
        <v>30</v>
      </c>
    </row>
    <row r="75" spans="1:20" x14ac:dyDescent="0.3">
      <c r="A75">
        <v>10931</v>
      </c>
      <c r="B75" s="2">
        <v>45833</v>
      </c>
      <c r="C75" t="s">
        <v>31</v>
      </c>
      <c r="D75" t="s">
        <v>32</v>
      </c>
      <c r="E75" t="s">
        <v>33</v>
      </c>
      <c r="F75" t="s">
        <v>23</v>
      </c>
      <c r="G75" t="s">
        <v>89</v>
      </c>
      <c r="H75" t="s">
        <v>99</v>
      </c>
      <c r="I75" t="s">
        <v>204</v>
      </c>
      <c r="J75">
        <v>1187</v>
      </c>
      <c r="K75">
        <v>7</v>
      </c>
      <c r="L75" t="s">
        <v>57</v>
      </c>
      <c r="M75">
        <v>168</v>
      </c>
      <c r="N75">
        <v>50</v>
      </c>
      <c r="O75">
        <v>70.400000000000006</v>
      </c>
      <c r="P75">
        <v>6.38</v>
      </c>
      <c r="Q75">
        <v>4.25</v>
      </c>
      <c r="R75" t="s">
        <v>77</v>
      </c>
      <c r="S75" t="s">
        <v>73</v>
      </c>
      <c r="T75" t="s">
        <v>30</v>
      </c>
    </row>
    <row r="76" spans="1:20" x14ac:dyDescent="0.3">
      <c r="A76">
        <v>11205</v>
      </c>
      <c r="B76" s="2">
        <v>45992</v>
      </c>
      <c r="C76" t="s">
        <v>49</v>
      </c>
      <c r="D76" t="s">
        <v>64</v>
      </c>
      <c r="E76" t="s">
        <v>33</v>
      </c>
      <c r="F76" t="s">
        <v>81</v>
      </c>
      <c r="G76" t="s">
        <v>95</v>
      </c>
      <c r="H76" t="s">
        <v>205</v>
      </c>
      <c r="I76" t="s">
        <v>206</v>
      </c>
      <c r="J76">
        <v>607</v>
      </c>
      <c r="K76">
        <v>7</v>
      </c>
      <c r="L76" t="s">
        <v>37</v>
      </c>
      <c r="M76">
        <v>36</v>
      </c>
      <c r="N76">
        <v>35.700000000000003</v>
      </c>
      <c r="O76">
        <v>83</v>
      </c>
      <c r="P76">
        <v>5.23</v>
      </c>
      <c r="Q76">
        <v>1.1200000000000001</v>
      </c>
      <c r="R76" t="s">
        <v>195</v>
      </c>
      <c r="S76" t="s">
        <v>29</v>
      </c>
      <c r="T76" t="s">
        <v>30</v>
      </c>
    </row>
    <row r="77" spans="1:20" x14ac:dyDescent="0.3">
      <c r="A77">
        <v>10077</v>
      </c>
      <c r="B77" s="2">
        <v>45744</v>
      </c>
      <c r="C77" t="s">
        <v>207</v>
      </c>
      <c r="D77" t="s">
        <v>21</v>
      </c>
      <c r="E77" t="s">
        <v>33</v>
      </c>
      <c r="F77" t="s">
        <v>81</v>
      </c>
      <c r="G77" t="s">
        <v>50</v>
      </c>
      <c r="H77" t="s">
        <v>193</v>
      </c>
      <c r="I77" t="s">
        <v>208</v>
      </c>
      <c r="J77">
        <v>979</v>
      </c>
      <c r="K77">
        <v>10</v>
      </c>
      <c r="L77" t="s">
        <v>57</v>
      </c>
      <c r="M77">
        <v>170</v>
      </c>
      <c r="N77">
        <v>30.4</v>
      </c>
      <c r="O77">
        <v>71.599999999999994</v>
      </c>
      <c r="P77">
        <v>5.07</v>
      </c>
      <c r="Q77">
        <v>3.97</v>
      </c>
      <c r="R77" t="s">
        <v>209</v>
      </c>
      <c r="S77" t="s">
        <v>73</v>
      </c>
      <c r="T77" t="s">
        <v>30</v>
      </c>
    </row>
    <row r="78" spans="1:20" x14ac:dyDescent="0.3">
      <c r="A78">
        <v>11049</v>
      </c>
      <c r="B78" s="2">
        <v>45767</v>
      </c>
      <c r="C78" t="s">
        <v>20</v>
      </c>
      <c r="D78" t="s">
        <v>64</v>
      </c>
      <c r="E78" t="s">
        <v>33</v>
      </c>
      <c r="F78" t="s">
        <v>23</v>
      </c>
      <c r="G78" t="s">
        <v>113</v>
      </c>
      <c r="H78" t="s">
        <v>51</v>
      </c>
      <c r="I78" t="s">
        <v>118</v>
      </c>
      <c r="J78">
        <v>706</v>
      </c>
      <c r="K78">
        <v>71</v>
      </c>
      <c r="L78" t="s">
        <v>71</v>
      </c>
      <c r="M78">
        <v>145</v>
      </c>
      <c r="N78">
        <v>39.5</v>
      </c>
      <c r="O78">
        <v>84.3</v>
      </c>
      <c r="P78">
        <v>5.55</v>
      </c>
      <c r="Q78">
        <v>3.52</v>
      </c>
      <c r="R78" t="s">
        <v>38</v>
      </c>
      <c r="S78" t="s">
        <v>29</v>
      </c>
      <c r="T78" t="s">
        <v>48</v>
      </c>
    </row>
    <row r="79" spans="1:20" x14ac:dyDescent="0.3">
      <c r="A79">
        <v>11384</v>
      </c>
      <c r="B79" s="2">
        <v>45830</v>
      </c>
      <c r="C79" t="s">
        <v>20</v>
      </c>
      <c r="D79" t="s">
        <v>59</v>
      </c>
      <c r="E79" t="s">
        <v>40</v>
      </c>
      <c r="F79" t="s">
        <v>23</v>
      </c>
      <c r="G79" t="s">
        <v>113</v>
      </c>
      <c r="H79" t="s">
        <v>192</v>
      </c>
      <c r="I79" t="s">
        <v>127</v>
      </c>
      <c r="J79">
        <v>940</v>
      </c>
      <c r="K79">
        <v>69</v>
      </c>
      <c r="L79" t="s">
        <v>57</v>
      </c>
      <c r="M79">
        <v>71</v>
      </c>
      <c r="N79">
        <v>39.1</v>
      </c>
      <c r="O79">
        <v>68.7</v>
      </c>
      <c r="P79">
        <v>6.08</v>
      </c>
      <c r="Q79">
        <v>5.0199999999999996</v>
      </c>
      <c r="R79" t="s">
        <v>103</v>
      </c>
      <c r="S79" t="s">
        <v>73</v>
      </c>
      <c r="T79" t="s">
        <v>48</v>
      </c>
    </row>
    <row r="80" spans="1:20" x14ac:dyDescent="0.3">
      <c r="A80">
        <v>11178</v>
      </c>
      <c r="B80" s="2">
        <v>45946</v>
      </c>
      <c r="C80" t="s">
        <v>49</v>
      </c>
      <c r="D80" t="s">
        <v>21</v>
      </c>
      <c r="E80" t="s">
        <v>40</v>
      </c>
      <c r="F80" t="s">
        <v>81</v>
      </c>
      <c r="G80" t="s">
        <v>34</v>
      </c>
      <c r="H80" t="s">
        <v>120</v>
      </c>
      <c r="I80" t="s">
        <v>210</v>
      </c>
      <c r="J80">
        <v>1250</v>
      </c>
      <c r="K80">
        <v>13</v>
      </c>
      <c r="L80" t="s">
        <v>27</v>
      </c>
      <c r="M80">
        <v>179</v>
      </c>
      <c r="N80">
        <v>47.6</v>
      </c>
      <c r="O80">
        <v>72.099999999999994</v>
      </c>
      <c r="P80">
        <v>6.2</v>
      </c>
      <c r="Q80">
        <v>1.76</v>
      </c>
      <c r="R80" t="s">
        <v>28</v>
      </c>
      <c r="S80" t="s">
        <v>39</v>
      </c>
      <c r="T80" t="s">
        <v>30</v>
      </c>
    </row>
    <row r="81" spans="1:20" x14ac:dyDescent="0.3">
      <c r="A81">
        <v>10248</v>
      </c>
      <c r="B81" s="2">
        <v>45991</v>
      </c>
      <c r="C81" t="s">
        <v>20</v>
      </c>
      <c r="D81" t="s">
        <v>64</v>
      </c>
      <c r="E81" t="s">
        <v>22</v>
      </c>
      <c r="F81" t="s">
        <v>81</v>
      </c>
      <c r="G81" t="s">
        <v>50</v>
      </c>
      <c r="H81" t="s">
        <v>165</v>
      </c>
      <c r="I81" t="s">
        <v>211</v>
      </c>
      <c r="J81">
        <v>900</v>
      </c>
      <c r="K81">
        <v>26</v>
      </c>
      <c r="L81" t="s">
        <v>68</v>
      </c>
      <c r="M81">
        <v>26</v>
      </c>
      <c r="N81">
        <v>56.7</v>
      </c>
      <c r="O81">
        <v>76.8</v>
      </c>
      <c r="P81">
        <v>4.8099999999999996</v>
      </c>
      <c r="Q81">
        <v>3.7</v>
      </c>
      <c r="R81" t="s">
        <v>195</v>
      </c>
      <c r="S81" t="s">
        <v>29</v>
      </c>
      <c r="T81" t="s">
        <v>30</v>
      </c>
    </row>
    <row r="82" spans="1:20" x14ac:dyDescent="0.3">
      <c r="A82">
        <v>10491</v>
      </c>
      <c r="B82" s="2">
        <v>45941</v>
      </c>
      <c r="C82" t="s">
        <v>49</v>
      </c>
      <c r="D82" t="s">
        <v>64</v>
      </c>
      <c r="E82" t="s">
        <v>40</v>
      </c>
      <c r="F82" t="s">
        <v>23</v>
      </c>
      <c r="G82" t="s">
        <v>109</v>
      </c>
      <c r="H82" t="s">
        <v>66</v>
      </c>
      <c r="I82" t="s">
        <v>135</v>
      </c>
      <c r="J82">
        <v>1052</v>
      </c>
      <c r="K82">
        <v>12</v>
      </c>
      <c r="L82" t="s">
        <v>57</v>
      </c>
      <c r="M82">
        <v>27</v>
      </c>
      <c r="N82">
        <v>35.4</v>
      </c>
      <c r="O82">
        <v>65.8</v>
      </c>
      <c r="P82">
        <v>6.29</v>
      </c>
      <c r="Q82">
        <v>3.48</v>
      </c>
      <c r="R82" t="s">
        <v>189</v>
      </c>
      <c r="S82" t="s">
        <v>39</v>
      </c>
      <c r="T82" t="s">
        <v>30</v>
      </c>
    </row>
    <row r="83" spans="1:20" x14ac:dyDescent="0.3">
      <c r="A83">
        <v>10276</v>
      </c>
      <c r="B83" s="2">
        <v>45935</v>
      </c>
      <c r="C83" t="s">
        <v>31</v>
      </c>
      <c r="D83" t="s">
        <v>59</v>
      </c>
      <c r="E83" t="s">
        <v>22</v>
      </c>
      <c r="F83" t="s">
        <v>81</v>
      </c>
      <c r="G83" t="s">
        <v>24</v>
      </c>
      <c r="H83" t="s">
        <v>193</v>
      </c>
      <c r="I83" t="s">
        <v>212</v>
      </c>
      <c r="J83">
        <v>579</v>
      </c>
      <c r="K83">
        <v>4</v>
      </c>
      <c r="L83" t="s">
        <v>68</v>
      </c>
      <c r="M83">
        <v>175</v>
      </c>
      <c r="N83">
        <v>32</v>
      </c>
      <c r="O83">
        <v>73.8</v>
      </c>
      <c r="P83">
        <v>3.97</v>
      </c>
      <c r="Q83">
        <v>3.08</v>
      </c>
      <c r="R83" t="s">
        <v>137</v>
      </c>
      <c r="S83" t="s">
        <v>47</v>
      </c>
      <c r="T83" t="s">
        <v>30</v>
      </c>
    </row>
    <row r="84" spans="1:20" x14ac:dyDescent="0.3">
      <c r="A84">
        <v>11104</v>
      </c>
      <c r="B84" s="2">
        <v>45814</v>
      </c>
      <c r="C84" t="s">
        <v>31</v>
      </c>
      <c r="D84" t="s">
        <v>59</v>
      </c>
      <c r="E84" t="s">
        <v>22</v>
      </c>
      <c r="F84" t="s">
        <v>41</v>
      </c>
      <c r="G84" t="s">
        <v>74</v>
      </c>
      <c r="H84" t="s">
        <v>213</v>
      </c>
      <c r="I84" t="s">
        <v>214</v>
      </c>
      <c r="J84">
        <v>813</v>
      </c>
      <c r="K84">
        <v>6</v>
      </c>
      <c r="L84" t="s">
        <v>68</v>
      </c>
      <c r="M84">
        <v>21</v>
      </c>
      <c r="N84">
        <v>41.7</v>
      </c>
      <c r="O84">
        <v>71.5</v>
      </c>
      <c r="P84">
        <v>6.14</v>
      </c>
      <c r="Q84">
        <v>4.17</v>
      </c>
      <c r="R84" t="s">
        <v>84</v>
      </c>
      <c r="S84" t="s">
        <v>39</v>
      </c>
      <c r="T84" t="s">
        <v>30</v>
      </c>
    </row>
    <row r="85" spans="1:20" x14ac:dyDescent="0.3">
      <c r="A85">
        <v>10124</v>
      </c>
      <c r="B85" s="2">
        <v>45908</v>
      </c>
      <c r="C85" t="s">
        <v>31</v>
      </c>
      <c r="D85" t="s">
        <v>32</v>
      </c>
      <c r="E85" t="s">
        <v>40</v>
      </c>
      <c r="F85" t="s">
        <v>23</v>
      </c>
      <c r="G85" t="s">
        <v>134</v>
      </c>
      <c r="H85" t="s">
        <v>215</v>
      </c>
      <c r="I85" t="s">
        <v>178</v>
      </c>
      <c r="J85">
        <v>1000</v>
      </c>
      <c r="K85">
        <v>12</v>
      </c>
      <c r="L85" t="s">
        <v>57</v>
      </c>
      <c r="M85">
        <v>146</v>
      </c>
      <c r="N85">
        <v>43</v>
      </c>
      <c r="O85">
        <v>80.8</v>
      </c>
      <c r="P85">
        <v>5.4</v>
      </c>
      <c r="Q85">
        <v>2.73</v>
      </c>
      <c r="R85" t="s">
        <v>216</v>
      </c>
      <c r="S85" t="s">
        <v>39</v>
      </c>
      <c r="T85" t="s">
        <v>30</v>
      </c>
    </row>
    <row r="86" spans="1:20" x14ac:dyDescent="0.3">
      <c r="A86">
        <v>10030</v>
      </c>
      <c r="B86" s="2">
        <v>45968</v>
      </c>
      <c r="C86" t="s">
        <v>49</v>
      </c>
      <c r="D86" t="s">
        <v>21</v>
      </c>
      <c r="E86" t="s">
        <v>22</v>
      </c>
      <c r="F86" t="s">
        <v>41</v>
      </c>
      <c r="G86" t="s">
        <v>109</v>
      </c>
      <c r="H86" t="s">
        <v>165</v>
      </c>
      <c r="I86" t="s">
        <v>217</v>
      </c>
      <c r="J86">
        <v>1276</v>
      </c>
      <c r="K86">
        <v>17</v>
      </c>
      <c r="M86">
        <v>27</v>
      </c>
      <c r="N86">
        <v>38.799999999999997</v>
      </c>
      <c r="O86">
        <v>77</v>
      </c>
      <c r="P86">
        <v>4.3499999999999996</v>
      </c>
      <c r="Q86">
        <v>2.64</v>
      </c>
      <c r="R86" t="s">
        <v>186</v>
      </c>
      <c r="S86" t="s">
        <v>73</v>
      </c>
      <c r="T86" t="s">
        <v>30</v>
      </c>
    </row>
    <row r="87" spans="1:20" x14ac:dyDescent="0.3">
      <c r="A87">
        <v>10245</v>
      </c>
      <c r="B87" s="2">
        <v>45931</v>
      </c>
      <c r="C87" t="s">
        <v>31</v>
      </c>
      <c r="D87" t="s">
        <v>32</v>
      </c>
      <c r="E87" t="s">
        <v>40</v>
      </c>
      <c r="F87" t="s">
        <v>41</v>
      </c>
      <c r="G87" t="s">
        <v>74</v>
      </c>
      <c r="H87" t="s">
        <v>193</v>
      </c>
      <c r="I87" t="s">
        <v>218</v>
      </c>
      <c r="J87">
        <v>1196</v>
      </c>
      <c r="K87">
        <v>4</v>
      </c>
      <c r="L87" t="s">
        <v>57</v>
      </c>
      <c r="M87">
        <v>165</v>
      </c>
      <c r="N87">
        <v>39</v>
      </c>
      <c r="O87">
        <v>75.8</v>
      </c>
      <c r="P87">
        <v>4.0999999999999996</v>
      </c>
      <c r="Q87">
        <v>2.5</v>
      </c>
      <c r="R87" t="s">
        <v>63</v>
      </c>
      <c r="S87" t="s">
        <v>73</v>
      </c>
      <c r="T87" t="s">
        <v>30</v>
      </c>
    </row>
    <row r="88" spans="1:20" x14ac:dyDescent="0.3">
      <c r="A88">
        <v>11080</v>
      </c>
      <c r="B88" s="2">
        <v>45748</v>
      </c>
      <c r="C88" t="s">
        <v>150</v>
      </c>
      <c r="D88" t="s">
        <v>59</v>
      </c>
      <c r="E88" t="s">
        <v>22</v>
      </c>
      <c r="F88" t="s">
        <v>81</v>
      </c>
      <c r="G88" t="s">
        <v>34</v>
      </c>
      <c r="H88" t="s">
        <v>169</v>
      </c>
      <c r="I88" t="s">
        <v>206</v>
      </c>
      <c r="J88">
        <v>1318</v>
      </c>
      <c r="K88">
        <v>18</v>
      </c>
      <c r="L88" t="s">
        <v>37</v>
      </c>
      <c r="M88">
        <v>80</v>
      </c>
      <c r="N88">
        <v>35.6</v>
      </c>
      <c r="O88">
        <v>81.5</v>
      </c>
      <c r="P88">
        <v>6.34</v>
      </c>
      <c r="Q88">
        <v>3.71</v>
      </c>
      <c r="R88" t="s">
        <v>153</v>
      </c>
      <c r="S88" t="s">
        <v>73</v>
      </c>
      <c r="T88" t="s">
        <v>30</v>
      </c>
    </row>
    <row r="89" spans="1:20" x14ac:dyDescent="0.3">
      <c r="A89">
        <v>10169</v>
      </c>
      <c r="B89" s="2">
        <v>45804</v>
      </c>
      <c r="C89" t="s">
        <v>31</v>
      </c>
      <c r="D89" t="s">
        <v>32</v>
      </c>
      <c r="E89" t="s">
        <v>33</v>
      </c>
      <c r="F89" t="s">
        <v>81</v>
      </c>
      <c r="G89" t="s">
        <v>34</v>
      </c>
      <c r="H89" t="s">
        <v>169</v>
      </c>
      <c r="I89" t="s">
        <v>181</v>
      </c>
      <c r="J89">
        <v>788</v>
      </c>
      <c r="K89">
        <v>6</v>
      </c>
      <c r="L89" t="s">
        <v>57</v>
      </c>
      <c r="M89">
        <v>6</v>
      </c>
      <c r="N89">
        <v>44.6</v>
      </c>
      <c r="O89">
        <v>78.5</v>
      </c>
      <c r="P89">
        <v>4.68</v>
      </c>
      <c r="Q89">
        <v>3.65</v>
      </c>
      <c r="R89" t="s">
        <v>46</v>
      </c>
      <c r="S89" t="s">
        <v>29</v>
      </c>
      <c r="T89" t="s">
        <v>30</v>
      </c>
    </row>
    <row r="90" spans="1:20" x14ac:dyDescent="0.3">
      <c r="A90">
        <v>10066</v>
      </c>
      <c r="B90" s="2">
        <v>45890</v>
      </c>
      <c r="C90" t="s">
        <v>20</v>
      </c>
      <c r="D90" t="s">
        <v>21</v>
      </c>
      <c r="E90" t="s">
        <v>40</v>
      </c>
      <c r="F90" t="s">
        <v>23</v>
      </c>
      <c r="G90" t="s">
        <v>134</v>
      </c>
      <c r="H90" t="s">
        <v>90</v>
      </c>
      <c r="I90" t="s">
        <v>219</v>
      </c>
      <c r="J90">
        <v>1038</v>
      </c>
      <c r="K90">
        <v>9</v>
      </c>
      <c r="L90" t="s">
        <v>45</v>
      </c>
      <c r="M90">
        <v>74</v>
      </c>
      <c r="N90">
        <v>50.3</v>
      </c>
      <c r="O90">
        <v>70.099999999999994</v>
      </c>
      <c r="P90">
        <v>4.25</v>
      </c>
      <c r="Q90">
        <v>2.36</v>
      </c>
      <c r="R90" t="s">
        <v>159</v>
      </c>
      <c r="S90" t="s">
        <v>73</v>
      </c>
      <c r="T90" t="s">
        <v>30</v>
      </c>
    </row>
    <row r="91" spans="1:20" x14ac:dyDescent="0.3">
      <c r="A91">
        <v>10421</v>
      </c>
      <c r="B91" s="2">
        <v>45769</v>
      </c>
      <c r="C91" t="s">
        <v>49</v>
      </c>
      <c r="D91" t="s">
        <v>64</v>
      </c>
      <c r="E91" t="s">
        <v>22</v>
      </c>
      <c r="F91" t="s">
        <v>81</v>
      </c>
      <c r="G91" t="s">
        <v>134</v>
      </c>
      <c r="H91" t="s">
        <v>101</v>
      </c>
      <c r="I91" t="s">
        <v>139</v>
      </c>
      <c r="J91">
        <v>504</v>
      </c>
      <c r="K91">
        <v>6</v>
      </c>
      <c r="L91" t="s">
        <v>45</v>
      </c>
      <c r="M91">
        <v>81</v>
      </c>
      <c r="N91">
        <v>28.1</v>
      </c>
      <c r="O91">
        <v>66.599999999999994</v>
      </c>
      <c r="P91">
        <v>5.05</v>
      </c>
      <c r="Q91">
        <v>1.59</v>
      </c>
      <c r="R91" t="s">
        <v>174</v>
      </c>
      <c r="S91" t="s">
        <v>73</v>
      </c>
      <c r="T91" t="s">
        <v>30</v>
      </c>
    </row>
    <row r="92" spans="1:20" x14ac:dyDescent="0.3">
      <c r="A92">
        <v>10572</v>
      </c>
      <c r="B92" s="2">
        <v>45670</v>
      </c>
      <c r="C92" t="s">
        <v>49</v>
      </c>
      <c r="D92" t="s">
        <v>64</v>
      </c>
      <c r="E92" t="s">
        <v>107</v>
      </c>
      <c r="F92" t="s">
        <v>41</v>
      </c>
      <c r="G92" t="s">
        <v>42</v>
      </c>
      <c r="H92" t="s">
        <v>123</v>
      </c>
      <c r="I92" t="s">
        <v>220</v>
      </c>
      <c r="J92">
        <v>488</v>
      </c>
      <c r="K92">
        <v>4</v>
      </c>
      <c r="L92" t="s">
        <v>45</v>
      </c>
      <c r="M92">
        <v>89</v>
      </c>
      <c r="N92">
        <v>43.2</v>
      </c>
      <c r="O92">
        <v>74.8</v>
      </c>
      <c r="P92">
        <v>4.63</v>
      </c>
      <c r="Q92">
        <v>3.5</v>
      </c>
      <c r="R92" t="s">
        <v>186</v>
      </c>
      <c r="S92" t="s">
        <v>29</v>
      </c>
      <c r="T92" t="s">
        <v>30</v>
      </c>
    </row>
    <row r="93" spans="1:20" x14ac:dyDescent="0.3">
      <c r="A93">
        <v>11047</v>
      </c>
      <c r="B93" s="2">
        <v>45766</v>
      </c>
      <c r="C93" t="s">
        <v>49</v>
      </c>
      <c r="D93" t="s">
        <v>32</v>
      </c>
      <c r="E93" t="s">
        <v>107</v>
      </c>
      <c r="F93" t="s">
        <v>41</v>
      </c>
      <c r="G93" t="s">
        <v>60</v>
      </c>
      <c r="H93" t="s">
        <v>205</v>
      </c>
      <c r="I93" t="s">
        <v>221</v>
      </c>
      <c r="J93">
        <v>523</v>
      </c>
      <c r="K93">
        <v>7</v>
      </c>
      <c r="L93" t="s">
        <v>37</v>
      </c>
      <c r="M93">
        <v>50</v>
      </c>
      <c r="N93">
        <v>25.3</v>
      </c>
      <c r="O93">
        <v>70.099999999999994</v>
      </c>
      <c r="P93">
        <v>5.17</v>
      </c>
      <c r="Q93">
        <v>4.21</v>
      </c>
      <c r="R93" t="s">
        <v>222</v>
      </c>
      <c r="S93" t="s">
        <v>39</v>
      </c>
      <c r="T93" t="s">
        <v>30</v>
      </c>
    </row>
    <row r="94" spans="1:20" x14ac:dyDescent="0.3">
      <c r="A94">
        <v>11315</v>
      </c>
      <c r="B94" s="2">
        <v>45792</v>
      </c>
      <c r="C94" t="s">
        <v>20</v>
      </c>
      <c r="D94" t="s">
        <v>64</v>
      </c>
      <c r="E94" t="s">
        <v>40</v>
      </c>
      <c r="F94" t="s">
        <v>81</v>
      </c>
      <c r="G94" t="s">
        <v>113</v>
      </c>
      <c r="H94" t="s">
        <v>101</v>
      </c>
      <c r="I94" t="s">
        <v>62</v>
      </c>
      <c r="J94">
        <v>975</v>
      </c>
      <c r="K94">
        <v>13</v>
      </c>
      <c r="L94" t="s">
        <v>68</v>
      </c>
      <c r="M94">
        <v>160</v>
      </c>
      <c r="N94">
        <v>51.6</v>
      </c>
      <c r="O94">
        <v>69.099999999999994</v>
      </c>
      <c r="P94">
        <v>5.3</v>
      </c>
      <c r="Q94">
        <v>2.91</v>
      </c>
      <c r="R94" t="s">
        <v>53</v>
      </c>
      <c r="S94" t="s">
        <v>47</v>
      </c>
      <c r="T94" t="s">
        <v>30</v>
      </c>
    </row>
    <row r="95" spans="1:20" x14ac:dyDescent="0.3">
      <c r="A95">
        <v>11282</v>
      </c>
      <c r="B95" s="2">
        <v>45853</v>
      </c>
      <c r="C95" t="s">
        <v>20</v>
      </c>
      <c r="D95" t="s">
        <v>59</v>
      </c>
      <c r="E95" t="s">
        <v>40</v>
      </c>
      <c r="F95" t="s">
        <v>23</v>
      </c>
      <c r="G95" t="s">
        <v>74</v>
      </c>
      <c r="H95" t="s">
        <v>223</v>
      </c>
      <c r="I95" t="s">
        <v>149</v>
      </c>
      <c r="J95">
        <v>1490</v>
      </c>
      <c r="K95">
        <v>22</v>
      </c>
      <c r="L95" t="s">
        <v>45</v>
      </c>
      <c r="M95">
        <v>123</v>
      </c>
      <c r="N95">
        <v>32.299999999999997</v>
      </c>
      <c r="O95">
        <v>70.8</v>
      </c>
      <c r="P95">
        <v>4.8499999999999996</v>
      </c>
      <c r="Q95">
        <v>2.25</v>
      </c>
      <c r="R95" t="s">
        <v>128</v>
      </c>
      <c r="S95" t="s">
        <v>47</v>
      </c>
      <c r="T95" t="s">
        <v>30</v>
      </c>
    </row>
    <row r="96" spans="1:20" x14ac:dyDescent="0.3">
      <c r="A96">
        <v>11160</v>
      </c>
      <c r="B96" s="2">
        <v>45696</v>
      </c>
      <c r="C96" t="s">
        <v>31</v>
      </c>
      <c r="D96" t="s">
        <v>32</v>
      </c>
      <c r="E96" t="s">
        <v>33</v>
      </c>
      <c r="F96" t="s">
        <v>41</v>
      </c>
      <c r="G96" t="s">
        <v>24</v>
      </c>
      <c r="H96" t="s">
        <v>172</v>
      </c>
      <c r="I96" t="s">
        <v>224</v>
      </c>
      <c r="J96">
        <v>1408</v>
      </c>
      <c r="K96">
        <v>24</v>
      </c>
      <c r="L96" t="s">
        <v>27</v>
      </c>
      <c r="M96">
        <v>39</v>
      </c>
      <c r="N96">
        <v>39.700000000000003</v>
      </c>
      <c r="O96">
        <v>74.3</v>
      </c>
      <c r="P96">
        <v>3.88</v>
      </c>
      <c r="Q96">
        <v>2.7</v>
      </c>
      <c r="R96" t="s">
        <v>155</v>
      </c>
      <c r="S96" t="s">
        <v>39</v>
      </c>
      <c r="T96" t="s">
        <v>30</v>
      </c>
    </row>
    <row r="97" spans="1:20" x14ac:dyDescent="0.3">
      <c r="A97">
        <v>11037</v>
      </c>
      <c r="B97" s="2">
        <v>45934</v>
      </c>
      <c r="C97" t="s">
        <v>31</v>
      </c>
      <c r="D97" t="s">
        <v>32</v>
      </c>
      <c r="E97" t="s">
        <v>107</v>
      </c>
      <c r="F97" t="s">
        <v>41</v>
      </c>
      <c r="G97" t="s">
        <v>113</v>
      </c>
      <c r="H97" t="s">
        <v>138</v>
      </c>
      <c r="I97" t="s">
        <v>218</v>
      </c>
      <c r="J97">
        <v>483</v>
      </c>
      <c r="K97">
        <v>2</v>
      </c>
      <c r="L97" t="s">
        <v>57</v>
      </c>
      <c r="M97">
        <v>24</v>
      </c>
      <c r="N97">
        <v>45.3</v>
      </c>
      <c r="O97">
        <v>81.7</v>
      </c>
      <c r="P97">
        <v>4.93</v>
      </c>
      <c r="Q97">
        <v>1.74</v>
      </c>
      <c r="R97" t="s">
        <v>105</v>
      </c>
      <c r="S97" t="s">
        <v>29</v>
      </c>
      <c r="T97" t="s">
        <v>30</v>
      </c>
    </row>
    <row r="98" spans="1:20" x14ac:dyDescent="0.3">
      <c r="A98">
        <v>10799</v>
      </c>
      <c r="B98" s="2">
        <v>45676</v>
      </c>
      <c r="C98" t="s">
        <v>49</v>
      </c>
      <c r="D98" t="s">
        <v>32</v>
      </c>
      <c r="E98" t="s">
        <v>33</v>
      </c>
      <c r="F98" t="s">
        <v>81</v>
      </c>
      <c r="G98" t="s">
        <v>60</v>
      </c>
      <c r="H98" t="s">
        <v>61</v>
      </c>
      <c r="I98" t="s">
        <v>136</v>
      </c>
      <c r="J98">
        <v>625</v>
      </c>
      <c r="K98">
        <v>8</v>
      </c>
      <c r="L98" t="s">
        <v>27</v>
      </c>
      <c r="M98">
        <v>62</v>
      </c>
      <c r="N98">
        <v>51.1</v>
      </c>
      <c r="O98">
        <v>71.400000000000006</v>
      </c>
      <c r="P98">
        <v>5.37</v>
      </c>
      <c r="Q98">
        <v>2.69</v>
      </c>
      <c r="R98" t="s">
        <v>137</v>
      </c>
      <c r="S98" t="s">
        <v>47</v>
      </c>
      <c r="T98" t="s">
        <v>30</v>
      </c>
    </row>
    <row r="99" spans="1:20" x14ac:dyDescent="0.3">
      <c r="A99">
        <v>10701</v>
      </c>
      <c r="B99" s="2">
        <v>45947</v>
      </c>
      <c r="C99" t="s">
        <v>49</v>
      </c>
      <c r="D99" t="s">
        <v>59</v>
      </c>
      <c r="E99" t="s">
        <v>107</v>
      </c>
      <c r="F99" t="s">
        <v>23</v>
      </c>
      <c r="G99" t="s">
        <v>42</v>
      </c>
      <c r="H99" t="s">
        <v>200</v>
      </c>
      <c r="I99" t="s">
        <v>225</v>
      </c>
      <c r="J99">
        <v>1188</v>
      </c>
      <c r="K99">
        <v>15</v>
      </c>
      <c r="L99" t="s">
        <v>57</v>
      </c>
      <c r="M99">
        <v>157</v>
      </c>
      <c r="N99">
        <v>52.9</v>
      </c>
      <c r="O99">
        <v>74</v>
      </c>
      <c r="P99">
        <v>5.52</v>
      </c>
      <c r="Q99">
        <v>3.28</v>
      </c>
      <c r="R99" t="s">
        <v>209</v>
      </c>
      <c r="S99" t="s">
        <v>47</v>
      </c>
      <c r="T99" t="s">
        <v>30</v>
      </c>
    </row>
    <row r="100" spans="1:20" x14ac:dyDescent="0.3">
      <c r="A100">
        <v>10487</v>
      </c>
      <c r="B100" s="2">
        <v>45921</v>
      </c>
      <c r="C100" t="s">
        <v>49</v>
      </c>
      <c r="D100" t="s">
        <v>59</v>
      </c>
      <c r="E100" t="s">
        <v>40</v>
      </c>
      <c r="F100" t="s">
        <v>41</v>
      </c>
      <c r="G100" t="s">
        <v>50</v>
      </c>
      <c r="H100" t="s">
        <v>78</v>
      </c>
      <c r="I100" t="s">
        <v>226</v>
      </c>
      <c r="J100">
        <v>1582</v>
      </c>
      <c r="K100">
        <v>62</v>
      </c>
      <c r="L100" t="s">
        <v>71</v>
      </c>
      <c r="M100">
        <v>32</v>
      </c>
      <c r="N100">
        <v>42.5</v>
      </c>
      <c r="O100">
        <v>59.8</v>
      </c>
      <c r="P100">
        <v>4.79</v>
      </c>
      <c r="Q100">
        <v>2.86</v>
      </c>
      <c r="R100" t="s">
        <v>227</v>
      </c>
      <c r="S100" t="s">
        <v>39</v>
      </c>
      <c r="T100" t="s">
        <v>48</v>
      </c>
    </row>
    <row r="101" spans="1:20" x14ac:dyDescent="0.3">
      <c r="A101">
        <v>10813</v>
      </c>
      <c r="B101" s="2">
        <v>45841</v>
      </c>
      <c r="C101" t="s">
        <v>20</v>
      </c>
      <c r="D101" t="s">
        <v>32</v>
      </c>
      <c r="E101" t="s">
        <v>22</v>
      </c>
      <c r="F101" t="s">
        <v>41</v>
      </c>
      <c r="G101" t="s">
        <v>24</v>
      </c>
      <c r="H101" t="s">
        <v>123</v>
      </c>
      <c r="I101" t="s">
        <v>228</v>
      </c>
      <c r="J101">
        <v>1308</v>
      </c>
      <c r="K101">
        <v>15</v>
      </c>
      <c r="L101" t="s">
        <v>37</v>
      </c>
      <c r="M101">
        <v>66</v>
      </c>
      <c r="N101">
        <v>39.6</v>
      </c>
      <c r="O101">
        <v>75</v>
      </c>
      <c r="P101">
        <v>5.07</v>
      </c>
      <c r="Q101">
        <v>2.14</v>
      </c>
      <c r="R101" t="s">
        <v>63</v>
      </c>
      <c r="S101" t="s">
        <v>29</v>
      </c>
      <c r="T101" t="s">
        <v>30</v>
      </c>
    </row>
    <row r="102" spans="1:20" x14ac:dyDescent="0.3">
      <c r="A102">
        <v>10495</v>
      </c>
      <c r="B102" s="2">
        <v>45671</v>
      </c>
      <c r="C102" t="s">
        <v>20</v>
      </c>
      <c r="D102" t="s">
        <v>64</v>
      </c>
      <c r="E102" t="s">
        <v>107</v>
      </c>
      <c r="F102" t="s">
        <v>23</v>
      </c>
      <c r="G102" t="s">
        <v>50</v>
      </c>
      <c r="H102" t="s">
        <v>144</v>
      </c>
      <c r="I102" t="s">
        <v>52</v>
      </c>
      <c r="J102">
        <v>1172</v>
      </c>
      <c r="K102">
        <v>10</v>
      </c>
      <c r="L102" t="s">
        <v>68</v>
      </c>
      <c r="M102">
        <v>159</v>
      </c>
      <c r="N102">
        <v>42.7</v>
      </c>
      <c r="O102">
        <v>68.8</v>
      </c>
      <c r="P102">
        <v>4.8</v>
      </c>
      <c r="Q102">
        <v>2.52</v>
      </c>
      <c r="R102" t="s">
        <v>229</v>
      </c>
      <c r="S102" t="s">
        <v>47</v>
      </c>
      <c r="T102" t="s">
        <v>30</v>
      </c>
    </row>
    <row r="103" spans="1:20" x14ac:dyDescent="0.3">
      <c r="A103">
        <v>10494</v>
      </c>
      <c r="B103" s="2">
        <v>45884</v>
      </c>
      <c r="C103" t="s">
        <v>49</v>
      </c>
      <c r="D103" t="s">
        <v>64</v>
      </c>
      <c r="E103" t="s">
        <v>107</v>
      </c>
      <c r="F103" t="s">
        <v>23</v>
      </c>
      <c r="G103" t="s">
        <v>74</v>
      </c>
      <c r="H103" t="s">
        <v>177</v>
      </c>
      <c r="I103" t="s">
        <v>230</v>
      </c>
      <c r="J103">
        <v>990</v>
      </c>
      <c r="K103">
        <v>27</v>
      </c>
      <c r="L103" t="s">
        <v>27</v>
      </c>
      <c r="M103">
        <v>24</v>
      </c>
      <c r="N103">
        <v>34.799999999999997</v>
      </c>
      <c r="O103">
        <v>69.8</v>
      </c>
      <c r="P103">
        <v>0.4</v>
      </c>
      <c r="Q103">
        <v>2.82</v>
      </c>
      <c r="R103" t="s">
        <v>167</v>
      </c>
      <c r="S103" t="s">
        <v>73</v>
      </c>
      <c r="T103" t="s">
        <v>30</v>
      </c>
    </row>
    <row r="104" spans="1:20" x14ac:dyDescent="0.3">
      <c r="A104">
        <v>10980</v>
      </c>
      <c r="B104" s="2">
        <v>45777</v>
      </c>
      <c r="C104" t="s">
        <v>49</v>
      </c>
      <c r="D104" t="s">
        <v>21</v>
      </c>
      <c r="E104" t="s">
        <v>22</v>
      </c>
      <c r="F104" t="s">
        <v>41</v>
      </c>
      <c r="G104" t="s">
        <v>42</v>
      </c>
      <c r="H104" t="s">
        <v>144</v>
      </c>
      <c r="I104" t="s">
        <v>181</v>
      </c>
      <c r="J104">
        <v>1365</v>
      </c>
      <c r="K104">
        <v>116</v>
      </c>
      <c r="L104" t="s">
        <v>45</v>
      </c>
      <c r="M104">
        <v>171</v>
      </c>
      <c r="N104">
        <v>44.1</v>
      </c>
      <c r="O104">
        <v>71.599999999999994</v>
      </c>
      <c r="P104">
        <v>5.31</v>
      </c>
      <c r="Q104">
        <v>1.47</v>
      </c>
      <c r="R104" t="s">
        <v>222</v>
      </c>
      <c r="S104" t="s">
        <v>29</v>
      </c>
      <c r="T104" t="s">
        <v>48</v>
      </c>
    </row>
    <row r="105" spans="1:20" x14ac:dyDescent="0.3">
      <c r="A105">
        <v>11125</v>
      </c>
      <c r="B105" s="2">
        <v>45744</v>
      </c>
      <c r="C105" t="s">
        <v>49</v>
      </c>
      <c r="D105" t="s">
        <v>59</v>
      </c>
      <c r="E105" t="s">
        <v>22</v>
      </c>
      <c r="F105" t="s">
        <v>41</v>
      </c>
      <c r="G105" t="s">
        <v>95</v>
      </c>
      <c r="H105" t="s">
        <v>177</v>
      </c>
      <c r="I105" t="s">
        <v>231</v>
      </c>
      <c r="J105">
        <v>1321</v>
      </c>
      <c r="K105">
        <v>26</v>
      </c>
      <c r="L105" t="s">
        <v>27</v>
      </c>
      <c r="M105">
        <v>96</v>
      </c>
      <c r="N105">
        <v>47</v>
      </c>
      <c r="O105">
        <v>62.7</v>
      </c>
      <c r="P105">
        <v>3.66</v>
      </c>
      <c r="Q105">
        <v>2.91</v>
      </c>
      <c r="R105" t="s">
        <v>232</v>
      </c>
      <c r="S105" t="s">
        <v>73</v>
      </c>
      <c r="T105" t="s">
        <v>30</v>
      </c>
    </row>
    <row r="106" spans="1:20" x14ac:dyDescent="0.3">
      <c r="A106">
        <v>11038</v>
      </c>
      <c r="B106" s="2">
        <v>45865</v>
      </c>
      <c r="C106" t="s">
        <v>49</v>
      </c>
      <c r="D106" t="s">
        <v>32</v>
      </c>
      <c r="E106" t="s">
        <v>40</v>
      </c>
      <c r="F106" t="s">
        <v>65</v>
      </c>
      <c r="G106" t="s">
        <v>113</v>
      </c>
      <c r="H106" t="s">
        <v>177</v>
      </c>
      <c r="I106" t="s">
        <v>233</v>
      </c>
      <c r="J106">
        <v>453</v>
      </c>
      <c r="K106">
        <v>8</v>
      </c>
      <c r="L106" t="s">
        <v>27</v>
      </c>
      <c r="M106">
        <v>56</v>
      </c>
      <c r="N106">
        <v>28.8</v>
      </c>
      <c r="O106">
        <v>83.1</v>
      </c>
      <c r="P106">
        <v>5.4</v>
      </c>
      <c r="Q106">
        <v>4.5999999999999996</v>
      </c>
      <c r="R106" t="s">
        <v>137</v>
      </c>
      <c r="S106" t="s">
        <v>73</v>
      </c>
      <c r="T106" t="s">
        <v>30</v>
      </c>
    </row>
    <row r="107" spans="1:20" x14ac:dyDescent="0.3">
      <c r="A107">
        <v>10619</v>
      </c>
      <c r="B107" s="2">
        <v>45943</v>
      </c>
      <c r="C107" t="s">
        <v>31</v>
      </c>
      <c r="D107" t="s">
        <v>59</v>
      </c>
      <c r="E107" t="s">
        <v>40</v>
      </c>
      <c r="F107" t="s">
        <v>81</v>
      </c>
      <c r="G107" t="s">
        <v>134</v>
      </c>
      <c r="H107" t="s">
        <v>161</v>
      </c>
      <c r="I107" t="s">
        <v>234</v>
      </c>
      <c r="J107">
        <v>1172</v>
      </c>
      <c r="K107">
        <v>39</v>
      </c>
      <c r="L107" t="s">
        <v>57</v>
      </c>
      <c r="M107">
        <v>43</v>
      </c>
      <c r="N107">
        <v>32.200000000000003</v>
      </c>
      <c r="O107">
        <v>58.4</v>
      </c>
      <c r="P107">
        <v>5.5</v>
      </c>
      <c r="Q107">
        <v>1.83</v>
      </c>
      <c r="R107" t="s">
        <v>184</v>
      </c>
      <c r="S107" t="s">
        <v>47</v>
      </c>
      <c r="T107" t="s">
        <v>48</v>
      </c>
    </row>
    <row r="108" spans="1:20" x14ac:dyDescent="0.3">
      <c r="A108">
        <v>10661</v>
      </c>
      <c r="B108" s="2">
        <v>45765</v>
      </c>
      <c r="C108" t="s">
        <v>20</v>
      </c>
      <c r="D108" t="s">
        <v>64</v>
      </c>
      <c r="E108" t="s">
        <v>107</v>
      </c>
      <c r="F108" t="s">
        <v>41</v>
      </c>
      <c r="G108" t="s">
        <v>34</v>
      </c>
      <c r="H108" t="s">
        <v>192</v>
      </c>
      <c r="I108" t="s">
        <v>168</v>
      </c>
      <c r="J108">
        <v>859</v>
      </c>
      <c r="K108">
        <v>50</v>
      </c>
      <c r="L108" t="s">
        <v>68</v>
      </c>
      <c r="M108">
        <v>34</v>
      </c>
      <c r="N108">
        <v>49.7</v>
      </c>
      <c r="O108">
        <v>75.900000000000006</v>
      </c>
      <c r="P108">
        <v>5.0999999999999996</v>
      </c>
      <c r="Q108">
        <v>1.33</v>
      </c>
      <c r="R108" t="s">
        <v>133</v>
      </c>
      <c r="S108" t="s">
        <v>47</v>
      </c>
      <c r="T108" t="s">
        <v>48</v>
      </c>
    </row>
    <row r="109" spans="1:20" x14ac:dyDescent="0.3">
      <c r="A109">
        <v>10971</v>
      </c>
      <c r="B109" s="2">
        <v>45783</v>
      </c>
      <c r="C109" t="s">
        <v>49</v>
      </c>
      <c r="D109" t="s">
        <v>59</v>
      </c>
      <c r="E109" t="s">
        <v>40</v>
      </c>
      <c r="F109" t="s">
        <v>41</v>
      </c>
      <c r="G109" t="s">
        <v>50</v>
      </c>
      <c r="H109" t="s">
        <v>205</v>
      </c>
      <c r="I109" t="s">
        <v>235</v>
      </c>
      <c r="J109">
        <v>1402</v>
      </c>
      <c r="K109">
        <v>7</v>
      </c>
      <c r="L109" t="s">
        <v>68</v>
      </c>
      <c r="M109">
        <v>76</v>
      </c>
      <c r="N109">
        <v>51.4</v>
      </c>
      <c r="O109">
        <v>70.2</v>
      </c>
      <c r="P109">
        <v>5.58</v>
      </c>
      <c r="Q109">
        <v>2.4500000000000002</v>
      </c>
      <c r="R109" t="s">
        <v>189</v>
      </c>
      <c r="S109" t="s">
        <v>47</v>
      </c>
      <c r="T109" t="s">
        <v>30</v>
      </c>
    </row>
    <row r="110" spans="1:20" x14ac:dyDescent="0.3">
      <c r="A110">
        <v>10045</v>
      </c>
      <c r="B110" s="2">
        <v>45959</v>
      </c>
      <c r="C110" t="s">
        <v>31</v>
      </c>
      <c r="D110" t="s">
        <v>21</v>
      </c>
      <c r="E110" t="s">
        <v>33</v>
      </c>
      <c r="F110" t="s">
        <v>41</v>
      </c>
      <c r="G110" t="s">
        <v>42</v>
      </c>
      <c r="H110" t="s">
        <v>200</v>
      </c>
      <c r="I110" t="s">
        <v>236</v>
      </c>
      <c r="J110">
        <v>460</v>
      </c>
      <c r="K110">
        <v>7</v>
      </c>
      <c r="L110" t="s">
        <v>37</v>
      </c>
      <c r="M110">
        <v>108</v>
      </c>
      <c r="N110">
        <v>54.5</v>
      </c>
      <c r="O110">
        <v>76.7</v>
      </c>
      <c r="P110">
        <v>5.37</v>
      </c>
      <c r="Q110">
        <v>3.29</v>
      </c>
      <c r="R110" t="s">
        <v>80</v>
      </c>
      <c r="S110" t="s">
        <v>73</v>
      </c>
      <c r="T110" t="s">
        <v>30</v>
      </c>
    </row>
    <row r="111" spans="1:20" x14ac:dyDescent="0.3">
      <c r="A111">
        <v>10060</v>
      </c>
      <c r="B111" s="2">
        <v>45834</v>
      </c>
      <c r="C111" t="s">
        <v>31</v>
      </c>
      <c r="D111" t="s">
        <v>64</v>
      </c>
      <c r="E111" t="s">
        <v>33</v>
      </c>
      <c r="F111" t="s">
        <v>23</v>
      </c>
      <c r="G111" t="s">
        <v>42</v>
      </c>
      <c r="H111" t="s">
        <v>190</v>
      </c>
      <c r="I111" t="s">
        <v>121</v>
      </c>
      <c r="J111">
        <v>826</v>
      </c>
      <c r="K111">
        <v>21</v>
      </c>
      <c r="L111" t="s">
        <v>57</v>
      </c>
      <c r="M111">
        <v>41</v>
      </c>
      <c r="N111">
        <v>41.8</v>
      </c>
      <c r="O111">
        <v>73.900000000000006</v>
      </c>
      <c r="P111">
        <v>6.44</v>
      </c>
      <c r="Q111">
        <v>1.7</v>
      </c>
      <c r="R111" t="s">
        <v>28</v>
      </c>
      <c r="S111" t="s">
        <v>39</v>
      </c>
      <c r="T111" t="s">
        <v>30</v>
      </c>
    </row>
    <row r="112" spans="1:20" x14ac:dyDescent="0.3">
      <c r="A112">
        <v>10963</v>
      </c>
      <c r="B112" s="2">
        <v>45944</v>
      </c>
      <c r="C112" t="s">
        <v>31</v>
      </c>
      <c r="D112" t="s">
        <v>32</v>
      </c>
      <c r="E112" t="s">
        <v>33</v>
      </c>
      <c r="F112" t="s">
        <v>41</v>
      </c>
      <c r="G112" t="s">
        <v>113</v>
      </c>
      <c r="H112" t="s">
        <v>123</v>
      </c>
      <c r="I112" t="s">
        <v>237</v>
      </c>
      <c r="J112">
        <v>694</v>
      </c>
      <c r="K112">
        <v>29</v>
      </c>
      <c r="L112" t="s">
        <v>71</v>
      </c>
      <c r="M112">
        <v>31</v>
      </c>
      <c r="N112">
        <v>52.7</v>
      </c>
      <c r="O112">
        <v>79.099999999999994</v>
      </c>
      <c r="P112">
        <v>5.54</v>
      </c>
      <c r="Q112">
        <v>0.81</v>
      </c>
      <c r="R112" t="s">
        <v>164</v>
      </c>
      <c r="S112" t="s">
        <v>29</v>
      </c>
      <c r="T112" t="s">
        <v>48</v>
      </c>
    </row>
    <row r="113" spans="1:20" x14ac:dyDescent="0.3">
      <c r="A113">
        <v>11231</v>
      </c>
      <c r="B113" s="2">
        <v>45998</v>
      </c>
      <c r="C113" t="s">
        <v>31</v>
      </c>
      <c r="D113" t="s">
        <v>64</v>
      </c>
      <c r="E113" t="s">
        <v>40</v>
      </c>
      <c r="F113" t="s">
        <v>81</v>
      </c>
      <c r="G113" t="s">
        <v>113</v>
      </c>
      <c r="H113" t="s">
        <v>78</v>
      </c>
      <c r="I113" t="s">
        <v>238</v>
      </c>
      <c r="J113">
        <v>697</v>
      </c>
      <c r="K113">
        <v>3</v>
      </c>
      <c r="L113" t="s">
        <v>45</v>
      </c>
      <c r="M113">
        <v>21</v>
      </c>
      <c r="N113">
        <v>53.6</v>
      </c>
      <c r="O113">
        <v>68.5</v>
      </c>
      <c r="P113">
        <v>5.28</v>
      </c>
      <c r="Q113">
        <v>2.99</v>
      </c>
      <c r="R113" t="s">
        <v>159</v>
      </c>
      <c r="S113" t="s">
        <v>29</v>
      </c>
      <c r="T113" t="s">
        <v>30</v>
      </c>
    </row>
    <row r="114" spans="1:20" x14ac:dyDescent="0.3">
      <c r="A114">
        <v>10024</v>
      </c>
      <c r="B114" s="2">
        <v>45682</v>
      </c>
      <c r="C114" t="s">
        <v>31</v>
      </c>
      <c r="D114" t="s">
        <v>64</v>
      </c>
      <c r="E114" t="s">
        <v>107</v>
      </c>
      <c r="F114" t="s">
        <v>81</v>
      </c>
      <c r="G114" t="s">
        <v>24</v>
      </c>
      <c r="H114" t="s">
        <v>75</v>
      </c>
      <c r="I114" t="s">
        <v>237</v>
      </c>
      <c r="J114">
        <v>1184</v>
      </c>
      <c r="K114">
        <v>17</v>
      </c>
      <c r="L114" t="s">
        <v>71</v>
      </c>
      <c r="M114">
        <v>46</v>
      </c>
      <c r="N114">
        <v>54.7</v>
      </c>
      <c r="O114">
        <v>75.2</v>
      </c>
      <c r="P114">
        <v>5.27</v>
      </c>
      <c r="Q114">
        <v>2.89</v>
      </c>
      <c r="R114" t="s">
        <v>84</v>
      </c>
      <c r="S114" t="s">
        <v>39</v>
      </c>
      <c r="T114" t="s">
        <v>30</v>
      </c>
    </row>
    <row r="115" spans="1:20" x14ac:dyDescent="0.3">
      <c r="A115">
        <v>10611</v>
      </c>
      <c r="B115" s="2">
        <v>45846</v>
      </c>
      <c r="C115" t="s">
        <v>20</v>
      </c>
      <c r="D115" t="s">
        <v>59</v>
      </c>
      <c r="E115" t="s">
        <v>33</v>
      </c>
      <c r="F115" t="s">
        <v>81</v>
      </c>
      <c r="G115" t="s">
        <v>74</v>
      </c>
      <c r="H115" t="s">
        <v>180</v>
      </c>
      <c r="I115" t="s">
        <v>212</v>
      </c>
      <c r="J115">
        <v>621</v>
      </c>
      <c r="K115">
        <v>19</v>
      </c>
      <c r="L115" t="s">
        <v>37</v>
      </c>
      <c r="M115">
        <v>37</v>
      </c>
      <c r="N115">
        <v>41.6</v>
      </c>
      <c r="O115">
        <v>145</v>
      </c>
      <c r="P115">
        <v>5.68</v>
      </c>
      <c r="Q115">
        <v>3.97</v>
      </c>
      <c r="R115" t="s">
        <v>80</v>
      </c>
      <c r="S115" t="s">
        <v>39</v>
      </c>
      <c r="T115" t="s">
        <v>48</v>
      </c>
    </row>
    <row r="116" spans="1:20" x14ac:dyDescent="0.3">
      <c r="A116">
        <v>11317</v>
      </c>
      <c r="B116" s="2">
        <v>45979</v>
      </c>
      <c r="C116" t="s">
        <v>31</v>
      </c>
      <c r="D116" t="s">
        <v>59</v>
      </c>
      <c r="E116" t="s">
        <v>33</v>
      </c>
      <c r="F116" t="s">
        <v>81</v>
      </c>
      <c r="G116" t="s">
        <v>134</v>
      </c>
      <c r="H116" t="s">
        <v>131</v>
      </c>
      <c r="I116" t="s">
        <v>239</v>
      </c>
      <c r="J116">
        <v>843</v>
      </c>
      <c r="K116">
        <v>7</v>
      </c>
      <c r="L116" t="s">
        <v>45</v>
      </c>
      <c r="M116">
        <v>19</v>
      </c>
      <c r="N116">
        <v>37.9</v>
      </c>
      <c r="O116">
        <v>67.3</v>
      </c>
      <c r="P116">
        <v>5.3</v>
      </c>
      <c r="Q116">
        <v>2.52</v>
      </c>
      <c r="R116" t="s">
        <v>240</v>
      </c>
      <c r="S116" t="s">
        <v>73</v>
      </c>
      <c r="T116" t="s">
        <v>30</v>
      </c>
    </row>
    <row r="117" spans="1:20" x14ac:dyDescent="0.3">
      <c r="A117">
        <v>10333</v>
      </c>
      <c r="B117" s="2">
        <v>45840</v>
      </c>
      <c r="C117" t="s">
        <v>31</v>
      </c>
      <c r="D117" t="s">
        <v>64</v>
      </c>
      <c r="E117" t="s">
        <v>40</v>
      </c>
      <c r="F117" t="s">
        <v>41</v>
      </c>
      <c r="G117" t="s">
        <v>24</v>
      </c>
      <c r="H117" t="s">
        <v>196</v>
      </c>
      <c r="I117" t="s">
        <v>241</v>
      </c>
      <c r="J117">
        <v>1393</v>
      </c>
      <c r="K117">
        <v>10</v>
      </c>
      <c r="L117" t="s">
        <v>27</v>
      </c>
      <c r="M117">
        <v>38</v>
      </c>
      <c r="N117">
        <v>39.9</v>
      </c>
      <c r="O117">
        <v>64.5</v>
      </c>
      <c r="P117">
        <v>6.26</v>
      </c>
      <c r="Q117">
        <v>1.23</v>
      </c>
      <c r="R117" t="s">
        <v>155</v>
      </c>
      <c r="S117" t="s">
        <v>39</v>
      </c>
      <c r="T117" t="s">
        <v>30</v>
      </c>
    </row>
    <row r="118" spans="1:20" x14ac:dyDescent="0.3">
      <c r="A118">
        <v>10922</v>
      </c>
      <c r="B118" s="2">
        <v>45693</v>
      </c>
      <c r="C118" t="s">
        <v>20</v>
      </c>
      <c r="D118" t="s">
        <v>32</v>
      </c>
      <c r="E118" t="s">
        <v>40</v>
      </c>
      <c r="F118" t="s">
        <v>81</v>
      </c>
      <c r="G118" t="s">
        <v>24</v>
      </c>
      <c r="H118" t="s">
        <v>35</v>
      </c>
      <c r="I118" t="s">
        <v>230</v>
      </c>
      <c r="J118">
        <v>1395</v>
      </c>
      <c r="K118">
        <v>89</v>
      </c>
      <c r="L118" t="s">
        <v>71</v>
      </c>
      <c r="M118">
        <v>154</v>
      </c>
      <c r="N118">
        <v>55.9</v>
      </c>
      <c r="O118">
        <v>73.900000000000006</v>
      </c>
      <c r="P118">
        <v>5.72</v>
      </c>
      <c r="Q118">
        <v>1.1200000000000001</v>
      </c>
      <c r="R118" t="s">
        <v>242</v>
      </c>
      <c r="S118" t="s">
        <v>73</v>
      </c>
      <c r="T118" t="s">
        <v>48</v>
      </c>
    </row>
    <row r="119" spans="1:20" x14ac:dyDescent="0.3">
      <c r="A119">
        <v>11351</v>
      </c>
      <c r="B119" s="2">
        <v>45866</v>
      </c>
      <c r="C119" t="s">
        <v>31</v>
      </c>
      <c r="D119" t="s">
        <v>21</v>
      </c>
      <c r="E119" t="s">
        <v>22</v>
      </c>
      <c r="F119" t="s">
        <v>81</v>
      </c>
      <c r="G119" t="s">
        <v>60</v>
      </c>
      <c r="H119" t="s">
        <v>193</v>
      </c>
      <c r="I119" t="s">
        <v>166</v>
      </c>
      <c r="J119">
        <v>910</v>
      </c>
      <c r="K119">
        <v>7</v>
      </c>
      <c r="L119" t="s">
        <v>68</v>
      </c>
      <c r="M119">
        <v>141</v>
      </c>
      <c r="N119">
        <v>37.299999999999997</v>
      </c>
      <c r="O119">
        <v>73.7</v>
      </c>
      <c r="P119">
        <v>4.76</v>
      </c>
      <c r="Q119">
        <v>1.99</v>
      </c>
      <c r="R119" t="s">
        <v>28</v>
      </c>
      <c r="S119" t="s">
        <v>29</v>
      </c>
      <c r="T119" t="s">
        <v>30</v>
      </c>
    </row>
    <row r="120" spans="1:20" x14ac:dyDescent="0.3">
      <c r="A120">
        <v>11311</v>
      </c>
      <c r="B120" s="2">
        <v>45796</v>
      </c>
      <c r="C120" t="s">
        <v>31</v>
      </c>
      <c r="D120" t="s">
        <v>32</v>
      </c>
      <c r="E120" t="s">
        <v>22</v>
      </c>
      <c r="F120" t="s">
        <v>23</v>
      </c>
      <c r="G120" t="s">
        <v>54</v>
      </c>
      <c r="H120" t="s">
        <v>90</v>
      </c>
      <c r="I120" t="s">
        <v>44</v>
      </c>
      <c r="J120">
        <v>1115</v>
      </c>
      <c r="K120">
        <v>18</v>
      </c>
      <c r="L120" t="s">
        <v>68</v>
      </c>
      <c r="M120">
        <v>174</v>
      </c>
      <c r="N120">
        <v>28.8</v>
      </c>
      <c r="O120">
        <v>86.9</v>
      </c>
      <c r="P120">
        <v>4.78</v>
      </c>
      <c r="Q120">
        <v>2.4900000000000002</v>
      </c>
      <c r="R120" t="s">
        <v>84</v>
      </c>
      <c r="S120" t="s">
        <v>47</v>
      </c>
      <c r="T120" t="s">
        <v>30</v>
      </c>
    </row>
    <row r="121" spans="1:20" x14ac:dyDescent="0.3">
      <c r="A121">
        <v>11165</v>
      </c>
      <c r="B121" s="2">
        <v>45986</v>
      </c>
      <c r="C121" t="s">
        <v>20</v>
      </c>
      <c r="D121" t="s">
        <v>32</v>
      </c>
      <c r="E121" t="s">
        <v>40</v>
      </c>
      <c r="F121" t="s">
        <v>23</v>
      </c>
      <c r="G121" t="s">
        <v>74</v>
      </c>
      <c r="H121" t="s">
        <v>193</v>
      </c>
      <c r="I121" t="s">
        <v>237</v>
      </c>
      <c r="J121">
        <v>651</v>
      </c>
      <c r="K121">
        <v>25</v>
      </c>
      <c r="L121" t="s">
        <v>57</v>
      </c>
      <c r="M121">
        <v>92</v>
      </c>
      <c r="N121">
        <v>47.8</v>
      </c>
      <c r="O121">
        <v>74.7</v>
      </c>
      <c r="P121">
        <v>5.3</v>
      </c>
      <c r="Q121">
        <v>3.8</v>
      </c>
      <c r="R121" t="s">
        <v>243</v>
      </c>
      <c r="S121" t="s">
        <v>73</v>
      </c>
      <c r="T121" t="s">
        <v>48</v>
      </c>
    </row>
    <row r="122" spans="1:20" x14ac:dyDescent="0.3">
      <c r="A122">
        <v>10807</v>
      </c>
      <c r="B122" s="2">
        <v>45871</v>
      </c>
      <c r="C122" t="s">
        <v>150</v>
      </c>
      <c r="D122" t="s">
        <v>21</v>
      </c>
      <c r="E122" t="s">
        <v>107</v>
      </c>
      <c r="F122" t="s">
        <v>41</v>
      </c>
      <c r="G122" t="s">
        <v>54</v>
      </c>
      <c r="H122" t="s">
        <v>116</v>
      </c>
      <c r="I122" t="s">
        <v>244</v>
      </c>
      <c r="J122">
        <v>793</v>
      </c>
      <c r="K122">
        <v>8</v>
      </c>
      <c r="L122" t="s">
        <v>71</v>
      </c>
      <c r="M122">
        <v>93</v>
      </c>
      <c r="N122">
        <v>43.4</v>
      </c>
      <c r="O122">
        <v>72.3</v>
      </c>
      <c r="P122">
        <v>5.77</v>
      </c>
      <c r="Q122">
        <v>1.41</v>
      </c>
      <c r="R122" t="s">
        <v>245</v>
      </c>
      <c r="S122" t="s">
        <v>73</v>
      </c>
      <c r="T122" t="s">
        <v>30</v>
      </c>
    </row>
    <row r="123" spans="1:20" x14ac:dyDescent="0.3">
      <c r="A123">
        <v>10998</v>
      </c>
      <c r="B123" s="2">
        <v>45996</v>
      </c>
      <c r="C123" t="s">
        <v>49</v>
      </c>
      <c r="D123" t="s">
        <v>21</v>
      </c>
      <c r="E123" t="s">
        <v>107</v>
      </c>
      <c r="F123" t="s">
        <v>81</v>
      </c>
      <c r="G123" t="s">
        <v>134</v>
      </c>
      <c r="H123" t="s">
        <v>213</v>
      </c>
      <c r="I123" t="s">
        <v>246</v>
      </c>
      <c r="J123">
        <v>1184</v>
      </c>
      <c r="K123">
        <v>12</v>
      </c>
      <c r="L123" t="s">
        <v>27</v>
      </c>
      <c r="M123">
        <v>162</v>
      </c>
      <c r="N123">
        <v>38.799999999999997</v>
      </c>
      <c r="O123">
        <v>69.8</v>
      </c>
      <c r="P123">
        <v>6.84</v>
      </c>
      <c r="Q123">
        <v>1.6</v>
      </c>
      <c r="R123" t="s">
        <v>105</v>
      </c>
      <c r="S123" t="s">
        <v>73</v>
      </c>
      <c r="T123" t="s">
        <v>30</v>
      </c>
    </row>
    <row r="124" spans="1:20" x14ac:dyDescent="0.3">
      <c r="A124">
        <v>10116</v>
      </c>
      <c r="B124" s="2">
        <v>45824</v>
      </c>
      <c r="C124" t="s">
        <v>49</v>
      </c>
      <c r="D124" t="s">
        <v>21</v>
      </c>
      <c r="E124" t="s">
        <v>107</v>
      </c>
      <c r="F124" t="s">
        <v>247</v>
      </c>
      <c r="G124" t="s">
        <v>74</v>
      </c>
      <c r="H124" t="s">
        <v>101</v>
      </c>
      <c r="I124" t="s">
        <v>248</v>
      </c>
      <c r="J124">
        <v>471</v>
      </c>
      <c r="K124">
        <v>6</v>
      </c>
      <c r="L124" t="s">
        <v>27</v>
      </c>
      <c r="M124">
        <v>67</v>
      </c>
      <c r="N124">
        <v>27.1</v>
      </c>
      <c r="O124">
        <v>71.7</v>
      </c>
      <c r="P124">
        <v>5.3</v>
      </c>
      <c r="Q124">
        <v>3.97</v>
      </c>
      <c r="R124" t="s">
        <v>63</v>
      </c>
      <c r="S124" t="s">
        <v>29</v>
      </c>
      <c r="T124" t="s">
        <v>30</v>
      </c>
    </row>
    <row r="125" spans="1:20" x14ac:dyDescent="0.3">
      <c r="A125">
        <v>11095</v>
      </c>
      <c r="B125" s="2">
        <v>45803</v>
      </c>
      <c r="C125" t="s">
        <v>49</v>
      </c>
      <c r="D125" t="s">
        <v>64</v>
      </c>
      <c r="E125" t="s">
        <v>107</v>
      </c>
      <c r="F125" t="s">
        <v>41</v>
      </c>
      <c r="G125" t="s">
        <v>60</v>
      </c>
      <c r="H125" t="s">
        <v>161</v>
      </c>
      <c r="I125" t="s">
        <v>249</v>
      </c>
      <c r="J125">
        <v>805</v>
      </c>
      <c r="K125" t="s">
        <v>250</v>
      </c>
      <c r="L125" t="s">
        <v>45</v>
      </c>
      <c r="M125">
        <v>44</v>
      </c>
      <c r="N125">
        <v>37.6</v>
      </c>
      <c r="O125">
        <v>57.6</v>
      </c>
      <c r="P125">
        <v>4.55</v>
      </c>
      <c r="Q125">
        <v>2.0299999999999998</v>
      </c>
      <c r="R125" t="s">
        <v>195</v>
      </c>
      <c r="S125" t="s">
        <v>47</v>
      </c>
      <c r="T125" t="s">
        <v>30</v>
      </c>
    </row>
    <row r="126" spans="1:20" x14ac:dyDescent="0.3">
      <c r="A126">
        <v>11114</v>
      </c>
      <c r="B126" s="2">
        <v>45913</v>
      </c>
      <c r="C126" t="s">
        <v>156</v>
      </c>
      <c r="D126" t="s">
        <v>64</v>
      </c>
      <c r="E126" t="s">
        <v>33</v>
      </c>
      <c r="F126" t="s">
        <v>23</v>
      </c>
      <c r="G126" t="s">
        <v>113</v>
      </c>
      <c r="H126" t="s">
        <v>116</v>
      </c>
      <c r="I126" t="s">
        <v>251</v>
      </c>
      <c r="J126">
        <v>1347</v>
      </c>
      <c r="K126">
        <v>52</v>
      </c>
      <c r="L126" t="s">
        <v>45</v>
      </c>
      <c r="M126">
        <v>127</v>
      </c>
      <c r="N126">
        <v>42.2</v>
      </c>
      <c r="O126">
        <v>73.5</v>
      </c>
      <c r="P126">
        <v>5.6</v>
      </c>
      <c r="Q126">
        <v>3.22</v>
      </c>
      <c r="R126" t="s">
        <v>227</v>
      </c>
      <c r="S126" t="s">
        <v>39</v>
      </c>
      <c r="T126" t="s">
        <v>48</v>
      </c>
    </row>
    <row r="127" spans="1:20" x14ac:dyDescent="0.3">
      <c r="A127">
        <v>10440</v>
      </c>
      <c r="B127" s="2">
        <v>45973</v>
      </c>
      <c r="C127" t="s">
        <v>49</v>
      </c>
      <c r="D127" t="s">
        <v>64</v>
      </c>
      <c r="E127" t="s">
        <v>22</v>
      </c>
      <c r="F127" t="s">
        <v>23</v>
      </c>
      <c r="G127" t="s">
        <v>109</v>
      </c>
      <c r="H127" t="s">
        <v>252</v>
      </c>
      <c r="I127" t="s">
        <v>253</v>
      </c>
      <c r="J127">
        <v>1247</v>
      </c>
      <c r="K127">
        <v>11</v>
      </c>
      <c r="L127" t="s">
        <v>71</v>
      </c>
      <c r="M127">
        <v>171</v>
      </c>
      <c r="N127">
        <v>43</v>
      </c>
      <c r="O127">
        <v>79</v>
      </c>
      <c r="P127">
        <v>4.2</v>
      </c>
      <c r="Q127">
        <v>1.1100000000000001</v>
      </c>
      <c r="R127" t="s">
        <v>209</v>
      </c>
      <c r="S127" t="s">
        <v>39</v>
      </c>
      <c r="T127" t="s">
        <v>30</v>
      </c>
    </row>
    <row r="128" spans="1:20" x14ac:dyDescent="0.3">
      <c r="A128">
        <v>10711</v>
      </c>
      <c r="B128" s="2">
        <v>45824</v>
      </c>
      <c r="C128" t="s">
        <v>20</v>
      </c>
      <c r="D128" t="s">
        <v>21</v>
      </c>
      <c r="E128" t="s">
        <v>40</v>
      </c>
      <c r="F128" t="s">
        <v>41</v>
      </c>
      <c r="G128" t="s">
        <v>34</v>
      </c>
      <c r="H128" t="s">
        <v>213</v>
      </c>
      <c r="I128" t="s">
        <v>254</v>
      </c>
      <c r="J128">
        <v>1140</v>
      </c>
      <c r="K128">
        <v>16</v>
      </c>
      <c r="L128" t="s">
        <v>71</v>
      </c>
      <c r="M128">
        <v>47</v>
      </c>
      <c r="N128">
        <v>36.6</v>
      </c>
      <c r="O128">
        <v>81</v>
      </c>
      <c r="P128">
        <v>5.34</v>
      </c>
      <c r="Q128">
        <v>1.86</v>
      </c>
      <c r="R128" t="s">
        <v>159</v>
      </c>
      <c r="S128" t="s">
        <v>47</v>
      </c>
      <c r="T128" t="s">
        <v>30</v>
      </c>
    </row>
    <row r="129" spans="1:20" x14ac:dyDescent="0.3">
      <c r="A129">
        <v>10238</v>
      </c>
      <c r="B129" s="2">
        <v>45811</v>
      </c>
      <c r="C129" t="s">
        <v>49</v>
      </c>
      <c r="D129" t="s">
        <v>32</v>
      </c>
      <c r="E129" t="s">
        <v>40</v>
      </c>
      <c r="F129" t="s">
        <v>23</v>
      </c>
      <c r="G129" t="s">
        <v>113</v>
      </c>
      <c r="H129" t="s">
        <v>114</v>
      </c>
      <c r="I129" t="s">
        <v>255</v>
      </c>
      <c r="J129">
        <v>660</v>
      </c>
      <c r="K129">
        <v>8</v>
      </c>
      <c r="L129" t="s">
        <v>71</v>
      </c>
      <c r="M129">
        <v>138</v>
      </c>
      <c r="N129">
        <v>36.1</v>
      </c>
      <c r="O129">
        <v>63.4</v>
      </c>
      <c r="P129">
        <v>5.87</v>
      </c>
      <c r="Q129">
        <v>3.06</v>
      </c>
      <c r="R129" t="s">
        <v>222</v>
      </c>
      <c r="S129" t="s">
        <v>47</v>
      </c>
      <c r="T129" t="s">
        <v>30</v>
      </c>
    </row>
    <row r="130" spans="1:20" x14ac:dyDescent="0.3">
      <c r="A130">
        <v>10221</v>
      </c>
      <c r="B130" s="2">
        <v>45753</v>
      </c>
      <c r="C130" t="s">
        <v>31</v>
      </c>
      <c r="D130" t="s">
        <v>21</v>
      </c>
      <c r="E130" t="s">
        <v>22</v>
      </c>
      <c r="F130" t="s">
        <v>41</v>
      </c>
      <c r="G130" t="s">
        <v>109</v>
      </c>
      <c r="H130" t="s">
        <v>177</v>
      </c>
      <c r="I130" t="s">
        <v>256</v>
      </c>
      <c r="J130">
        <v>1479</v>
      </c>
      <c r="K130">
        <v>9</v>
      </c>
      <c r="L130" t="s">
        <v>45</v>
      </c>
      <c r="M130">
        <v>39</v>
      </c>
      <c r="N130">
        <v>41.1</v>
      </c>
      <c r="O130">
        <v>76.599999999999994</v>
      </c>
      <c r="P130">
        <v>4.63</v>
      </c>
      <c r="Q130">
        <v>3.74</v>
      </c>
      <c r="R130" t="s">
        <v>80</v>
      </c>
      <c r="S130" t="s">
        <v>39</v>
      </c>
      <c r="T130" t="s">
        <v>30</v>
      </c>
    </row>
    <row r="131" spans="1:20" x14ac:dyDescent="0.3">
      <c r="A131">
        <v>11055</v>
      </c>
      <c r="B131" s="2">
        <v>45870</v>
      </c>
      <c r="C131" t="s">
        <v>49</v>
      </c>
      <c r="D131" t="s">
        <v>59</v>
      </c>
      <c r="E131" t="s">
        <v>107</v>
      </c>
      <c r="F131" t="s">
        <v>41</v>
      </c>
      <c r="G131" t="s">
        <v>24</v>
      </c>
      <c r="H131" t="s">
        <v>88</v>
      </c>
      <c r="I131" t="s">
        <v>121</v>
      </c>
      <c r="J131">
        <v>996</v>
      </c>
      <c r="K131">
        <v>4</v>
      </c>
      <c r="L131" t="s">
        <v>68</v>
      </c>
      <c r="M131">
        <v>129</v>
      </c>
      <c r="N131">
        <v>51</v>
      </c>
      <c r="O131">
        <v>72.400000000000006</v>
      </c>
      <c r="P131">
        <v>3.75</v>
      </c>
      <c r="Q131">
        <v>0.93</v>
      </c>
      <c r="R131" t="s">
        <v>80</v>
      </c>
      <c r="S131" t="s">
        <v>47</v>
      </c>
      <c r="T131" t="s">
        <v>30</v>
      </c>
    </row>
    <row r="132" spans="1:20" x14ac:dyDescent="0.3">
      <c r="A132">
        <v>11173</v>
      </c>
      <c r="B132" s="2">
        <v>45694</v>
      </c>
      <c r="C132" t="s">
        <v>199</v>
      </c>
      <c r="D132" t="s">
        <v>21</v>
      </c>
      <c r="E132" t="s">
        <v>22</v>
      </c>
      <c r="F132" t="s">
        <v>23</v>
      </c>
      <c r="G132" t="s">
        <v>54</v>
      </c>
      <c r="H132" t="s">
        <v>161</v>
      </c>
      <c r="I132" t="s">
        <v>257</v>
      </c>
      <c r="J132">
        <v>1382</v>
      </c>
      <c r="K132">
        <v>13</v>
      </c>
      <c r="L132" t="s">
        <v>71</v>
      </c>
      <c r="M132">
        <v>84</v>
      </c>
      <c r="N132">
        <v>49.3</v>
      </c>
      <c r="O132">
        <v>70.400000000000006</v>
      </c>
      <c r="P132">
        <v>5.05</v>
      </c>
      <c r="Q132">
        <v>2.12</v>
      </c>
      <c r="R132" t="s">
        <v>202</v>
      </c>
      <c r="S132" t="s">
        <v>73</v>
      </c>
      <c r="T132" t="s">
        <v>30</v>
      </c>
    </row>
    <row r="133" spans="1:20" x14ac:dyDescent="0.3">
      <c r="A133">
        <v>10793</v>
      </c>
      <c r="B133" s="2">
        <v>45865</v>
      </c>
      <c r="C133" t="s">
        <v>31</v>
      </c>
      <c r="D133" t="s">
        <v>32</v>
      </c>
      <c r="E133" t="s">
        <v>22</v>
      </c>
      <c r="F133" t="s">
        <v>81</v>
      </c>
      <c r="G133" t="s">
        <v>134</v>
      </c>
      <c r="H133" t="s">
        <v>161</v>
      </c>
      <c r="I133" t="s">
        <v>258</v>
      </c>
      <c r="J133">
        <v>1157</v>
      </c>
      <c r="K133">
        <v>13</v>
      </c>
      <c r="L133" t="s">
        <v>57</v>
      </c>
      <c r="M133">
        <v>35</v>
      </c>
      <c r="N133">
        <v>43.6</v>
      </c>
      <c r="O133">
        <v>69.3</v>
      </c>
      <c r="P133">
        <v>5.92</v>
      </c>
      <c r="Q133">
        <v>2.27</v>
      </c>
      <c r="R133" t="s">
        <v>122</v>
      </c>
      <c r="S133" t="s">
        <v>39</v>
      </c>
      <c r="T133" t="s">
        <v>30</v>
      </c>
    </row>
    <row r="134" spans="1:20" x14ac:dyDescent="0.3">
      <c r="A134">
        <v>11256</v>
      </c>
      <c r="B134" s="2">
        <v>45739</v>
      </c>
      <c r="C134" t="s">
        <v>20</v>
      </c>
      <c r="D134" t="s">
        <v>32</v>
      </c>
      <c r="E134" t="s">
        <v>33</v>
      </c>
      <c r="F134" t="s">
        <v>23</v>
      </c>
      <c r="G134" t="s">
        <v>89</v>
      </c>
      <c r="H134" t="s">
        <v>126</v>
      </c>
      <c r="I134" t="s">
        <v>121</v>
      </c>
      <c r="J134">
        <v>779</v>
      </c>
      <c r="K134">
        <v>11</v>
      </c>
      <c r="L134" t="s">
        <v>57</v>
      </c>
      <c r="M134">
        <v>17</v>
      </c>
      <c r="N134">
        <v>42.9</v>
      </c>
      <c r="O134">
        <v>73.7</v>
      </c>
      <c r="P134">
        <v>4.8899999999999997</v>
      </c>
      <c r="Q134">
        <v>5</v>
      </c>
      <c r="R134" t="s">
        <v>125</v>
      </c>
      <c r="S134" t="s">
        <v>39</v>
      </c>
      <c r="T134" t="s">
        <v>30</v>
      </c>
    </row>
    <row r="135" spans="1:20" x14ac:dyDescent="0.3">
      <c r="A135">
        <v>10079</v>
      </c>
      <c r="B135" s="2">
        <v>45941</v>
      </c>
      <c r="C135" t="s">
        <v>20</v>
      </c>
      <c r="D135" t="s">
        <v>32</v>
      </c>
      <c r="E135" t="s">
        <v>22</v>
      </c>
      <c r="F135" t="s">
        <v>23</v>
      </c>
      <c r="G135" t="s">
        <v>54</v>
      </c>
      <c r="H135" t="s">
        <v>193</v>
      </c>
      <c r="I135" t="s">
        <v>117</v>
      </c>
      <c r="J135">
        <v>582</v>
      </c>
      <c r="K135">
        <v>3</v>
      </c>
      <c r="L135" t="s">
        <v>68</v>
      </c>
      <c r="M135">
        <v>124</v>
      </c>
      <c r="N135">
        <v>44.5</v>
      </c>
      <c r="O135">
        <v>82.4</v>
      </c>
      <c r="P135">
        <v>4.96</v>
      </c>
      <c r="Q135">
        <v>3.22</v>
      </c>
      <c r="R135" t="s">
        <v>164</v>
      </c>
      <c r="S135" t="s">
        <v>29</v>
      </c>
      <c r="T135" t="s">
        <v>30</v>
      </c>
    </row>
    <row r="136" spans="1:20" x14ac:dyDescent="0.3">
      <c r="A136">
        <v>10768</v>
      </c>
      <c r="B136" s="2">
        <v>45944</v>
      </c>
      <c r="C136" t="s">
        <v>20</v>
      </c>
      <c r="D136" t="s">
        <v>32</v>
      </c>
      <c r="E136" t="s">
        <v>40</v>
      </c>
      <c r="F136" t="s">
        <v>81</v>
      </c>
      <c r="G136" t="s">
        <v>109</v>
      </c>
      <c r="H136" t="s">
        <v>25</v>
      </c>
      <c r="I136" t="s">
        <v>259</v>
      </c>
      <c r="J136">
        <v>687</v>
      </c>
      <c r="K136">
        <v>18</v>
      </c>
      <c r="L136" t="s">
        <v>27</v>
      </c>
      <c r="M136">
        <v>47</v>
      </c>
      <c r="N136">
        <v>52.5</v>
      </c>
      <c r="O136">
        <v>75.8</v>
      </c>
      <c r="P136">
        <v>5.62</v>
      </c>
      <c r="Q136">
        <v>2.4500000000000002</v>
      </c>
      <c r="R136" t="s">
        <v>58</v>
      </c>
      <c r="S136" t="s">
        <v>73</v>
      </c>
      <c r="T136" t="s">
        <v>30</v>
      </c>
    </row>
    <row r="137" spans="1:20" x14ac:dyDescent="0.3">
      <c r="A137">
        <v>11395</v>
      </c>
      <c r="B137" s="2">
        <v>45736</v>
      </c>
      <c r="C137" t="s">
        <v>49</v>
      </c>
      <c r="D137" t="s">
        <v>21</v>
      </c>
      <c r="E137" t="s">
        <v>33</v>
      </c>
      <c r="F137" t="s">
        <v>23</v>
      </c>
      <c r="G137" t="s">
        <v>24</v>
      </c>
      <c r="H137" t="s">
        <v>35</v>
      </c>
      <c r="I137" t="s">
        <v>166</v>
      </c>
      <c r="J137">
        <v>543</v>
      </c>
      <c r="K137">
        <v>7</v>
      </c>
      <c r="L137" t="s">
        <v>57</v>
      </c>
      <c r="M137">
        <v>125</v>
      </c>
      <c r="N137">
        <v>47.9</v>
      </c>
      <c r="O137">
        <v>61.6</v>
      </c>
      <c r="P137">
        <v>4.2699999999999996</v>
      </c>
      <c r="Q137">
        <v>1.21</v>
      </c>
      <c r="R137" t="s">
        <v>63</v>
      </c>
      <c r="S137" t="s">
        <v>47</v>
      </c>
      <c r="T137" t="s">
        <v>30</v>
      </c>
    </row>
    <row r="138" spans="1:20" x14ac:dyDescent="0.3">
      <c r="A138">
        <v>10262</v>
      </c>
      <c r="B138" s="2">
        <v>45846</v>
      </c>
      <c r="C138" t="s">
        <v>49</v>
      </c>
      <c r="D138" t="s">
        <v>32</v>
      </c>
      <c r="E138" t="s">
        <v>33</v>
      </c>
      <c r="F138" t="s">
        <v>23</v>
      </c>
      <c r="G138" t="s">
        <v>74</v>
      </c>
      <c r="H138" t="s">
        <v>75</v>
      </c>
      <c r="I138" t="s">
        <v>251</v>
      </c>
      <c r="J138">
        <v>780</v>
      </c>
      <c r="K138">
        <v>14</v>
      </c>
      <c r="L138" t="s">
        <v>57</v>
      </c>
      <c r="M138">
        <v>76</v>
      </c>
      <c r="N138">
        <v>39.299999999999997</v>
      </c>
      <c r="O138">
        <v>77.5</v>
      </c>
      <c r="P138">
        <v>5.7</v>
      </c>
      <c r="Q138">
        <v>3.45</v>
      </c>
      <c r="R138" t="s">
        <v>87</v>
      </c>
      <c r="S138" t="s">
        <v>73</v>
      </c>
      <c r="T138" t="s">
        <v>30</v>
      </c>
    </row>
    <row r="139" spans="1:20" x14ac:dyDescent="0.3">
      <c r="A139">
        <v>10938</v>
      </c>
      <c r="B139" s="2">
        <v>45978</v>
      </c>
      <c r="C139" t="s">
        <v>49</v>
      </c>
      <c r="D139" t="s">
        <v>32</v>
      </c>
      <c r="E139" t="s">
        <v>22</v>
      </c>
      <c r="F139" t="s">
        <v>41</v>
      </c>
      <c r="G139" t="s">
        <v>54</v>
      </c>
      <c r="H139" t="s">
        <v>101</v>
      </c>
      <c r="I139" t="s">
        <v>260</v>
      </c>
      <c r="J139">
        <v>1025</v>
      </c>
      <c r="K139">
        <v>3</v>
      </c>
      <c r="L139" t="s">
        <v>27</v>
      </c>
      <c r="M139">
        <v>108</v>
      </c>
      <c r="N139">
        <v>46.4</v>
      </c>
      <c r="O139">
        <v>65.400000000000006</v>
      </c>
      <c r="P139">
        <v>5.65</v>
      </c>
      <c r="Q139">
        <v>4.04</v>
      </c>
      <c r="R139" t="s">
        <v>153</v>
      </c>
      <c r="S139" t="s">
        <v>39</v>
      </c>
      <c r="T139" t="s">
        <v>30</v>
      </c>
    </row>
    <row r="140" spans="1:20" x14ac:dyDescent="0.3">
      <c r="A140">
        <v>10016</v>
      </c>
      <c r="B140" s="2">
        <v>45921</v>
      </c>
      <c r="C140" t="s">
        <v>106</v>
      </c>
      <c r="D140" t="s">
        <v>21</v>
      </c>
      <c r="E140" t="s">
        <v>33</v>
      </c>
      <c r="F140" t="s">
        <v>81</v>
      </c>
      <c r="G140" t="s">
        <v>50</v>
      </c>
      <c r="H140" t="s">
        <v>141</v>
      </c>
      <c r="I140" t="s">
        <v>261</v>
      </c>
      <c r="J140">
        <v>857</v>
      </c>
      <c r="K140">
        <v>24</v>
      </c>
      <c r="L140" t="s">
        <v>45</v>
      </c>
      <c r="M140">
        <v>102</v>
      </c>
      <c r="N140">
        <v>43.2</v>
      </c>
      <c r="O140">
        <v>65.2</v>
      </c>
      <c r="P140">
        <v>5.17</v>
      </c>
      <c r="Q140">
        <v>2.21</v>
      </c>
      <c r="R140" t="s">
        <v>58</v>
      </c>
      <c r="S140" t="s">
        <v>29</v>
      </c>
      <c r="T140" t="s">
        <v>30</v>
      </c>
    </row>
    <row r="141" spans="1:20" x14ac:dyDescent="0.3">
      <c r="A141">
        <v>10846</v>
      </c>
      <c r="B141" s="2">
        <v>45927</v>
      </c>
      <c r="C141" t="s">
        <v>31</v>
      </c>
      <c r="D141" t="s">
        <v>21</v>
      </c>
      <c r="E141" t="s">
        <v>33</v>
      </c>
      <c r="F141" t="s">
        <v>23</v>
      </c>
      <c r="G141" t="s">
        <v>24</v>
      </c>
      <c r="H141" t="s">
        <v>193</v>
      </c>
      <c r="I141" t="s">
        <v>139</v>
      </c>
      <c r="J141">
        <v>904</v>
      </c>
      <c r="K141">
        <v>13</v>
      </c>
      <c r="L141" t="s">
        <v>37</v>
      </c>
      <c r="M141">
        <v>29</v>
      </c>
      <c r="N141">
        <v>25.8</v>
      </c>
      <c r="O141">
        <v>67.2</v>
      </c>
      <c r="P141">
        <v>4.9400000000000004</v>
      </c>
      <c r="Q141">
        <v>2.2599999999999998</v>
      </c>
      <c r="R141" t="s">
        <v>184</v>
      </c>
      <c r="S141" t="s">
        <v>47</v>
      </c>
      <c r="T141" t="s">
        <v>30</v>
      </c>
    </row>
    <row r="142" spans="1:20" x14ac:dyDescent="0.3">
      <c r="A142">
        <v>11142</v>
      </c>
      <c r="B142" s="2">
        <v>45822</v>
      </c>
      <c r="C142" t="s">
        <v>31</v>
      </c>
      <c r="D142" t="s">
        <v>32</v>
      </c>
      <c r="E142" t="s">
        <v>40</v>
      </c>
      <c r="F142" t="s">
        <v>41</v>
      </c>
      <c r="G142" t="s">
        <v>42</v>
      </c>
      <c r="H142" t="s">
        <v>90</v>
      </c>
      <c r="I142" t="s">
        <v>262</v>
      </c>
      <c r="J142">
        <v>1492</v>
      </c>
      <c r="K142">
        <v>7</v>
      </c>
      <c r="L142" t="s">
        <v>45</v>
      </c>
      <c r="M142">
        <v>47</v>
      </c>
      <c r="N142">
        <v>39</v>
      </c>
      <c r="O142">
        <v>81.599999999999994</v>
      </c>
      <c r="P142">
        <v>4.09</v>
      </c>
      <c r="Q142">
        <v>3.13</v>
      </c>
      <c r="R142" t="s">
        <v>103</v>
      </c>
      <c r="S142" t="s">
        <v>47</v>
      </c>
      <c r="T142" t="s">
        <v>30</v>
      </c>
    </row>
    <row r="143" spans="1:20" x14ac:dyDescent="0.3">
      <c r="A143">
        <v>10614</v>
      </c>
      <c r="B143" s="2">
        <v>45779</v>
      </c>
      <c r="C143" t="s">
        <v>31</v>
      </c>
      <c r="D143" t="s">
        <v>32</v>
      </c>
      <c r="E143" t="s">
        <v>40</v>
      </c>
      <c r="F143" t="s">
        <v>23</v>
      </c>
      <c r="G143" t="s">
        <v>54</v>
      </c>
      <c r="H143" t="s">
        <v>177</v>
      </c>
      <c r="I143" t="s">
        <v>76</v>
      </c>
      <c r="J143">
        <v>1048</v>
      </c>
      <c r="K143">
        <v>6</v>
      </c>
      <c r="L143" t="s">
        <v>71</v>
      </c>
      <c r="M143">
        <v>96</v>
      </c>
      <c r="N143">
        <v>50.3</v>
      </c>
      <c r="O143">
        <v>69.400000000000006</v>
      </c>
      <c r="P143">
        <v>4.34</v>
      </c>
      <c r="Q143">
        <v>4.5999999999999996</v>
      </c>
      <c r="R143" t="s">
        <v>189</v>
      </c>
      <c r="S143" t="s">
        <v>47</v>
      </c>
      <c r="T143" t="s">
        <v>30</v>
      </c>
    </row>
    <row r="144" spans="1:20" x14ac:dyDescent="0.3">
      <c r="A144">
        <v>11445</v>
      </c>
      <c r="B144" s="2">
        <v>45981</v>
      </c>
      <c r="C144" t="s">
        <v>31</v>
      </c>
      <c r="D144" t="s">
        <v>21</v>
      </c>
      <c r="E144" t="s">
        <v>107</v>
      </c>
      <c r="F144" t="s">
        <v>41</v>
      </c>
      <c r="G144" t="s">
        <v>42</v>
      </c>
      <c r="H144" t="s">
        <v>263</v>
      </c>
      <c r="I144" t="s">
        <v>171</v>
      </c>
      <c r="J144">
        <v>1382</v>
      </c>
      <c r="K144">
        <v>17</v>
      </c>
      <c r="L144" t="s">
        <v>27</v>
      </c>
      <c r="M144">
        <v>58</v>
      </c>
      <c r="N144">
        <v>50.2</v>
      </c>
      <c r="O144">
        <v>59.2</v>
      </c>
      <c r="P144">
        <v>4.49</v>
      </c>
      <c r="Q144">
        <v>2.94</v>
      </c>
      <c r="R144" t="s">
        <v>46</v>
      </c>
      <c r="S144" t="s">
        <v>47</v>
      </c>
      <c r="T144" t="s">
        <v>30</v>
      </c>
    </row>
    <row r="145" spans="1:20" x14ac:dyDescent="0.3">
      <c r="A145">
        <v>11393</v>
      </c>
      <c r="B145" s="2">
        <v>45699</v>
      </c>
      <c r="C145" t="s">
        <v>207</v>
      </c>
      <c r="D145" t="s">
        <v>32</v>
      </c>
      <c r="E145" t="s">
        <v>33</v>
      </c>
      <c r="F145" t="s">
        <v>81</v>
      </c>
      <c r="G145" t="s">
        <v>50</v>
      </c>
      <c r="H145" t="s">
        <v>196</v>
      </c>
      <c r="I145" t="s">
        <v>264</v>
      </c>
      <c r="J145">
        <v>1433</v>
      </c>
      <c r="K145">
        <v>11</v>
      </c>
      <c r="L145" t="s">
        <v>37</v>
      </c>
      <c r="M145">
        <v>15</v>
      </c>
      <c r="N145">
        <v>51.4</v>
      </c>
      <c r="O145">
        <v>62.8</v>
      </c>
      <c r="P145">
        <v>5.31</v>
      </c>
      <c r="Q145">
        <v>2.0499999999999998</v>
      </c>
      <c r="R145" t="s">
        <v>179</v>
      </c>
      <c r="S145" t="s">
        <v>39</v>
      </c>
      <c r="T145" t="s">
        <v>30</v>
      </c>
    </row>
    <row r="146" spans="1:20" x14ac:dyDescent="0.3">
      <c r="A146">
        <v>10275</v>
      </c>
      <c r="B146" s="2">
        <v>45866</v>
      </c>
      <c r="C146" t="s">
        <v>20</v>
      </c>
      <c r="D146" t="s">
        <v>59</v>
      </c>
      <c r="E146" t="s">
        <v>40</v>
      </c>
      <c r="F146" t="s">
        <v>23</v>
      </c>
      <c r="G146" t="s">
        <v>60</v>
      </c>
      <c r="H146" t="s">
        <v>265</v>
      </c>
      <c r="I146" t="s">
        <v>257</v>
      </c>
      <c r="J146">
        <v>967</v>
      </c>
      <c r="K146">
        <v>18</v>
      </c>
      <c r="L146" t="s">
        <v>57</v>
      </c>
      <c r="M146">
        <v>45</v>
      </c>
      <c r="N146">
        <v>53.2</v>
      </c>
      <c r="O146">
        <v>73.3</v>
      </c>
      <c r="P146">
        <v>4.49</v>
      </c>
      <c r="Q146">
        <v>3.48</v>
      </c>
      <c r="R146" t="s">
        <v>183</v>
      </c>
      <c r="S146" t="s">
        <v>29</v>
      </c>
      <c r="T146" t="s">
        <v>30</v>
      </c>
    </row>
    <row r="147" spans="1:20" x14ac:dyDescent="0.3">
      <c r="A147">
        <v>10530</v>
      </c>
      <c r="B147" s="2">
        <v>45999</v>
      </c>
      <c r="C147" t="s">
        <v>20</v>
      </c>
      <c r="D147" t="s">
        <v>21</v>
      </c>
      <c r="E147" t="s">
        <v>107</v>
      </c>
      <c r="F147" t="s">
        <v>23</v>
      </c>
      <c r="G147" t="s">
        <v>74</v>
      </c>
      <c r="H147" t="s">
        <v>192</v>
      </c>
      <c r="I147" t="s">
        <v>160</v>
      </c>
      <c r="J147">
        <v>838</v>
      </c>
      <c r="K147">
        <v>11</v>
      </c>
      <c r="L147" t="s">
        <v>45</v>
      </c>
      <c r="M147">
        <v>114</v>
      </c>
      <c r="N147">
        <v>52.5</v>
      </c>
      <c r="O147">
        <v>65.599999999999994</v>
      </c>
      <c r="P147">
        <v>5.23</v>
      </c>
      <c r="Q147">
        <v>2.61</v>
      </c>
      <c r="R147" t="s">
        <v>202</v>
      </c>
      <c r="S147" t="s">
        <v>29</v>
      </c>
      <c r="T147" t="s">
        <v>30</v>
      </c>
    </row>
    <row r="148" spans="1:20" x14ac:dyDescent="0.3">
      <c r="A148">
        <v>10483</v>
      </c>
      <c r="B148" s="2">
        <v>45982</v>
      </c>
      <c r="C148" t="s">
        <v>31</v>
      </c>
      <c r="D148" t="s">
        <v>32</v>
      </c>
      <c r="E148" t="s">
        <v>40</v>
      </c>
      <c r="F148" t="s">
        <v>81</v>
      </c>
      <c r="G148" t="s">
        <v>95</v>
      </c>
      <c r="H148" t="s">
        <v>165</v>
      </c>
      <c r="I148" t="s">
        <v>56</v>
      </c>
      <c r="J148">
        <v>705</v>
      </c>
      <c r="K148">
        <v>25</v>
      </c>
      <c r="L148" t="s">
        <v>45</v>
      </c>
      <c r="M148">
        <v>92</v>
      </c>
      <c r="N148">
        <v>43.7</v>
      </c>
      <c r="O148">
        <v>75.3</v>
      </c>
      <c r="P148">
        <v>6.57</v>
      </c>
      <c r="Q148">
        <v>5.52</v>
      </c>
      <c r="R148" t="s">
        <v>53</v>
      </c>
      <c r="S148" t="s">
        <v>73</v>
      </c>
      <c r="T148" t="s">
        <v>48</v>
      </c>
    </row>
    <row r="149" spans="1:20" x14ac:dyDescent="0.3">
      <c r="A149">
        <v>10644</v>
      </c>
      <c r="B149" s="2">
        <v>45988</v>
      </c>
      <c r="C149" t="s">
        <v>31</v>
      </c>
      <c r="D149" t="s">
        <v>21</v>
      </c>
      <c r="E149" t="s">
        <v>40</v>
      </c>
      <c r="F149" t="s">
        <v>41</v>
      </c>
      <c r="G149" t="s">
        <v>113</v>
      </c>
      <c r="H149" t="s">
        <v>101</v>
      </c>
      <c r="I149" t="s">
        <v>198</v>
      </c>
      <c r="J149">
        <v>1063</v>
      </c>
      <c r="K149">
        <v>10</v>
      </c>
      <c r="L149" t="s">
        <v>27</v>
      </c>
      <c r="M149">
        <v>88</v>
      </c>
      <c r="N149">
        <v>47</v>
      </c>
      <c r="O149">
        <v>71.8</v>
      </c>
      <c r="P149">
        <v>4.66</v>
      </c>
      <c r="Q149">
        <v>0.97</v>
      </c>
      <c r="R149" t="s">
        <v>128</v>
      </c>
      <c r="S149" t="s">
        <v>39</v>
      </c>
      <c r="T149" t="s">
        <v>30</v>
      </c>
    </row>
    <row r="150" spans="1:20" x14ac:dyDescent="0.3">
      <c r="A150">
        <v>10966</v>
      </c>
      <c r="B150" s="2">
        <v>45894</v>
      </c>
      <c r="C150" t="s">
        <v>31</v>
      </c>
      <c r="D150" t="s">
        <v>59</v>
      </c>
      <c r="E150" t="s">
        <v>40</v>
      </c>
      <c r="F150" t="s">
        <v>112</v>
      </c>
      <c r="G150" t="s">
        <v>109</v>
      </c>
      <c r="H150" t="s">
        <v>223</v>
      </c>
      <c r="I150" t="s">
        <v>266</v>
      </c>
      <c r="J150">
        <v>1397</v>
      </c>
      <c r="K150">
        <v>49</v>
      </c>
      <c r="L150" t="s">
        <v>45</v>
      </c>
      <c r="M150">
        <v>136</v>
      </c>
      <c r="N150">
        <v>34.799999999999997</v>
      </c>
      <c r="O150">
        <v>70.900000000000006</v>
      </c>
      <c r="P150">
        <v>4.42</v>
      </c>
      <c r="Q150">
        <v>2.44</v>
      </c>
      <c r="R150" t="s">
        <v>267</v>
      </c>
      <c r="S150" t="s">
        <v>39</v>
      </c>
      <c r="T150" t="s">
        <v>48</v>
      </c>
    </row>
    <row r="151" spans="1:20" x14ac:dyDescent="0.3">
      <c r="A151">
        <v>10627</v>
      </c>
      <c r="B151" s="2">
        <v>45715</v>
      </c>
      <c r="C151" t="s">
        <v>49</v>
      </c>
      <c r="D151" t="s">
        <v>32</v>
      </c>
      <c r="E151" t="s">
        <v>22</v>
      </c>
      <c r="F151" t="s">
        <v>41</v>
      </c>
      <c r="G151" t="s">
        <v>54</v>
      </c>
      <c r="H151" t="s">
        <v>192</v>
      </c>
      <c r="I151" t="s">
        <v>246</v>
      </c>
      <c r="J151">
        <v>933</v>
      </c>
      <c r="K151">
        <v>75</v>
      </c>
      <c r="L151" t="s">
        <v>57</v>
      </c>
      <c r="M151">
        <v>169</v>
      </c>
      <c r="N151">
        <v>33.700000000000003</v>
      </c>
      <c r="O151">
        <v>75.7</v>
      </c>
      <c r="P151">
        <v>6.48</v>
      </c>
      <c r="Q151">
        <v>3.31</v>
      </c>
      <c r="R151" t="s">
        <v>189</v>
      </c>
      <c r="S151" t="s">
        <v>29</v>
      </c>
      <c r="T151" t="s">
        <v>48</v>
      </c>
    </row>
    <row r="152" spans="1:20" x14ac:dyDescent="0.3">
      <c r="A152">
        <v>10185</v>
      </c>
      <c r="B152" s="2">
        <v>45730</v>
      </c>
      <c r="C152" t="s">
        <v>20</v>
      </c>
      <c r="D152" t="s">
        <v>64</v>
      </c>
      <c r="E152" t="s">
        <v>22</v>
      </c>
      <c r="F152" t="s">
        <v>81</v>
      </c>
      <c r="G152" t="s">
        <v>24</v>
      </c>
      <c r="H152" t="s">
        <v>169</v>
      </c>
      <c r="I152" t="s">
        <v>268</v>
      </c>
      <c r="J152">
        <v>990</v>
      </c>
      <c r="K152">
        <v>10</v>
      </c>
      <c r="L152" t="s">
        <v>68</v>
      </c>
      <c r="M152">
        <v>122</v>
      </c>
      <c r="N152">
        <v>40.299999999999997</v>
      </c>
      <c r="O152">
        <v>83.4</v>
      </c>
      <c r="P152">
        <v>5.47</v>
      </c>
      <c r="Q152">
        <v>2.4700000000000002</v>
      </c>
      <c r="R152" t="s">
        <v>87</v>
      </c>
      <c r="S152" t="s">
        <v>39</v>
      </c>
      <c r="T152" t="s">
        <v>30</v>
      </c>
    </row>
    <row r="153" spans="1:20" x14ac:dyDescent="0.3">
      <c r="A153">
        <v>10204</v>
      </c>
      <c r="B153" s="2">
        <v>45754</v>
      </c>
      <c r="C153" t="s">
        <v>49</v>
      </c>
      <c r="D153" t="s">
        <v>59</v>
      </c>
      <c r="E153" t="s">
        <v>107</v>
      </c>
      <c r="F153" t="s">
        <v>81</v>
      </c>
      <c r="G153" t="s">
        <v>95</v>
      </c>
      <c r="H153" t="s">
        <v>265</v>
      </c>
      <c r="I153" t="s">
        <v>269</v>
      </c>
      <c r="J153">
        <v>1207</v>
      </c>
      <c r="K153">
        <v>115</v>
      </c>
      <c r="L153" t="s">
        <v>57</v>
      </c>
      <c r="M153">
        <v>63</v>
      </c>
      <c r="N153">
        <v>44.8</v>
      </c>
      <c r="O153">
        <v>75.7</v>
      </c>
      <c r="P153">
        <v>5.62</v>
      </c>
      <c r="Q153">
        <v>1.72</v>
      </c>
      <c r="R153" t="s">
        <v>232</v>
      </c>
      <c r="S153" t="s">
        <v>39</v>
      </c>
      <c r="T153" t="s">
        <v>48</v>
      </c>
    </row>
    <row r="154" spans="1:20" x14ac:dyDescent="0.3">
      <c r="A154">
        <v>10977</v>
      </c>
      <c r="B154" s="2">
        <v>45699</v>
      </c>
      <c r="C154" t="s">
        <v>49</v>
      </c>
      <c r="D154" t="s">
        <v>32</v>
      </c>
      <c r="E154" t="s">
        <v>22</v>
      </c>
      <c r="F154" t="s">
        <v>41</v>
      </c>
      <c r="G154" t="s">
        <v>34</v>
      </c>
      <c r="H154" t="s">
        <v>169</v>
      </c>
      <c r="I154" t="s">
        <v>270</v>
      </c>
      <c r="J154">
        <v>1367</v>
      </c>
      <c r="K154">
        <v>9</v>
      </c>
      <c r="L154" t="s">
        <v>45</v>
      </c>
      <c r="M154">
        <v>11</v>
      </c>
      <c r="N154">
        <v>37.1</v>
      </c>
      <c r="O154">
        <v>77.900000000000006</v>
      </c>
      <c r="P154">
        <v>5.65</v>
      </c>
      <c r="Q154">
        <v>3.23</v>
      </c>
      <c r="R154" t="s">
        <v>105</v>
      </c>
      <c r="S154" t="s">
        <v>47</v>
      </c>
      <c r="T154" t="s">
        <v>30</v>
      </c>
    </row>
    <row r="155" spans="1:20" x14ac:dyDescent="0.3">
      <c r="A155">
        <v>11075</v>
      </c>
      <c r="B155" s="2">
        <v>45672</v>
      </c>
      <c r="C155" t="s">
        <v>271</v>
      </c>
      <c r="D155" t="s">
        <v>32</v>
      </c>
      <c r="E155" t="s">
        <v>22</v>
      </c>
      <c r="F155" t="s">
        <v>23</v>
      </c>
      <c r="G155" t="s">
        <v>24</v>
      </c>
      <c r="H155" t="s">
        <v>96</v>
      </c>
      <c r="I155" t="s">
        <v>272</v>
      </c>
      <c r="J155">
        <v>1360</v>
      </c>
      <c r="K155">
        <v>12</v>
      </c>
      <c r="L155" t="s">
        <v>71</v>
      </c>
      <c r="M155">
        <v>85</v>
      </c>
      <c r="N155">
        <v>37</v>
      </c>
      <c r="O155">
        <v>63.9</v>
      </c>
      <c r="P155">
        <v>4.9000000000000004</v>
      </c>
      <c r="Q155">
        <v>2.19</v>
      </c>
      <c r="R155" t="s">
        <v>77</v>
      </c>
      <c r="S155" t="s">
        <v>39</v>
      </c>
      <c r="T155" t="s">
        <v>30</v>
      </c>
    </row>
    <row r="156" spans="1:20" x14ac:dyDescent="0.3">
      <c r="A156">
        <v>11455</v>
      </c>
      <c r="B156" s="2">
        <v>45703</v>
      </c>
      <c r="C156" t="s">
        <v>49</v>
      </c>
      <c r="D156" t="s">
        <v>64</v>
      </c>
      <c r="E156" t="s">
        <v>107</v>
      </c>
      <c r="F156" t="s">
        <v>81</v>
      </c>
      <c r="G156" t="s">
        <v>50</v>
      </c>
      <c r="H156" t="s">
        <v>263</v>
      </c>
      <c r="I156" t="s">
        <v>273</v>
      </c>
      <c r="J156">
        <v>1439</v>
      </c>
      <c r="K156">
        <v>39</v>
      </c>
      <c r="L156" t="s">
        <v>68</v>
      </c>
      <c r="M156">
        <v>93</v>
      </c>
      <c r="N156">
        <v>47.8</v>
      </c>
      <c r="O156">
        <v>70.7</v>
      </c>
      <c r="P156">
        <v>4.95</v>
      </c>
      <c r="Q156">
        <v>2.57</v>
      </c>
      <c r="R156" t="s">
        <v>209</v>
      </c>
      <c r="S156" t="s">
        <v>29</v>
      </c>
      <c r="T156" t="s">
        <v>30</v>
      </c>
    </row>
    <row r="157" spans="1:20" x14ac:dyDescent="0.3">
      <c r="A157">
        <v>11380</v>
      </c>
      <c r="B157" s="2">
        <v>45704</v>
      </c>
      <c r="C157" t="s">
        <v>49</v>
      </c>
      <c r="D157" t="s">
        <v>64</v>
      </c>
      <c r="E157" t="s">
        <v>40</v>
      </c>
      <c r="F157" t="s">
        <v>274</v>
      </c>
      <c r="G157" t="s">
        <v>109</v>
      </c>
      <c r="H157" t="s">
        <v>93</v>
      </c>
      <c r="I157" t="s">
        <v>275</v>
      </c>
      <c r="J157">
        <v>589</v>
      </c>
      <c r="K157">
        <v>8</v>
      </c>
      <c r="L157" t="s">
        <v>27</v>
      </c>
      <c r="M157">
        <v>67</v>
      </c>
      <c r="N157">
        <v>50.6</v>
      </c>
      <c r="O157">
        <v>73.7</v>
      </c>
      <c r="P157">
        <v>6.6</v>
      </c>
      <c r="Q157">
        <v>1.32</v>
      </c>
      <c r="R157" t="s">
        <v>152</v>
      </c>
      <c r="S157" t="s">
        <v>73</v>
      </c>
      <c r="T157" t="s">
        <v>30</v>
      </c>
    </row>
    <row r="158" spans="1:20" x14ac:dyDescent="0.3">
      <c r="A158">
        <v>10932</v>
      </c>
      <c r="B158" s="2">
        <v>45779</v>
      </c>
      <c r="C158" t="s">
        <v>20</v>
      </c>
      <c r="D158" t="s">
        <v>32</v>
      </c>
      <c r="E158" t="s">
        <v>40</v>
      </c>
      <c r="F158" t="s">
        <v>41</v>
      </c>
      <c r="G158" t="s">
        <v>74</v>
      </c>
      <c r="H158" t="s">
        <v>263</v>
      </c>
      <c r="I158" t="s">
        <v>191</v>
      </c>
      <c r="J158">
        <v>604</v>
      </c>
      <c r="K158">
        <v>5</v>
      </c>
      <c r="M158">
        <v>63</v>
      </c>
      <c r="N158">
        <v>33.4</v>
      </c>
      <c r="O158">
        <v>76.5</v>
      </c>
      <c r="P158">
        <v>5.0999999999999996</v>
      </c>
      <c r="Q158">
        <v>1.3</v>
      </c>
      <c r="R158" t="s">
        <v>119</v>
      </c>
      <c r="S158" t="s">
        <v>29</v>
      </c>
      <c r="T158" t="s">
        <v>30</v>
      </c>
    </row>
    <row r="159" spans="1:20" x14ac:dyDescent="0.3">
      <c r="A159">
        <v>10482</v>
      </c>
      <c r="B159" s="2">
        <v>45912</v>
      </c>
      <c r="C159" t="s">
        <v>49</v>
      </c>
      <c r="D159" t="s">
        <v>59</v>
      </c>
      <c r="E159" t="s">
        <v>40</v>
      </c>
      <c r="F159" t="s">
        <v>81</v>
      </c>
      <c r="G159" t="s">
        <v>74</v>
      </c>
      <c r="H159" t="s">
        <v>69</v>
      </c>
      <c r="I159" t="s">
        <v>276</v>
      </c>
      <c r="J159">
        <v>646</v>
      </c>
      <c r="K159">
        <v>4</v>
      </c>
      <c r="L159" t="s">
        <v>57</v>
      </c>
      <c r="M159">
        <v>112</v>
      </c>
      <c r="N159">
        <v>38.5</v>
      </c>
      <c r="O159">
        <v>70.599999999999994</v>
      </c>
      <c r="P159">
        <v>5.92</v>
      </c>
      <c r="Q159">
        <v>1.96</v>
      </c>
      <c r="R159" t="s">
        <v>53</v>
      </c>
      <c r="S159" t="s">
        <v>47</v>
      </c>
      <c r="T159" t="s">
        <v>30</v>
      </c>
    </row>
    <row r="160" spans="1:20" x14ac:dyDescent="0.3">
      <c r="A160">
        <v>10345</v>
      </c>
      <c r="B160" s="2">
        <v>45682</v>
      </c>
      <c r="C160" t="s">
        <v>277</v>
      </c>
      <c r="D160" t="s">
        <v>21</v>
      </c>
      <c r="E160" t="s">
        <v>107</v>
      </c>
      <c r="F160" t="s">
        <v>41</v>
      </c>
      <c r="G160" t="s">
        <v>42</v>
      </c>
      <c r="H160" t="s">
        <v>193</v>
      </c>
      <c r="I160" t="s">
        <v>210</v>
      </c>
      <c r="J160">
        <v>681</v>
      </c>
      <c r="K160">
        <v>3</v>
      </c>
      <c r="L160" t="s">
        <v>71</v>
      </c>
      <c r="M160">
        <v>141</v>
      </c>
      <c r="N160">
        <v>48.1</v>
      </c>
      <c r="O160">
        <v>62.5</v>
      </c>
      <c r="P160">
        <v>5.67</v>
      </c>
      <c r="Q160">
        <v>3.48</v>
      </c>
      <c r="R160" t="s">
        <v>77</v>
      </c>
      <c r="S160" t="s">
        <v>29</v>
      </c>
      <c r="T160" t="s">
        <v>30</v>
      </c>
    </row>
    <row r="161" spans="1:20" x14ac:dyDescent="0.3">
      <c r="A161">
        <v>10232</v>
      </c>
      <c r="B161" s="2">
        <v>45735</v>
      </c>
      <c r="C161" t="s">
        <v>49</v>
      </c>
      <c r="D161" t="s">
        <v>64</v>
      </c>
      <c r="E161" t="s">
        <v>40</v>
      </c>
      <c r="F161" t="s">
        <v>81</v>
      </c>
      <c r="G161" t="s">
        <v>54</v>
      </c>
      <c r="H161" t="s">
        <v>278</v>
      </c>
      <c r="I161" t="s">
        <v>188</v>
      </c>
      <c r="J161">
        <v>1027</v>
      </c>
      <c r="K161">
        <v>8</v>
      </c>
      <c r="L161" t="s">
        <v>45</v>
      </c>
      <c r="M161">
        <v>107</v>
      </c>
      <c r="N161">
        <v>36.6</v>
      </c>
      <c r="O161">
        <v>72</v>
      </c>
      <c r="P161">
        <v>5.36</v>
      </c>
      <c r="Q161">
        <v>1.92</v>
      </c>
      <c r="R161" t="s">
        <v>216</v>
      </c>
      <c r="S161" t="s">
        <v>29</v>
      </c>
      <c r="T161" t="s">
        <v>30</v>
      </c>
    </row>
    <row r="162" spans="1:20" x14ac:dyDescent="0.3">
      <c r="A162">
        <v>11340</v>
      </c>
      <c r="B162" s="2">
        <v>45733</v>
      </c>
      <c r="C162" t="s">
        <v>271</v>
      </c>
      <c r="D162" t="s">
        <v>21</v>
      </c>
      <c r="E162" t="s">
        <v>40</v>
      </c>
      <c r="F162" t="s">
        <v>98</v>
      </c>
      <c r="G162" t="s">
        <v>134</v>
      </c>
      <c r="H162" t="s">
        <v>177</v>
      </c>
      <c r="I162" t="s">
        <v>279</v>
      </c>
      <c r="J162">
        <v>962</v>
      </c>
      <c r="K162">
        <v>10</v>
      </c>
      <c r="L162" t="s">
        <v>45</v>
      </c>
      <c r="M162">
        <v>103</v>
      </c>
      <c r="N162">
        <v>31.4</v>
      </c>
      <c r="O162">
        <v>65.2</v>
      </c>
      <c r="P162">
        <v>4.1900000000000004</v>
      </c>
      <c r="Q162">
        <v>2.3199999999999998</v>
      </c>
      <c r="R162" t="s">
        <v>111</v>
      </c>
      <c r="S162" t="s">
        <v>73</v>
      </c>
      <c r="T162" t="s">
        <v>30</v>
      </c>
    </row>
    <row r="163" spans="1:20" x14ac:dyDescent="0.3">
      <c r="A163">
        <v>10986</v>
      </c>
      <c r="B163" s="2">
        <v>45866</v>
      </c>
      <c r="C163" t="s">
        <v>20</v>
      </c>
      <c r="D163" t="s">
        <v>64</v>
      </c>
      <c r="E163" t="s">
        <v>22</v>
      </c>
      <c r="F163" t="s">
        <v>81</v>
      </c>
      <c r="G163" t="s">
        <v>109</v>
      </c>
      <c r="H163" t="s">
        <v>193</v>
      </c>
      <c r="I163" t="s">
        <v>52</v>
      </c>
      <c r="J163">
        <v>1533</v>
      </c>
      <c r="K163">
        <v>19</v>
      </c>
      <c r="L163" t="s">
        <v>37</v>
      </c>
      <c r="M163">
        <v>180</v>
      </c>
      <c r="N163">
        <v>40.299999999999997</v>
      </c>
      <c r="O163">
        <v>65</v>
      </c>
      <c r="P163">
        <v>5.47</v>
      </c>
      <c r="Q163">
        <v>3.01</v>
      </c>
      <c r="R163" t="s">
        <v>280</v>
      </c>
      <c r="S163" t="s">
        <v>29</v>
      </c>
      <c r="T163" t="s">
        <v>30</v>
      </c>
    </row>
    <row r="164" spans="1:20" x14ac:dyDescent="0.3">
      <c r="A164">
        <v>10589</v>
      </c>
      <c r="B164" s="2">
        <v>45900</v>
      </c>
      <c r="C164" t="s">
        <v>106</v>
      </c>
      <c r="D164" t="s">
        <v>64</v>
      </c>
      <c r="E164" t="s">
        <v>22</v>
      </c>
      <c r="F164" t="s">
        <v>23</v>
      </c>
      <c r="G164" t="s">
        <v>54</v>
      </c>
      <c r="H164" t="s">
        <v>126</v>
      </c>
      <c r="I164" t="s">
        <v>281</v>
      </c>
      <c r="J164">
        <v>705</v>
      </c>
      <c r="K164">
        <v>19</v>
      </c>
      <c r="L164" t="s">
        <v>68</v>
      </c>
      <c r="M164">
        <v>121</v>
      </c>
      <c r="N164">
        <v>35</v>
      </c>
      <c r="O164">
        <v>79.599999999999994</v>
      </c>
      <c r="P164">
        <v>5.32</v>
      </c>
      <c r="Q164">
        <v>1.67</v>
      </c>
      <c r="R164" t="s">
        <v>87</v>
      </c>
      <c r="S164" t="s">
        <v>73</v>
      </c>
      <c r="T164" t="s">
        <v>30</v>
      </c>
    </row>
    <row r="165" spans="1:20" x14ac:dyDescent="0.3">
      <c r="A165">
        <v>10044</v>
      </c>
      <c r="B165" s="2">
        <v>46022</v>
      </c>
      <c r="C165" t="s">
        <v>31</v>
      </c>
      <c r="D165" t="s">
        <v>64</v>
      </c>
      <c r="E165" t="s">
        <v>107</v>
      </c>
      <c r="F165" t="s">
        <v>23</v>
      </c>
      <c r="G165" t="s">
        <v>34</v>
      </c>
      <c r="H165" t="s">
        <v>265</v>
      </c>
      <c r="I165" t="s">
        <v>198</v>
      </c>
      <c r="J165">
        <v>966</v>
      </c>
      <c r="K165">
        <v>13</v>
      </c>
      <c r="L165" t="s">
        <v>68</v>
      </c>
      <c r="M165">
        <v>134</v>
      </c>
      <c r="N165">
        <v>42.2</v>
      </c>
      <c r="O165">
        <v>70.900000000000006</v>
      </c>
      <c r="P165">
        <v>6.56</v>
      </c>
      <c r="Q165">
        <v>3.37</v>
      </c>
      <c r="R165" t="s">
        <v>140</v>
      </c>
      <c r="S165" t="s">
        <v>73</v>
      </c>
      <c r="T165" t="s">
        <v>30</v>
      </c>
    </row>
    <row r="166" spans="1:20" x14ac:dyDescent="0.3">
      <c r="A166">
        <v>10423</v>
      </c>
      <c r="B166" s="2">
        <v>45818</v>
      </c>
      <c r="C166" t="s">
        <v>20</v>
      </c>
      <c r="D166" t="s">
        <v>21</v>
      </c>
      <c r="E166" t="s">
        <v>107</v>
      </c>
      <c r="F166" t="s">
        <v>23</v>
      </c>
      <c r="G166" t="s">
        <v>50</v>
      </c>
      <c r="H166" t="s">
        <v>93</v>
      </c>
      <c r="I166" t="s">
        <v>282</v>
      </c>
      <c r="J166">
        <v>570</v>
      </c>
      <c r="K166">
        <v>2</v>
      </c>
      <c r="L166" t="s">
        <v>57</v>
      </c>
      <c r="M166">
        <v>86</v>
      </c>
      <c r="N166">
        <v>38</v>
      </c>
      <c r="O166">
        <v>78.8</v>
      </c>
      <c r="P166">
        <v>5.8</v>
      </c>
      <c r="Q166">
        <v>2.0499999999999998</v>
      </c>
      <c r="R166" t="s">
        <v>46</v>
      </c>
      <c r="S166" t="s">
        <v>47</v>
      </c>
      <c r="T166" t="s">
        <v>30</v>
      </c>
    </row>
    <row r="167" spans="1:20" x14ac:dyDescent="0.3">
      <c r="A167">
        <v>10608</v>
      </c>
      <c r="B167" s="2">
        <v>45791</v>
      </c>
      <c r="C167" t="s">
        <v>20</v>
      </c>
      <c r="D167" t="s">
        <v>32</v>
      </c>
      <c r="E167" t="s">
        <v>107</v>
      </c>
      <c r="F167" t="s">
        <v>23</v>
      </c>
      <c r="G167" t="s">
        <v>134</v>
      </c>
      <c r="H167" t="s">
        <v>99</v>
      </c>
      <c r="I167" t="s">
        <v>262</v>
      </c>
      <c r="J167">
        <v>848</v>
      </c>
      <c r="K167">
        <v>60</v>
      </c>
      <c r="L167" t="s">
        <v>57</v>
      </c>
      <c r="M167">
        <v>126</v>
      </c>
      <c r="N167">
        <v>60.9</v>
      </c>
      <c r="O167">
        <v>81.8</v>
      </c>
      <c r="P167">
        <v>6.14</v>
      </c>
      <c r="Q167">
        <v>4.1100000000000003</v>
      </c>
      <c r="R167" t="s">
        <v>229</v>
      </c>
      <c r="S167" t="s">
        <v>29</v>
      </c>
      <c r="T167" t="s">
        <v>48</v>
      </c>
    </row>
    <row r="168" spans="1:20" x14ac:dyDescent="0.3">
      <c r="A168">
        <v>10869</v>
      </c>
      <c r="B168" s="2">
        <v>45776</v>
      </c>
      <c r="C168" t="s">
        <v>20</v>
      </c>
      <c r="D168" t="s">
        <v>59</v>
      </c>
      <c r="E168" t="s">
        <v>33</v>
      </c>
      <c r="F168" t="s">
        <v>23</v>
      </c>
      <c r="G168" t="s">
        <v>24</v>
      </c>
      <c r="H168" t="s">
        <v>138</v>
      </c>
      <c r="I168" t="s">
        <v>67</v>
      </c>
      <c r="J168">
        <v>925</v>
      </c>
      <c r="K168">
        <v>13</v>
      </c>
      <c r="L168" t="s">
        <v>45</v>
      </c>
      <c r="M168">
        <v>76</v>
      </c>
      <c r="N168">
        <v>41.9</v>
      </c>
      <c r="O168">
        <v>87.9</v>
      </c>
      <c r="P168">
        <v>5.38</v>
      </c>
      <c r="Q168">
        <v>1.32</v>
      </c>
      <c r="R168" t="s">
        <v>133</v>
      </c>
      <c r="S168" t="s">
        <v>29</v>
      </c>
      <c r="T168" t="s">
        <v>30</v>
      </c>
    </row>
    <row r="169" spans="1:20" x14ac:dyDescent="0.3">
      <c r="A169">
        <v>11206</v>
      </c>
      <c r="B169" s="2">
        <v>46019</v>
      </c>
      <c r="C169" t="s">
        <v>20</v>
      </c>
      <c r="D169" t="s">
        <v>21</v>
      </c>
      <c r="E169" t="s">
        <v>22</v>
      </c>
      <c r="F169" t="s">
        <v>23</v>
      </c>
      <c r="G169" t="s">
        <v>54</v>
      </c>
      <c r="H169" t="s">
        <v>265</v>
      </c>
      <c r="I169" t="s">
        <v>283</v>
      </c>
      <c r="J169">
        <v>450</v>
      </c>
      <c r="K169">
        <v>5</v>
      </c>
      <c r="L169" t="s">
        <v>27</v>
      </c>
      <c r="M169">
        <v>65</v>
      </c>
      <c r="N169">
        <v>44.6</v>
      </c>
      <c r="O169">
        <v>73.8</v>
      </c>
      <c r="P169">
        <v>5.26</v>
      </c>
      <c r="Q169">
        <v>2.78</v>
      </c>
      <c r="R169" t="s">
        <v>72</v>
      </c>
      <c r="S169" t="s">
        <v>29</v>
      </c>
      <c r="T169" t="s">
        <v>30</v>
      </c>
    </row>
    <row r="170" spans="1:20" x14ac:dyDescent="0.3">
      <c r="A170">
        <v>10102</v>
      </c>
      <c r="B170" s="2">
        <v>45695</v>
      </c>
      <c r="C170" t="s">
        <v>31</v>
      </c>
      <c r="D170" t="s">
        <v>21</v>
      </c>
      <c r="E170" t="s">
        <v>107</v>
      </c>
      <c r="F170" t="s">
        <v>81</v>
      </c>
      <c r="G170" t="s">
        <v>134</v>
      </c>
      <c r="H170" t="s">
        <v>205</v>
      </c>
      <c r="I170" t="s">
        <v>76</v>
      </c>
      <c r="J170">
        <v>948</v>
      </c>
      <c r="K170">
        <v>4</v>
      </c>
      <c r="L170" t="s">
        <v>37</v>
      </c>
      <c r="M170">
        <v>77</v>
      </c>
      <c r="N170">
        <v>33.200000000000003</v>
      </c>
      <c r="O170">
        <v>68</v>
      </c>
      <c r="P170">
        <v>5.42</v>
      </c>
      <c r="Q170">
        <v>1.78</v>
      </c>
      <c r="R170" t="s">
        <v>216</v>
      </c>
      <c r="S170" t="s">
        <v>73</v>
      </c>
      <c r="T170" t="s">
        <v>30</v>
      </c>
    </row>
    <row r="171" spans="1:20" x14ac:dyDescent="0.3">
      <c r="A171">
        <v>10108</v>
      </c>
      <c r="B171" s="2">
        <v>45677</v>
      </c>
      <c r="C171" t="s">
        <v>49</v>
      </c>
      <c r="D171" t="s">
        <v>21</v>
      </c>
      <c r="E171" t="s">
        <v>33</v>
      </c>
      <c r="F171" t="s">
        <v>41</v>
      </c>
      <c r="G171" t="s">
        <v>109</v>
      </c>
      <c r="H171" t="s">
        <v>165</v>
      </c>
      <c r="I171" t="s">
        <v>284</v>
      </c>
      <c r="J171">
        <v>1464</v>
      </c>
      <c r="K171">
        <v>12</v>
      </c>
      <c r="L171" t="s">
        <v>68</v>
      </c>
      <c r="M171">
        <v>107</v>
      </c>
      <c r="N171">
        <v>50.2</v>
      </c>
      <c r="O171">
        <v>67.400000000000006</v>
      </c>
      <c r="P171">
        <v>5.34</v>
      </c>
      <c r="Q171">
        <v>1.88</v>
      </c>
      <c r="R171" t="s">
        <v>63</v>
      </c>
      <c r="S171" t="s">
        <v>73</v>
      </c>
      <c r="T171" t="s">
        <v>30</v>
      </c>
    </row>
    <row r="172" spans="1:20" x14ac:dyDescent="0.3">
      <c r="A172">
        <v>11074</v>
      </c>
      <c r="B172" s="2">
        <v>45738</v>
      </c>
      <c r="C172" t="s">
        <v>31</v>
      </c>
      <c r="D172" t="s">
        <v>64</v>
      </c>
      <c r="E172" t="s">
        <v>40</v>
      </c>
      <c r="F172" t="s">
        <v>41</v>
      </c>
      <c r="G172" t="s">
        <v>42</v>
      </c>
      <c r="H172" t="s">
        <v>175</v>
      </c>
      <c r="I172" t="s">
        <v>285</v>
      </c>
      <c r="J172">
        <v>1492</v>
      </c>
      <c r="K172">
        <v>13</v>
      </c>
      <c r="L172" t="s">
        <v>37</v>
      </c>
      <c r="M172">
        <v>110</v>
      </c>
      <c r="N172">
        <v>42.6</v>
      </c>
      <c r="O172">
        <v>77.599999999999994</v>
      </c>
      <c r="P172">
        <v>6.44</v>
      </c>
      <c r="Q172">
        <v>3.65</v>
      </c>
      <c r="R172" t="s">
        <v>128</v>
      </c>
      <c r="S172" t="s">
        <v>29</v>
      </c>
      <c r="T172" t="s">
        <v>30</v>
      </c>
    </row>
    <row r="173" spans="1:20" x14ac:dyDescent="0.3">
      <c r="A173">
        <v>11059</v>
      </c>
      <c r="B173" s="2">
        <v>46018</v>
      </c>
      <c r="C173" t="s">
        <v>49</v>
      </c>
      <c r="D173" t="s">
        <v>32</v>
      </c>
      <c r="E173" t="s">
        <v>107</v>
      </c>
      <c r="F173" t="s">
        <v>81</v>
      </c>
      <c r="G173" t="s">
        <v>89</v>
      </c>
      <c r="H173" t="s">
        <v>205</v>
      </c>
      <c r="I173" t="s">
        <v>239</v>
      </c>
      <c r="J173" t="s">
        <v>286</v>
      </c>
      <c r="K173">
        <v>7</v>
      </c>
      <c r="L173" t="s">
        <v>37</v>
      </c>
      <c r="M173">
        <v>166</v>
      </c>
      <c r="N173">
        <v>46</v>
      </c>
      <c r="O173">
        <v>66.7</v>
      </c>
      <c r="P173">
        <v>3.63</v>
      </c>
      <c r="Q173">
        <v>2.67</v>
      </c>
      <c r="R173" t="s">
        <v>53</v>
      </c>
      <c r="S173" t="s">
        <v>39</v>
      </c>
      <c r="T173" t="s">
        <v>30</v>
      </c>
    </row>
    <row r="174" spans="1:20" x14ac:dyDescent="0.3">
      <c r="A174">
        <v>10584</v>
      </c>
      <c r="B174" s="2">
        <v>45901</v>
      </c>
      <c r="C174" t="s">
        <v>271</v>
      </c>
      <c r="D174" t="s">
        <v>59</v>
      </c>
      <c r="E174" t="s">
        <v>107</v>
      </c>
      <c r="F174" t="s">
        <v>23</v>
      </c>
      <c r="G174" t="s">
        <v>34</v>
      </c>
      <c r="H174" t="s">
        <v>287</v>
      </c>
      <c r="I174" t="s">
        <v>118</v>
      </c>
      <c r="J174">
        <v>915</v>
      </c>
      <c r="K174" t="s">
        <v>288</v>
      </c>
      <c r="L174" t="s">
        <v>45</v>
      </c>
      <c r="M174">
        <v>167</v>
      </c>
      <c r="N174">
        <v>40.9</v>
      </c>
      <c r="O174">
        <v>57.8</v>
      </c>
      <c r="P174">
        <v>4.57</v>
      </c>
      <c r="Q174">
        <v>3.52</v>
      </c>
      <c r="R174" t="s">
        <v>84</v>
      </c>
      <c r="S174" t="s">
        <v>73</v>
      </c>
      <c r="T174" t="s">
        <v>48</v>
      </c>
    </row>
    <row r="175" spans="1:20" x14ac:dyDescent="0.3">
      <c r="A175">
        <v>10911</v>
      </c>
      <c r="B175" s="2">
        <v>45866</v>
      </c>
      <c r="C175" t="s">
        <v>20</v>
      </c>
      <c r="D175" t="s">
        <v>21</v>
      </c>
      <c r="E175" t="s">
        <v>107</v>
      </c>
      <c r="F175" t="s">
        <v>23</v>
      </c>
      <c r="G175" t="s">
        <v>89</v>
      </c>
      <c r="H175" t="s">
        <v>82</v>
      </c>
      <c r="I175" t="s">
        <v>210</v>
      </c>
      <c r="J175">
        <v>501</v>
      </c>
      <c r="K175">
        <v>4</v>
      </c>
      <c r="L175" t="s">
        <v>45</v>
      </c>
      <c r="M175">
        <v>7</v>
      </c>
      <c r="N175">
        <v>39.700000000000003</v>
      </c>
      <c r="O175">
        <v>74.5</v>
      </c>
      <c r="P175">
        <v>5.98</v>
      </c>
      <c r="Q175">
        <v>1.7</v>
      </c>
      <c r="R175" t="s">
        <v>125</v>
      </c>
      <c r="S175" t="s">
        <v>29</v>
      </c>
      <c r="T175" t="s">
        <v>30</v>
      </c>
    </row>
    <row r="176" spans="1:20" x14ac:dyDescent="0.3">
      <c r="A176">
        <v>11266</v>
      </c>
      <c r="B176" s="2">
        <v>46018</v>
      </c>
      <c r="C176" t="s">
        <v>31</v>
      </c>
      <c r="D176" t="s">
        <v>64</v>
      </c>
      <c r="E176" t="s">
        <v>33</v>
      </c>
      <c r="F176" t="s">
        <v>23</v>
      </c>
      <c r="G176" t="s">
        <v>50</v>
      </c>
      <c r="H176" t="s">
        <v>75</v>
      </c>
      <c r="I176" t="s">
        <v>289</v>
      </c>
      <c r="J176">
        <v>479</v>
      </c>
      <c r="K176">
        <v>4</v>
      </c>
      <c r="L176" t="s">
        <v>68</v>
      </c>
      <c r="M176">
        <v>45</v>
      </c>
      <c r="N176">
        <v>48.6</v>
      </c>
      <c r="O176">
        <v>67.5</v>
      </c>
      <c r="P176">
        <v>4.17</v>
      </c>
      <c r="Q176">
        <v>3.8</v>
      </c>
      <c r="R176" t="s">
        <v>72</v>
      </c>
      <c r="S176" t="s">
        <v>39</v>
      </c>
      <c r="T176" t="s">
        <v>30</v>
      </c>
    </row>
    <row r="177" spans="1:20" x14ac:dyDescent="0.3">
      <c r="A177">
        <v>10746</v>
      </c>
      <c r="B177" s="2">
        <v>45878</v>
      </c>
      <c r="C177" t="s">
        <v>150</v>
      </c>
      <c r="D177" t="s">
        <v>59</v>
      </c>
      <c r="E177" t="s">
        <v>107</v>
      </c>
      <c r="F177" t="s">
        <v>23</v>
      </c>
      <c r="G177" t="s">
        <v>54</v>
      </c>
      <c r="H177" t="s">
        <v>223</v>
      </c>
      <c r="I177" t="s">
        <v>160</v>
      </c>
      <c r="J177">
        <v>1047</v>
      </c>
      <c r="K177">
        <v>14</v>
      </c>
      <c r="L177" t="s">
        <v>57</v>
      </c>
      <c r="M177">
        <v>89</v>
      </c>
      <c r="N177">
        <v>42</v>
      </c>
      <c r="O177">
        <v>90.2</v>
      </c>
      <c r="P177">
        <v>5.15</v>
      </c>
      <c r="Q177">
        <v>2.71</v>
      </c>
      <c r="R177" t="s">
        <v>87</v>
      </c>
      <c r="S177" t="s">
        <v>29</v>
      </c>
      <c r="T177" t="s">
        <v>30</v>
      </c>
    </row>
    <row r="178" spans="1:20" x14ac:dyDescent="0.3">
      <c r="A178">
        <v>10987</v>
      </c>
      <c r="B178" s="2">
        <v>45662</v>
      </c>
      <c r="C178" t="s">
        <v>49</v>
      </c>
      <c r="D178" t="s">
        <v>21</v>
      </c>
      <c r="E178" t="s">
        <v>40</v>
      </c>
      <c r="F178" t="s">
        <v>41</v>
      </c>
      <c r="G178" t="s">
        <v>134</v>
      </c>
      <c r="H178" t="s">
        <v>66</v>
      </c>
      <c r="I178" t="s">
        <v>290</v>
      </c>
      <c r="J178">
        <v>598</v>
      </c>
      <c r="K178">
        <v>2</v>
      </c>
      <c r="L178" t="s">
        <v>45</v>
      </c>
      <c r="M178">
        <v>7</v>
      </c>
      <c r="N178">
        <v>46.7</v>
      </c>
      <c r="O178">
        <v>77.400000000000006</v>
      </c>
      <c r="P178">
        <v>4.46</v>
      </c>
      <c r="Q178">
        <v>3.01</v>
      </c>
      <c r="R178" t="s">
        <v>130</v>
      </c>
      <c r="S178" t="s">
        <v>29</v>
      </c>
      <c r="T178" t="s">
        <v>30</v>
      </c>
    </row>
    <row r="179" spans="1:20" x14ac:dyDescent="0.3">
      <c r="A179">
        <v>11176</v>
      </c>
      <c r="B179" s="2">
        <v>45984</v>
      </c>
      <c r="C179" t="s">
        <v>291</v>
      </c>
      <c r="D179" t="s">
        <v>32</v>
      </c>
      <c r="E179" t="s">
        <v>107</v>
      </c>
      <c r="F179" t="s">
        <v>23</v>
      </c>
      <c r="G179" t="s">
        <v>134</v>
      </c>
      <c r="H179" t="s">
        <v>205</v>
      </c>
      <c r="I179" t="s">
        <v>187</v>
      </c>
      <c r="J179">
        <v>1441</v>
      </c>
      <c r="K179">
        <v>12</v>
      </c>
      <c r="L179" t="s">
        <v>68</v>
      </c>
      <c r="M179">
        <v>137</v>
      </c>
      <c r="N179">
        <v>42.6</v>
      </c>
      <c r="O179">
        <v>88.9</v>
      </c>
      <c r="P179">
        <v>5.5</v>
      </c>
      <c r="Q179">
        <v>3.19</v>
      </c>
      <c r="R179" t="s">
        <v>227</v>
      </c>
      <c r="S179" t="s">
        <v>39</v>
      </c>
      <c r="T179" t="s">
        <v>30</v>
      </c>
    </row>
    <row r="180" spans="1:20" x14ac:dyDescent="0.3">
      <c r="A180">
        <v>10129</v>
      </c>
      <c r="B180" s="2">
        <v>45875</v>
      </c>
      <c r="C180" t="s">
        <v>31</v>
      </c>
      <c r="D180" t="s">
        <v>21</v>
      </c>
      <c r="E180" t="s">
        <v>40</v>
      </c>
      <c r="F180" t="s">
        <v>23</v>
      </c>
      <c r="G180" t="s">
        <v>89</v>
      </c>
      <c r="H180" t="s">
        <v>148</v>
      </c>
      <c r="I180" t="s">
        <v>237</v>
      </c>
      <c r="J180">
        <v>1560</v>
      </c>
      <c r="K180" t="s">
        <v>292</v>
      </c>
      <c r="L180" t="s">
        <v>57</v>
      </c>
      <c r="M180">
        <v>103</v>
      </c>
      <c r="N180">
        <v>45.2</v>
      </c>
      <c r="O180">
        <v>62.1</v>
      </c>
      <c r="P180">
        <v>4.4800000000000004</v>
      </c>
      <c r="Q180">
        <v>2.06</v>
      </c>
      <c r="R180" t="s">
        <v>143</v>
      </c>
      <c r="S180" t="s">
        <v>73</v>
      </c>
      <c r="T180" t="s">
        <v>30</v>
      </c>
    </row>
    <row r="181" spans="1:20" x14ac:dyDescent="0.3">
      <c r="A181">
        <v>10706</v>
      </c>
      <c r="B181" s="2">
        <v>45898</v>
      </c>
      <c r="C181" t="s">
        <v>31</v>
      </c>
      <c r="D181" t="s">
        <v>21</v>
      </c>
      <c r="E181" t="s">
        <v>40</v>
      </c>
      <c r="F181" t="s">
        <v>23</v>
      </c>
      <c r="G181" t="s">
        <v>113</v>
      </c>
      <c r="H181" t="s">
        <v>90</v>
      </c>
      <c r="I181" t="s">
        <v>197</v>
      </c>
      <c r="J181">
        <v>735</v>
      </c>
      <c r="K181">
        <v>8</v>
      </c>
      <c r="L181" t="s">
        <v>45</v>
      </c>
      <c r="M181">
        <v>159</v>
      </c>
      <c r="N181">
        <v>35.9</v>
      </c>
      <c r="O181">
        <v>73.2</v>
      </c>
      <c r="P181">
        <v>6.06</v>
      </c>
      <c r="Q181">
        <v>2.39</v>
      </c>
      <c r="R181" t="s">
        <v>46</v>
      </c>
      <c r="S181" t="s">
        <v>39</v>
      </c>
      <c r="T181" t="s">
        <v>30</v>
      </c>
    </row>
    <row r="182" spans="1:20" x14ac:dyDescent="0.3">
      <c r="A182">
        <v>10278</v>
      </c>
      <c r="B182" s="2">
        <v>45922</v>
      </c>
      <c r="C182" t="s">
        <v>20</v>
      </c>
      <c r="D182" t="s">
        <v>32</v>
      </c>
      <c r="E182" t="s">
        <v>40</v>
      </c>
      <c r="F182" t="s">
        <v>41</v>
      </c>
      <c r="G182" t="s">
        <v>109</v>
      </c>
      <c r="H182" t="s">
        <v>114</v>
      </c>
      <c r="I182" t="s">
        <v>293</v>
      </c>
      <c r="J182">
        <v>1184</v>
      </c>
      <c r="K182">
        <v>2</v>
      </c>
      <c r="L182" t="s">
        <v>68</v>
      </c>
      <c r="M182">
        <v>30</v>
      </c>
      <c r="N182">
        <v>29.1</v>
      </c>
      <c r="O182">
        <v>64.900000000000006</v>
      </c>
      <c r="P182">
        <v>5.15</v>
      </c>
      <c r="Q182">
        <v>3.39</v>
      </c>
      <c r="R182" t="s">
        <v>46</v>
      </c>
      <c r="S182" t="s">
        <v>29</v>
      </c>
      <c r="T182" t="s">
        <v>30</v>
      </c>
    </row>
    <row r="183" spans="1:20" x14ac:dyDescent="0.3">
      <c r="A183">
        <v>11440</v>
      </c>
      <c r="B183" s="2">
        <v>45781</v>
      </c>
      <c r="C183" t="s">
        <v>20</v>
      </c>
      <c r="D183" t="s">
        <v>32</v>
      </c>
      <c r="E183" t="s">
        <v>107</v>
      </c>
      <c r="F183" t="s">
        <v>81</v>
      </c>
      <c r="G183" t="s">
        <v>42</v>
      </c>
      <c r="H183" t="s">
        <v>265</v>
      </c>
      <c r="I183" t="s">
        <v>145</v>
      </c>
      <c r="J183">
        <v>1321</v>
      </c>
      <c r="K183">
        <v>10</v>
      </c>
      <c r="L183" t="s">
        <v>71</v>
      </c>
      <c r="M183">
        <v>7</v>
      </c>
      <c r="N183">
        <v>41.1</v>
      </c>
      <c r="O183">
        <v>72.7</v>
      </c>
      <c r="P183">
        <v>5.47</v>
      </c>
      <c r="Q183">
        <v>3.64</v>
      </c>
      <c r="R183" t="s">
        <v>125</v>
      </c>
      <c r="S183" t="s">
        <v>29</v>
      </c>
      <c r="T183" t="s">
        <v>30</v>
      </c>
    </row>
    <row r="184" spans="1:20" x14ac:dyDescent="0.3">
      <c r="A184">
        <v>11171</v>
      </c>
      <c r="B184" s="2">
        <v>45906</v>
      </c>
      <c r="C184" t="s">
        <v>49</v>
      </c>
      <c r="D184" t="s">
        <v>59</v>
      </c>
      <c r="E184" t="s">
        <v>33</v>
      </c>
      <c r="F184" t="s">
        <v>81</v>
      </c>
      <c r="G184" t="s">
        <v>54</v>
      </c>
      <c r="H184" t="s">
        <v>161</v>
      </c>
      <c r="I184" t="s">
        <v>294</v>
      </c>
      <c r="J184">
        <v>479</v>
      </c>
      <c r="K184">
        <v>3</v>
      </c>
      <c r="L184" t="s">
        <v>27</v>
      </c>
      <c r="M184">
        <v>6</v>
      </c>
      <c r="N184">
        <v>31.3</v>
      </c>
      <c r="O184">
        <v>73.400000000000006</v>
      </c>
      <c r="P184">
        <v>5.73</v>
      </c>
      <c r="Q184">
        <v>1.21</v>
      </c>
      <c r="R184" t="s">
        <v>229</v>
      </c>
      <c r="S184" t="s">
        <v>39</v>
      </c>
      <c r="T184" t="s">
        <v>30</v>
      </c>
    </row>
    <row r="185" spans="1:20" x14ac:dyDescent="0.3">
      <c r="A185">
        <v>11210</v>
      </c>
      <c r="B185" s="2">
        <v>45996</v>
      </c>
      <c r="C185" t="s">
        <v>31</v>
      </c>
      <c r="D185" t="s">
        <v>64</v>
      </c>
      <c r="E185" t="s">
        <v>40</v>
      </c>
      <c r="F185" t="s">
        <v>41</v>
      </c>
      <c r="G185" t="s">
        <v>95</v>
      </c>
      <c r="H185" t="s">
        <v>177</v>
      </c>
      <c r="I185" t="s">
        <v>295</v>
      </c>
      <c r="J185">
        <v>635</v>
      </c>
      <c r="K185">
        <v>5</v>
      </c>
      <c r="L185" t="s">
        <v>27</v>
      </c>
      <c r="M185">
        <v>141</v>
      </c>
      <c r="N185">
        <v>45.3</v>
      </c>
      <c r="O185">
        <v>78.3</v>
      </c>
      <c r="P185">
        <v>5.35</v>
      </c>
      <c r="Q185">
        <v>4.25</v>
      </c>
      <c r="R185" t="s">
        <v>240</v>
      </c>
      <c r="S185" t="s">
        <v>73</v>
      </c>
      <c r="T185" t="s">
        <v>30</v>
      </c>
    </row>
    <row r="186" spans="1:20" x14ac:dyDescent="0.3">
      <c r="A186">
        <v>11033</v>
      </c>
      <c r="B186" s="2">
        <v>45792</v>
      </c>
      <c r="C186" t="s">
        <v>20</v>
      </c>
      <c r="D186" t="s">
        <v>59</v>
      </c>
      <c r="E186" t="s">
        <v>33</v>
      </c>
      <c r="F186" t="s">
        <v>41</v>
      </c>
      <c r="G186" t="s">
        <v>60</v>
      </c>
      <c r="H186" t="s">
        <v>93</v>
      </c>
      <c r="I186" t="s">
        <v>238</v>
      </c>
      <c r="J186">
        <v>836</v>
      </c>
      <c r="K186">
        <v>12</v>
      </c>
      <c r="L186" t="s">
        <v>27</v>
      </c>
      <c r="M186">
        <v>104</v>
      </c>
      <c r="N186">
        <v>36.799999999999997</v>
      </c>
      <c r="O186">
        <v>76.099999999999994</v>
      </c>
      <c r="P186">
        <v>4.4000000000000004</v>
      </c>
      <c r="Q186">
        <v>2.68</v>
      </c>
      <c r="R186" t="s">
        <v>155</v>
      </c>
      <c r="S186" t="s">
        <v>47</v>
      </c>
      <c r="T186" t="s">
        <v>30</v>
      </c>
    </row>
    <row r="187" spans="1:20" x14ac:dyDescent="0.3">
      <c r="A187">
        <v>10775</v>
      </c>
      <c r="B187" s="2">
        <v>45686</v>
      </c>
      <c r="C187" t="s">
        <v>20</v>
      </c>
      <c r="D187" t="s">
        <v>21</v>
      </c>
      <c r="E187" t="s">
        <v>40</v>
      </c>
      <c r="F187" t="s">
        <v>23</v>
      </c>
      <c r="G187" t="s">
        <v>54</v>
      </c>
      <c r="H187" t="s">
        <v>215</v>
      </c>
      <c r="I187" t="s">
        <v>110</v>
      </c>
      <c r="J187">
        <v>1099</v>
      </c>
      <c r="K187">
        <v>5</v>
      </c>
      <c r="L187" t="s">
        <v>68</v>
      </c>
      <c r="M187">
        <v>160</v>
      </c>
      <c r="N187">
        <v>25.3</v>
      </c>
      <c r="O187">
        <v>66.099999999999994</v>
      </c>
      <c r="P187">
        <v>5.53</v>
      </c>
      <c r="Q187">
        <v>1.92</v>
      </c>
      <c r="R187" t="s">
        <v>245</v>
      </c>
      <c r="S187" t="s">
        <v>29</v>
      </c>
      <c r="T187" t="s">
        <v>30</v>
      </c>
    </row>
    <row r="188" spans="1:20" x14ac:dyDescent="0.3">
      <c r="A188">
        <v>11261</v>
      </c>
      <c r="B188" s="2">
        <v>45805</v>
      </c>
      <c r="C188" t="s">
        <v>49</v>
      </c>
      <c r="D188" t="s">
        <v>32</v>
      </c>
      <c r="E188" t="s">
        <v>107</v>
      </c>
      <c r="F188" t="s">
        <v>23</v>
      </c>
      <c r="G188" t="s">
        <v>95</v>
      </c>
      <c r="H188" t="s">
        <v>66</v>
      </c>
      <c r="I188" t="s">
        <v>226</v>
      </c>
      <c r="J188">
        <v>1433</v>
      </c>
      <c r="K188">
        <v>13</v>
      </c>
      <c r="L188" t="s">
        <v>71</v>
      </c>
      <c r="M188">
        <v>91</v>
      </c>
      <c r="N188">
        <v>30.9</v>
      </c>
      <c r="O188">
        <v>77</v>
      </c>
      <c r="P188">
        <v>5.34</v>
      </c>
      <c r="Q188">
        <v>3.37</v>
      </c>
      <c r="R188" t="s">
        <v>53</v>
      </c>
      <c r="S188" t="s">
        <v>47</v>
      </c>
      <c r="T188" t="s">
        <v>30</v>
      </c>
    </row>
    <row r="189" spans="1:20" x14ac:dyDescent="0.3">
      <c r="A189">
        <v>10033</v>
      </c>
      <c r="B189" s="2">
        <v>45768</v>
      </c>
      <c r="C189" t="s">
        <v>20</v>
      </c>
      <c r="D189" t="s">
        <v>32</v>
      </c>
      <c r="E189" t="s">
        <v>40</v>
      </c>
      <c r="F189" t="s">
        <v>41</v>
      </c>
      <c r="G189" t="s">
        <v>113</v>
      </c>
      <c r="H189" t="s">
        <v>144</v>
      </c>
      <c r="I189" t="s">
        <v>214</v>
      </c>
      <c r="J189">
        <v>518</v>
      </c>
      <c r="K189">
        <v>8</v>
      </c>
      <c r="L189" t="s">
        <v>71</v>
      </c>
      <c r="M189">
        <v>136</v>
      </c>
      <c r="N189">
        <v>38.4</v>
      </c>
      <c r="O189">
        <v>63.5</v>
      </c>
      <c r="P189">
        <v>5.15</v>
      </c>
      <c r="Q189">
        <v>3.85</v>
      </c>
      <c r="R189" t="s">
        <v>167</v>
      </c>
      <c r="S189" t="s">
        <v>47</v>
      </c>
      <c r="T189" t="s">
        <v>30</v>
      </c>
    </row>
    <row r="190" spans="1:20" x14ac:dyDescent="0.3">
      <c r="A190">
        <v>11484</v>
      </c>
      <c r="B190" s="2">
        <v>46007</v>
      </c>
      <c r="C190" t="s">
        <v>20</v>
      </c>
      <c r="D190" t="s">
        <v>32</v>
      </c>
      <c r="E190" t="s">
        <v>40</v>
      </c>
      <c r="F190" t="s">
        <v>23</v>
      </c>
      <c r="G190" t="s">
        <v>134</v>
      </c>
      <c r="H190" t="s">
        <v>161</v>
      </c>
      <c r="I190" t="s">
        <v>102</v>
      </c>
      <c r="J190">
        <v>720</v>
      </c>
      <c r="K190">
        <v>5</v>
      </c>
      <c r="L190" t="s">
        <v>27</v>
      </c>
      <c r="M190">
        <v>59</v>
      </c>
      <c r="N190">
        <v>24</v>
      </c>
      <c r="O190">
        <v>69</v>
      </c>
      <c r="P190">
        <v>4.9800000000000004</v>
      </c>
      <c r="Q190">
        <v>2.2799999999999998</v>
      </c>
      <c r="R190" t="s">
        <v>216</v>
      </c>
      <c r="S190" t="s">
        <v>73</v>
      </c>
      <c r="T190" t="s">
        <v>30</v>
      </c>
    </row>
    <row r="191" spans="1:20" x14ac:dyDescent="0.3">
      <c r="A191">
        <v>10597</v>
      </c>
      <c r="B191" s="2">
        <v>45685</v>
      </c>
      <c r="C191" t="s">
        <v>49</v>
      </c>
      <c r="D191" t="s">
        <v>59</v>
      </c>
      <c r="E191" t="s">
        <v>33</v>
      </c>
      <c r="F191" t="s">
        <v>81</v>
      </c>
      <c r="G191" t="s">
        <v>95</v>
      </c>
      <c r="H191" t="s">
        <v>200</v>
      </c>
      <c r="I191" t="s">
        <v>296</v>
      </c>
      <c r="J191">
        <v>1520</v>
      </c>
      <c r="K191">
        <v>6</v>
      </c>
      <c r="L191" t="s">
        <v>37</v>
      </c>
      <c r="M191">
        <v>63</v>
      </c>
      <c r="N191">
        <v>45.1</v>
      </c>
      <c r="O191">
        <v>73.5</v>
      </c>
      <c r="P191">
        <v>5.46</v>
      </c>
      <c r="Q191">
        <v>3.14</v>
      </c>
      <c r="R191" t="s">
        <v>267</v>
      </c>
      <c r="S191" t="s">
        <v>47</v>
      </c>
      <c r="T191" t="s">
        <v>30</v>
      </c>
    </row>
    <row r="192" spans="1:20" x14ac:dyDescent="0.3">
      <c r="A192">
        <v>10848</v>
      </c>
      <c r="B192" s="2">
        <v>45866</v>
      </c>
      <c r="C192" t="s">
        <v>31</v>
      </c>
      <c r="D192" t="s">
        <v>21</v>
      </c>
      <c r="E192" t="s">
        <v>33</v>
      </c>
      <c r="F192" t="s">
        <v>23</v>
      </c>
      <c r="G192" t="s">
        <v>54</v>
      </c>
      <c r="H192" t="s">
        <v>148</v>
      </c>
      <c r="I192" t="s">
        <v>208</v>
      </c>
      <c r="J192">
        <v>899</v>
      </c>
      <c r="K192">
        <v>3</v>
      </c>
      <c r="L192" t="s">
        <v>57</v>
      </c>
      <c r="M192">
        <v>121</v>
      </c>
      <c r="N192">
        <v>35.299999999999997</v>
      </c>
      <c r="O192">
        <v>67.7</v>
      </c>
      <c r="P192">
        <v>4.46</v>
      </c>
      <c r="Q192">
        <v>2.56</v>
      </c>
      <c r="R192" t="s">
        <v>243</v>
      </c>
      <c r="S192" t="s">
        <v>29</v>
      </c>
      <c r="T192" t="s">
        <v>30</v>
      </c>
    </row>
    <row r="193" spans="1:20" x14ac:dyDescent="0.3">
      <c r="A193">
        <v>11461</v>
      </c>
      <c r="B193" s="2">
        <v>45748</v>
      </c>
      <c r="C193" t="s">
        <v>31</v>
      </c>
      <c r="D193" t="s">
        <v>21</v>
      </c>
      <c r="E193" t="s">
        <v>33</v>
      </c>
      <c r="F193" t="s">
        <v>23</v>
      </c>
      <c r="G193" t="s">
        <v>89</v>
      </c>
      <c r="H193" t="s">
        <v>144</v>
      </c>
      <c r="I193" t="s">
        <v>187</v>
      </c>
      <c r="J193">
        <v>1297</v>
      </c>
      <c r="K193">
        <v>46</v>
      </c>
      <c r="L193" t="s">
        <v>37</v>
      </c>
      <c r="M193">
        <v>66</v>
      </c>
      <c r="N193">
        <v>39.799999999999997</v>
      </c>
      <c r="O193">
        <v>58.7</v>
      </c>
      <c r="P193">
        <v>5.87</v>
      </c>
      <c r="Q193">
        <v>2.5</v>
      </c>
      <c r="R193" t="s">
        <v>280</v>
      </c>
      <c r="S193" t="s">
        <v>73</v>
      </c>
      <c r="T193" t="s">
        <v>48</v>
      </c>
    </row>
    <row r="194" spans="1:20" x14ac:dyDescent="0.3">
      <c r="A194">
        <v>11410</v>
      </c>
      <c r="B194" s="2">
        <v>45784</v>
      </c>
      <c r="C194" t="s">
        <v>20</v>
      </c>
      <c r="D194" t="s">
        <v>32</v>
      </c>
      <c r="E194" t="s">
        <v>33</v>
      </c>
      <c r="F194" t="s">
        <v>23</v>
      </c>
      <c r="G194" t="s">
        <v>95</v>
      </c>
      <c r="H194" t="s">
        <v>287</v>
      </c>
      <c r="I194" t="s">
        <v>236</v>
      </c>
      <c r="J194">
        <v>945</v>
      </c>
      <c r="K194">
        <v>74</v>
      </c>
      <c r="L194" t="s">
        <v>45</v>
      </c>
      <c r="M194">
        <v>171</v>
      </c>
      <c r="N194">
        <v>40.799999999999997</v>
      </c>
      <c r="O194">
        <v>80.2</v>
      </c>
      <c r="P194">
        <v>4.18</v>
      </c>
      <c r="Q194">
        <v>3.09</v>
      </c>
      <c r="R194" t="s">
        <v>125</v>
      </c>
      <c r="S194" t="s">
        <v>73</v>
      </c>
      <c r="T194" t="s">
        <v>48</v>
      </c>
    </row>
    <row r="195" spans="1:20" x14ac:dyDescent="0.3">
      <c r="A195">
        <v>10330</v>
      </c>
      <c r="B195" s="2">
        <v>45864</v>
      </c>
      <c r="C195" t="s">
        <v>31</v>
      </c>
      <c r="D195" t="s">
        <v>32</v>
      </c>
      <c r="E195" t="s">
        <v>40</v>
      </c>
      <c r="F195" t="s">
        <v>23</v>
      </c>
      <c r="G195" t="s">
        <v>60</v>
      </c>
      <c r="H195" t="s">
        <v>287</v>
      </c>
      <c r="I195" t="s">
        <v>231</v>
      </c>
      <c r="J195">
        <v>1274</v>
      </c>
      <c r="K195">
        <v>18</v>
      </c>
      <c r="L195" t="s">
        <v>71</v>
      </c>
      <c r="M195">
        <v>87</v>
      </c>
      <c r="N195">
        <v>40.299999999999997</v>
      </c>
      <c r="O195">
        <v>72.099999999999994</v>
      </c>
      <c r="P195">
        <v>6.52</v>
      </c>
      <c r="Q195">
        <v>2.15</v>
      </c>
      <c r="R195" t="s">
        <v>155</v>
      </c>
      <c r="S195" t="s">
        <v>73</v>
      </c>
      <c r="T195" t="s">
        <v>30</v>
      </c>
    </row>
    <row r="196" spans="1:20" x14ac:dyDescent="0.3">
      <c r="A196">
        <v>11005</v>
      </c>
      <c r="B196" s="2">
        <v>45907</v>
      </c>
      <c r="C196" t="s">
        <v>106</v>
      </c>
      <c r="D196" t="s">
        <v>21</v>
      </c>
      <c r="E196" t="s">
        <v>107</v>
      </c>
      <c r="F196" t="s">
        <v>41</v>
      </c>
      <c r="G196" t="s">
        <v>50</v>
      </c>
      <c r="H196" t="s">
        <v>55</v>
      </c>
      <c r="I196" t="s">
        <v>154</v>
      </c>
      <c r="J196">
        <v>681</v>
      </c>
      <c r="K196">
        <v>4</v>
      </c>
      <c r="L196" t="s">
        <v>71</v>
      </c>
      <c r="M196">
        <v>63</v>
      </c>
      <c r="N196">
        <v>43.5</v>
      </c>
      <c r="O196">
        <v>58.6</v>
      </c>
      <c r="P196">
        <v>5.29</v>
      </c>
      <c r="Q196">
        <v>3.52</v>
      </c>
      <c r="R196" t="s">
        <v>58</v>
      </c>
      <c r="S196" t="s">
        <v>73</v>
      </c>
      <c r="T196" t="s">
        <v>30</v>
      </c>
    </row>
    <row r="197" spans="1:20" x14ac:dyDescent="0.3">
      <c r="A197">
        <v>10340</v>
      </c>
      <c r="B197" s="2">
        <v>45696</v>
      </c>
      <c r="C197" t="s">
        <v>20</v>
      </c>
      <c r="D197" t="s">
        <v>59</v>
      </c>
      <c r="E197" t="s">
        <v>107</v>
      </c>
      <c r="F197" t="s">
        <v>23</v>
      </c>
      <c r="G197" t="s">
        <v>134</v>
      </c>
      <c r="H197" t="s">
        <v>192</v>
      </c>
      <c r="I197" t="s">
        <v>297</v>
      </c>
      <c r="J197">
        <v>665</v>
      </c>
      <c r="K197">
        <v>6</v>
      </c>
      <c r="L197" t="s">
        <v>27</v>
      </c>
      <c r="M197">
        <v>176</v>
      </c>
      <c r="N197">
        <v>44.7</v>
      </c>
      <c r="O197">
        <v>66.7</v>
      </c>
      <c r="P197">
        <v>5.4</v>
      </c>
      <c r="Q197">
        <v>1.91</v>
      </c>
      <c r="R197" t="s">
        <v>202</v>
      </c>
      <c r="S197" t="s">
        <v>29</v>
      </c>
      <c r="T197" t="s">
        <v>30</v>
      </c>
    </row>
    <row r="198" spans="1:20" x14ac:dyDescent="0.3">
      <c r="A198">
        <v>11320</v>
      </c>
      <c r="B198" s="2">
        <v>45874</v>
      </c>
      <c r="C198" t="s">
        <v>20</v>
      </c>
      <c r="D198" t="s">
        <v>64</v>
      </c>
      <c r="E198" t="s">
        <v>40</v>
      </c>
      <c r="F198" t="s">
        <v>23</v>
      </c>
      <c r="G198" t="s">
        <v>34</v>
      </c>
      <c r="H198" t="s">
        <v>131</v>
      </c>
      <c r="I198" t="s">
        <v>298</v>
      </c>
      <c r="J198">
        <v>529</v>
      </c>
      <c r="K198">
        <v>4</v>
      </c>
      <c r="L198" t="s">
        <v>37</v>
      </c>
      <c r="M198">
        <v>20</v>
      </c>
      <c r="N198">
        <v>45.5</v>
      </c>
      <c r="O198">
        <v>60.3</v>
      </c>
      <c r="P198">
        <v>5.15</v>
      </c>
      <c r="Q198">
        <v>3.83</v>
      </c>
      <c r="R198" t="s">
        <v>63</v>
      </c>
      <c r="S198" t="s">
        <v>39</v>
      </c>
      <c r="T198" t="s">
        <v>30</v>
      </c>
    </row>
    <row r="199" spans="1:20" x14ac:dyDescent="0.3">
      <c r="A199">
        <v>11429</v>
      </c>
      <c r="B199" s="2">
        <v>45700</v>
      </c>
      <c r="C199" t="s">
        <v>31</v>
      </c>
      <c r="D199" t="s">
        <v>59</v>
      </c>
      <c r="E199" t="s">
        <v>22</v>
      </c>
      <c r="F199" t="s">
        <v>23</v>
      </c>
      <c r="G199" t="s">
        <v>42</v>
      </c>
      <c r="H199" t="s">
        <v>96</v>
      </c>
      <c r="I199" t="s">
        <v>154</v>
      </c>
      <c r="J199">
        <v>712</v>
      </c>
      <c r="K199">
        <v>1</v>
      </c>
      <c r="L199" t="s">
        <v>68</v>
      </c>
      <c r="M199">
        <v>15</v>
      </c>
      <c r="N199">
        <v>19.7</v>
      </c>
      <c r="O199">
        <v>56.6</v>
      </c>
      <c r="P199">
        <v>4.5199999999999996</v>
      </c>
      <c r="Q199">
        <v>3.11</v>
      </c>
      <c r="R199" t="s">
        <v>179</v>
      </c>
      <c r="S199" t="s">
        <v>29</v>
      </c>
      <c r="T199" t="s">
        <v>30</v>
      </c>
    </row>
    <row r="200" spans="1:20" x14ac:dyDescent="0.3">
      <c r="A200">
        <v>11011</v>
      </c>
      <c r="B200" s="2">
        <v>45945</v>
      </c>
      <c r="C200" t="s">
        <v>31</v>
      </c>
      <c r="D200" t="s">
        <v>64</v>
      </c>
      <c r="E200" t="s">
        <v>107</v>
      </c>
      <c r="F200" t="s">
        <v>23</v>
      </c>
      <c r="G200" t="s">
        <v>113</v>
      </c>
      <c r="H200" t="s">
        <v>66</v>
      </c>
      <c r="I200" t="s">
        <v>299</v>
      </c>
      <c r="J200">
        <v>601</v>
      </c>
      <c r="K200">
        <v>6</v>
      </c>
      <c r="L200" t="s">
        <v>45</v>
      </c>
      <c r="M200">
        <v>20</v>
      </c>
      <c r="N200">
        <v>52</v>
      </c>
      <c r="O200">
        <v>64.599999999999994</v>
      </c>
      <c r="P200">
        <v>5.9</v>
      </c>
      <c r="Q200">
        <v>3.97</v>
      </c>
      <c r="R200" t="s">
        <v>195</v>
      </c>
      <c r="S200" t="s">
        <v>73</v>
      </c>
      <c r="T200" t="s">
        <v>30</v>
      </c>
    </row>
    <row r="201" spans="1:20" x14ac:dyDescent="0.3">
      <c r="A201">
        <v>10164</v>
      </c>
      <c r="B201" s="2">
        <v>45742</v>
      </c>
      <c r="C201" t="s">
        <v>20</v>
      </c>
      <c r="D201" t="s">
        <v>21</v>
      </c>
      <c r="E201" t="s">
        <v>40</v>
      </c>
      <c r="F201" t="s">
        <v>81</v>
      </c>
      <c r="G201" t="s">
        <v>74</v>
      </c>
      <c r="H201" t="s">
        <v>66</v>
      </c>
      <c r="I201" t="s">
        <v>142</v>
      </c>
      <c r="J201">
        <v>1149</v>
      </c>
      <c r="K201">
        <v>10</v>
      </c>
      <c r="L201" t="s">
        <v>57</v>
      </c>
      <c r="M201">
        <v>80</v>
      </c>
      <c r="N201" t="s">
        <v>300</v>
      </c>
      <c r="O201">
        <v>62.8</v>
      </c>
      <c r="P201">
        <v>5.73</v>
      </c>
      <c r="Q201">
        <v>3.31</v>
      </c>
      <c r="R201" t="s">
        <v>174</v>
      </c>
      <c r="S201" t="s">
        <v>29</v>
      </c>
      <c r="T201" t="s">
        <v>30</v>
      </c>
    </row>
    <row r="202" spans="1:20" x14ac:dyDescent="0.3">
      <c r="A202">
        <v>10889</v>
      </c>
      <c r="B202" s="2">
        <v>45873</v>
      </c>
      <c r="C202" t="s">
        <v>20</v>
      </c>
      <c r="D202" t="s">
        <v>32</v>
      </c>
      <c r="E202" t="s">
        <v>33</v>
      </c>
      <c r="F202" t="s">
        <v>98</v>
      </c>
      <c r="G202" t="s">
        <v>34</v>
      </c>
      <c r="H202" t="s">
        <v>101</v>
      </c>
      <c r="I202" t="s">
        <v>301</v>
      </c>
      <c r="J202">
        <v>1305</v>
      </c>
      <c r="K202">
        <v>16</v>
      </c>
      <c r="L202" t="s">
        <v>57</v>
      </c>
      <c r="M202">
        <v>172</v>
      </c>
      <c r="N202">
        <v>46.7</v>
      </c>
      <c r="O202">
        <v>74.599999999999994</v>
      </c>
      <c r="P202">
        <v>4.05</v>
      </c>
      <c r="Q202">
        <v>4.17</v>
      </c>
      <c r="R202" t="s">
        <v>174</v>
      </c>
      <c r="S202" t="s">
        <v>73</v>
      </c>
      <c r="T202" t="s">
        <v>30</v>
      </c>
    </row>
    <row r="203" spans="1:20" x14ac:dyDescent="0.3">
      <c r="A203">
        <v>10899</v>
      </c>
      <c r="B203" s="2">
        <v>45834</v>
      </c>
      <c r="C203" t="s">
        <v>31</v>
      </c>
      <c r="D203" t="s">
        <v>32</v>
      </c>
      <c r="E203" t="s">
        <v>107</v>
      </c>
      <c r="F203" t="s">
        <v>41</v>
      </c>
      <c r="G203" t="s">
        <v>109</v>
      </c>
      <c r="H203" t="s">
        <v>85</v>
      </c>
      <c r="I203" t="s">
        <v>275</v>
      </c>
      <c r="J203">
        <v>1185</v>
      </c>
      <c r="K203">
        <v>35</v>
      </c>
      <c r="L203" t="s">
        <v>68</v>
      </c>
      <c r="M203">
        <v>70</v>
      </c>
      <c r="N203">
        <v>48</v>
      </c>
      <c r="O203">
        <v>68.599999999999994</v>
      </c>
      <c r="P203">
        <v>6.48</v>
      </c>
      <c r="Q203">
        <v>3.9</v>
      </c>
      <c r="R203" t="s">
        <v>243</v>
      </c>
      <c r="S203" t="s">
        <v>73</v>
      </c>
      <c r="T203" t="s">
        <v>30</v>
      </c>
    </row>
    <row r="204" spans="1:20" x14ac:dyDescent="0.3">
      <c r="A204">
        <v>10290</v>
      </c>
      <c r="B204" s="2">
        <v>45939</v>
      </c>
      <c r="C204" t="s">
        <v>49</v>
      </c>
      <c r="D204" t="s">
        <v>21</v>
      </c>
      <c r="E204" t="s">
        <v>107</v>
      </c>
      <c r="F204" t="s">
        <v>23</v>
      </c>
      <c r="G204" t="s">
        <v>134</v>
      </c>
      <c r="H204" t="s">
        <v>126</v>
      </c>
      <c r="I204" t="s">
        <v>302</v>
      </c>
      <c r="J204">
        <v>1420</v>
      </c>
      <c r="K204">
        <v>17</v>
      </c>
      <c r="L204" t="s">
        <v>27</v>
      </c>
      <c r="M204">
        <v>19</v>
      </c>
      <c r="N204">
        <v>44.3</v>
      </c>
      <c r="O204">
        <v>78.7</v>
      </c>
      <c r="P204">
        <v>5.4</v>
      </c>
      <c r="Q204">
        <v>3.69</v>
      </c>
      <c r="R204" t="s">
        <v>243</v>
      </c>
      <c r="S204" t="s">
        <v>29</v>
      </c>
      <c r="T204" t="s">
        <v>30</v>
      </c>
    </row>
    <row r="205" spans="1:20" x14ac:dyDescent="0.3">
      <c r="A205">
        <v>10412</v>
      </c>
      <c r="B205" s="2">
        <v>45928</v>
      </c>
      <c r="C205" t="s">
        <v>20</v>
      </c>
      <c r="D205" t="s">
        <v>21</v>
      </c>
      <c r="E205" t="s">
        <v>40</v>
      </c>
      <c r="F205" t="s">
        <v>98</v>
      </c>
      <c r="G205" t="s">
        <v>74</v>
      </c>
      <c r="H205" t="s">
        <v>180</v>
      </c>
      <c r="I205" t="s">
        <v>188</v>
      </c>
      <c r="J205">
        <v>1092</v>
      </c>
      <c r="K205">
        <v>12</v>
      </c>
      <c r="L205" t="s">
        <v>37</v>
      </c>
      <c r="M205">
        <v>122</v>
      </c>
      <c r="N205">
        <v>35.4</v>
      </c>
      <c r="O205">
        <v>74.099999999999994</v>
      </c>
      <c r="P205">
        <v>5.84</v>
      </c>
      <c r="Q205">
        <v>2.37</v>
      </c>
      <c r="R205" t="s">
        <v>28</v>
      </c>
      <c r="S205" t="s">
        <v>73</v>
      </c>
      <c r="T205" t="s">
        <v>30</v>
      </c>
    </row>
    <row r="206" spans="1:20" x14ac:dyDescent="0.3">
      <c r="A206">
        <v>11296</v>
      </c>
      <c r="B206" s="2">
        <v>45877</v>
      </c>
      <c r="C206" t="s">
        <v>20</v>
      </c>
      <c r="D206" t="s">
        <v>21</v>
      </c>
      <c r="E206" t="s">
        <v>107</v>
      </c>
      <c r="F206" t="s">
        <v>23</v>
      </c>
      <c r="G206" t="s">
        <v>24</v>
      </c>
      <c r="H206" t="s">
        <v>165</v>
      </c>
      <c r="I206" t="s">
        <v>284</v>
      </c>
      <c r="J206">
        <v>1327</v>
      </c>
      <c r="K206">
        <v>13</v>
      </c>
      <c r="L206" t="s">
        <v>71</v>
      </c>
      <c r="M206">
        <v>134</v>
      </c>
      <c r="N206">
        <v>50.2</v>
      </c>
      <c r="O206">
        <v>69.5</v>
      </c>
      <c r="P206">
        <v>6.6</v>
      </c>
      <c r="Q206">
        <v>2.91</v>
      </c>
      <c r="R206" t="s">
        <v>227</v>
      </c>
      <c r="S206" t="s">
        <v>47</v>
      </c>
      <c r="T206" t="s">
        <v>30</v>
      </c>
    </row>
    <row r="207" spans="1:20" x14ac:dyDescent="0.3">
      <c r="A207">
        <v>10975</v>
      </c>
      <c r="B207" s="2">
        <v>45959</v>
      </c>
      <c r="C207" t="s">
        <v>31</v>
      </c>
      <c r="D207" t="s">
        <v>21</v>
      </c>
      <c r="E207" t="s">
        <v>33</v>
      </c>
      <c r="F207" t="s">
        <v>41</v>
      </c>
      <c r="G207" t="s">
        <v>95</v>
      </c>
      <c r="H207" t="s">
        <v>51</v>
      </c>
      <c r="I207" t="s">
        <v>197</v>
      </c>
      <c r="J207">
        <v>1286</v>
      </c>
      <c r="K207">
        <v>14</v>
      </c>
      <c r="L207" t="s">
        <v>37</v>
      </c>
      <c r="M207">
        <v>138</v>
      </c>
      <c r="N207">
        <v>35.5</v>
      </c>
      <c r="O207">
        <v>66</v>
      </c>
      <c r="P207">
        <v>5.62</v>
      </c>
      <c r="Q207">
        <v>4.07</v>
      </c>
      <c r="R207" t="s">
        <v>92</v>
      </c>
      <c r="S207" t="s">
        <v>29</v>
      </c>
      <c r="T207" t="s">
        <v>30</v>
      </c>
    </row>
    <row r="208" spans="1:20" x14ac:dyDescent="0.3">
      <c r="A208">
        <v>10990</v>
      </c>
      <c r="B208" s="2">
        <v>45933</v>
      </c>
      <c r="C208" t="s">
        <v>49</v>
      </c>
      <c r="D208" t="s">
        <v>21</v>
      </c>
      <c r="E208" t="s">
        <v>22</v>
      </c>
      <c r="F208" t="s">
        <v>41</v>
      </c>
      <c r="G208" t="s">
        <v>60</v>
      </c>
      <c r="H208" t="s">
        <v>193</v>
      </c>
      <c r="I208" t="s">
        <v>26</v>
      </c>
      <c r="J208">
        <v>1419</v>
      </c>
      <c r="K208">
        <v>16</v>
      </c>
      <c r="L208" t="s">
        <v>37</v>
      </c>
      <c r="M208">
        <v>43</v>
      </c>
      <c r="N208">
        <v>48.3</v>
      </c>
      <c r="O208">
        <v>63.6</v>
      </c>
      <c r="P208">
        <v>5.24</v>
      </c>
      <c r="Q208">
        <v>2.92</v>
      </c>
      <c r="R208" t="s">
        <v>159</v>
      </c>
      <c r="S208" t="s">
        <v>47</v>
      </c>
      <c r="T208" t="s">
        <v>30</v>
      </c>
    </row>
    <row r="209" spans="1:20" x14ac:dyDescent="0.3">
      <c r="A209">
        <v>10430</v>
      </c>
      <c r="B209" s="2">
        <v>45867</v>
      </c>
      <c r="C209" t="s">
        <v>49</v>
      </c>
      <c r="D209" t="s">
        <v>64</v>
      </c>
      <c r="E209" t="s">
        <v>40</v>
      </c>
      <c r="F209" t="s">
        <v>41</v>
      </c>
      <c r="G209" t="s">
        <v>89</v>
      </c>
      <c r="H209" t="s">
        <v>172</v>
      </c>
      <c r="I209" t="s">
        <v>226</v>
      </c>
      <c r="J209">
        <v>1145</v>
      </c>
      <c r="K209">
        <v>11</v>
      </c>
      <c r="L209" t="s">
        <v>37</v>
      </c>
      <c r="M209">
        <v>71</v>
      </c>
      <c r="N209">
        <v>43.1</v>
      </c>
      <c r="O209">
        <v>63.5</v>
      </c>
      <c r="P209">
        <v>5.09</v>
      </c>
      <c r="Q209">
        <v>2.34</v>
      </c>
      <c r="R209" t="s">
        <v>159</v>
      </c>
      <c r="S209" t="s">
        <v>73</v>
      </c>
      <c r="T209" t="s">
        <v>30</v>
      </c>
    </row>
    <row r="210" spans="1:20" x14ac:dyDescent="0.3">
      <c r="A210">
        <v>11198</v>
      </c>
      <c r="B210" s="2">
        <v>45710</v>
      </c>
      <c r="C210" t="s">
        <v>20</v>
      </c>
      <c r="D210" t="s">
        <v>21</v>
      </c>
      <c r="E210" t="s">
        <v>107</v>
      </c>
      <c r="F210" t="s">
        <v>41</v>
      </c>
      <c r="G210" t="s">
        <v>134</v>
      </c>
      <c r="H210" t="s">
        <v>66</v>
      </c>
      <c r="I210" t="s">
        <v>185</v>
      </c>
      <c r="J210">
        <v>751</v>
      </c>
      <c r="K210">
        <v>3</v>
      </c>
      <c r="L210" t="s">
        <v>57</v>
      </c>
      <c r="M210">
        <v>163</v>
      </c>
      <c r="N210">
        <v>42.9</v>
      </c>
      <c r="O210">
        <v>75.599999999999994</v>
      </c>
      <c r="P210">
        <v>4.7300000000000004</v>
      </c>
      <c r="Q210">
        <v>1.99</v>
      </c>
      <c r="R210" t="s">
        <v>167</v>
      </c>
      <c r="S210" t="s">
        <v>29</v>
      </c>
      <c r="T210" t="s">
        <v>30</v>
      </c>
    </row>
    <row r="211" spans="1:20" x14ac:dyDescent="0.3">
      <c r="A211">
        <v>10317</v>
      </c>
      <c r="B211" s="2">
        <v>45678</v>
      </c>
      <c r="C211" t="s">
        <v>31</v>
      </c>
      <c r="D211" t="s">
        <v>59</v>
      </c>
      <c r="E211" t="s">
        <v>40</v>
      </c>
      <c r="F211" t="s">
        <v>23</v>
      </c>
      <c r="G211" t="s">
        <v>134</v>
      </c>
      <c r="H211" t="s">
        <v>278</v>
      </c>
      <c r="I211" t="s">
        <v>214</v>
      </c>
      <c r="J211">
        <v>807</v>
      </c>
      <c r="K211">
        <v>10</v>
      </c>
      <c r="L211" t="s">
        <v>57</v>
      </c>
      <c r="M211">
        <v>62</v>
      </c>
      <c r="N211">
        <v>53.4</v>
      </c>
      <c r="O211">
        <v>82.4</v>
      </c>
      <c r="P211">
        <v>7.21</v>
      </c>
      <c r="Q211">
        <v>3.71</v>
      </c>
      <c r="R211" t="s">
        <v>153</v>
      </c>
      <c r="S211" t="s">
        <v>29</v>
      </c>
      <c r="T211" t="s">
        <v>30</v>
      </c>
    </row>
    <row r="212" spans="1:20" x14ac:dyDescent="0.3">
      <c r="A212">
        <v>10193</v>
      </c>
      <c r="B212" s="2">
        <v>45844</v>
      </c>
      <c r="C212" t="s">
        <v>20</v>
      </c>
      <c r="D212" t="s">
        <v>32</v>
      </c>
      <c r="E212" t="s">
        <v>33</v>
      </c>
      <c r="F212" t="s">
        <v>41</v>
      </c>
      <c r="G212" t="s">
        <v>54</v>
      </c>
      <c r="H212" t="s">
        <v>192</v>
      </c>
      <c r="I212" t="s">
        <v>135</v>
      </c>
      <c r="J212">
        <v>814</v>
      </c>
      <c r="K212">
        <v>7</v>
      </c>
      <c r="L212" t="s">
        <v>71</v>
      </c>
      <c r="M212">
        <v>90</v>
      </c>
      <c r="N212">
        <v>51.3</v>
      </c>
      <c r="O212">
        <v>77</v>
      </c>
      <c r="P212">
        <v>6.06</v>
      </c>
      <c r="Q212">
        <v>5.0199999999999996</v>
      </c>
      <c r="R212" t="s">
        <v>227</v>
      </c>
      <c r="S212" t="s">
        <v>73</v>
      </c>
      <c r="T212" t="s">
        <v>30</v>
      </c>
    </row>
    <row r="213" spans="1:20" x14ac:dyDescent="0.3">
      <c r="A213">
        <v>10683</v>
      </c>
      <c r="B213" s="2">
        <v>45786</v>
      </c>
      <c r="C213" t="s">
        <v>20</v>
      </c>
      <c r="D213" t="s">
        <v>32</v>
      </c>
      <c r="E213" t="s">
        <v>22</v>
      </c>
      <c r="F213" t="s">
        <v>81</v>
      </c>
      <c r="G213" t="s">
        <v>24</v>
      </c>
      <c r="H213" t="s">
        <v>78</v>
      </c>
      <c r="I213" t="s">
        <v>303</v>
      </c>
      <c r="J213">
        <v>534</v>
      </c>
      <c r="K213">
        <v>7</v>
      </c>
      <c r="L213" t="s">
        <v>71</v>
      </c>
      <c r="M213">
        <v>75</v>
      </c>
      <c r="N213">
        <v>37.799999999999997</v>
      </c>
      <c r="O213">
        <v>65.900000000000006</v>
      </c>
      <c r="P213">
        <v>5.14</v>
      </c>
      <c r="Q213">
        <v>4.12</v>
      </c>
      <c r="R213" t="s">
        <v>87</v>
      </c>
      <c r="S213" t="s">
        <v>29</v>
      </c>
      <c r="T213" t="s">
        <v>30</v>
      </c>
    </row>
    <row r="214" spans="1:20" x14ac:dyDescent="0.3">
      <c r="A214">
        <v>10527</v>
      </c>
      <c r="B214" s="2">
        <v>45700</v>
      </c>
      <c r="C214" t="s">
        <v>31</v>
      </c>
      <c r="D214" t="s">
        <v>59</v>
      </c>
      <c r="E214" t="s">
        <v>40</v>
      </c>
      <c r="F214" t="s">
        <v>81</v>
      </c>
      <c r="G214" t="s">
        <v>34</v>
      </c>
      <c r="H214" t="s">
        <v>35</v>
      </c>
      <c r="I214" t="s">
        <v>304</v>
      </c>
      <c r="J214">
        <v>617</v>
      </c>
      <c r="K214">
        <v>8</v>
      </c>
      <c r="L214" t="s">
        <v>68</v>
      </c>
      <c r="M214">
        <v>159</v>
      </c>
      <c r="N214">
        <v>38.5</v>
      </c>
      <c r="O214">
        <v>73</v>
      </c>
      <c r="P214">
        <v>5.33</v>
      </c>
      <c r="Q214">
        <v>3.02</v>
      </c>
      <c r="R214" t="s">
        <v>87</v>
      </c>
      <c r="S214" t="s">
        <v>29</v>
      </c>
      <c r="T214" t="s">
        <v>30</v>
      </c>
    </row>
    <row r="215" spans="1:20" x14ac:dyDescent="0.3">
      <c r="A215">
        <v>11066</v>
      </c>
      <c r="B215" s="2">
        <v>45883</v>
      </c>
      <c r="C215" t="s">
        <v>20</v>
      </c>
      <c r="D215" t="s">
        <v>64</v>
      </c>
      <c r="E215" t="s">
        <v>40</v>
      </c>
      <c r="F215" t="s">
        <v>81</v>
      </c>
      <c r="G215" t="s">
        <v>54</v>
      </c>
      <c r="H215" t="s">
        <v>131</v>
      </c>
      <c r="I215" t="s">
        <v>230</v>
      </c>
      <c r="J215">
        <v>462</v>
      </c>
      <c r="K215">
        <v>2</v>
      </c>
      <c r="L215" t="s">
        <v>27</v>
      </c>
      <c r="M215">
        <v>44</v>
      </c>
      <c r="N215">
        <v>38.799999999999997</v>
      </c>
      <c r="P215">
        <v>5.29</v>
      </c>
      <c r="Q215">
        <v>2.6</v>
      </c>
      <c r="R215" t="s">
        <v>72</v>
      </c>
      <c r="S215" t="s">
        <v>47</v>
      </c>
      <c r="T215" t="s">
        <v>30</v>
      </c>
    </row>
    <row r="216" spans="1:20" x14ac:dyDescent="0.3">
      <c r="A216">
        <v>10064</v>
      </c>
      <c r="B216" s="2">
        <v>45694</v>
      </c>
      <c r="C216" t="s">
        <v>20</v>
      </c>
      <c r="D216" t="s">
        <v>21</v>
      </c>
      <c r="E216" t="s">
        <v>22</v>
      </c>
      <c r="F216" t="s">
        <v>81</v>
      </c>
      <c r="G216" t="s">
        <v>42</v>
      </c>
      <c r="H216" t="s">
        <v>205</v>
      </c>
      <c r="I216" t="s">
        <v>305</v>
      </c>
      <c r="J216">
        <v>1597</v>
      </c>
      <c r="K216">
        <v>11</v>
      </c>
      <c r="L216" t="s">
        <v>57</v>
      </c>
      <c r="M216">
        <v>66</v>
      </c>
      <c r="N216">
        <v>50.4</v>
      </c>
      <c r="O216">
        <v>74.7</v>
      </c>
      <c r="P216">
        <v>6.26</v>
      </c>
      <c r="Q216">
        <v>1.56</v>
      </c>
      <c r="R216" t="s">
        <v>140</v>
      </c>
      <c r="S216" t="s">
        <v>73</v>
      </c>
      <c r="T216" t="s">
        <v>30</v>
      </c>
    </row>
    <row r="217" spans="1:20" x14ac:dyDescent="0.3">
      <c r="A217">
        <v>10694</v>
      </c>
      <c r="B217" s="2">
        <v>45993</v>
      </c>
      <c r="C217" t="s">
        <v>31</v>
      </c>
      <c r="D217" t="s">
        <v>32</v>
      </c>
      <c r="E217" t="s">
        <v>33</v>
      </c>
      <c r="F217" t="s">
        <v>41</v>
      </c>
      <c r="G217" t="s">
        <v>54</v>
      </c>
      <c r="H217" t="s">
        <v>141</v>
      </c>
      <c r="I217" t="s">
        <v>26</v>
      </c>
      <c r="J217">
        <v>1297</v>
      </c>
      <c r="K217">
        <v>18</v>
      </c>
      <c r="L217" t="s">
        <v>27</v>
      </c>
      <c r="M217">
        <v>60</v>
      </c>
      <c r="N217">
        <v>46.6</v>
      </c>
      <c r="O217">
        <v>66</v>
      </c>
      <c r="P217">
        <v>5.65</v>
      </c>
      <c r="Q217">
        <v>2.73</v>
      </c>
      <c r="R217" t="s">
        <v>152</v>
      </c>
      <c r="S217" t="s">
        <v>73</v>
      </c>
      <c r="T217" t="s">
        <v>30</v>
      </c>
    </row>
    <row r="218" spans="1:20" x14ac:dyDescent="0.3">
      <c r="A218">
        <v>10240</v>
      </c>
      <c r="B218" s="2">
        <v>45936</v>
      </c>
      <c r="C218" t="s">
        <v>49</v>
      </c>
      <c r="D218" t="s">
        <v>21</v>
      </c>
      <c r="E218" t="s">
        <v>40</v>
      </c>
      <c r="F218" t="s">
        <v>81</v>
      </c>
      <c r="G218" t="s">
        <v>60</v>
      </c>
      <c r="H218" t="s">
        <v>200</v>
      </c>
      <c r="I218" t="s">
        <v>284</v>
      </c>
      <c r="J218">
        <v>754</v>
      </c>
      <c r="K218">
        <v>8</v>
      </c>
      <c r="L218" t="s">
        <v>27</v>
      </c>
      <c r="M218">
        <v>33</v>
      </c>
      <c r="N218">
        <v>42.6</v>
      </c>
      <c r="O218">
        <v>55</v>
      </c>
      <c r="P218">
        <v>5.57</v>
      </c>
      <c r="Q218">
        <v>1.72</v>
      </c>
      <c r="R218" t="s">
        <v>245</v>
      </c>
      <c r="S218" t="s">
        <v>39</v>
      </c>
      <c r="T218" t="s">
        <v>30</v>
      </c>
    </row>
    <row r="219" spans="1:20" x14ac:dyDescent="0.3">
      <c r="A219">
        <v>10909</v>
      </c>
      <c r="B219" s="2">
        <v>45960</v>
      </c>
      <c r="C219" t="s">
        <v>20</v>
      </c>
      <c r="D219" t="s">
        <v>21</v>
      </c>
      <c r="E219" t="s">
        <v>33</v>
      </c>
      <c r="F219" t="s">
        <v>41</v>
      </c>
      <c r="G219" t="s">
        <v>24</v>
      </c>
      <c r="H219" t="s">
        <v>82</v>
      </c>
      <c r="I219" t="s">
        <v>233</v>
      </c>
      <c r="J219">
        <v>519</v>
      </c>
      <c r="K219">
        <v>7</v>
      </c>
      <c r="L219" t="s">
        <v>37</v>
      </c>
      <c r="M219">
        <v>136</v>
      </c>
      <c r="N219">
        <v>43.3</v>
      </c>
      <c r="O219">
        <v>74.2</v>
      </c>
      <c r="P219">
        <v>4.26</v>
      </c>
      <c r="Q219">
        <v>2.95</v>
      </c>
      <c r="R219" t="s">
        <v>243</v>
      </c>
      <c r="S219" t="s">
        <v>39</v>
      </c>
      <c r="T219" t="s">
        <v>30</v>
      </c>
    </row>
    <row r="220" spans="1:20" x14ac:dyDescent="0.3">
      <c r="A220">
        <v>10507</v>
      </c>
      <c r="B220" s="2">
        <v>45844</v>
      </c>
      <c r="C220" t="s">
        <v>106</v>
      </c>
      <c r="D220" t="s">
        <v>64</v>
      </c>
      <c r="E220" t="s">
        <v>33</v>
      </c>
      <c r="F220" t="s">
        <v>23</v>
      </c>
      <c r="G220" t="s">
        <v>50</v>
      </c>
      <c r="I220" t="s">
        <v>241</v>
      </c>
      <c r="J220">
        <v>1167</v>
      </c>
      <c r="K220">
        <v>9</v>
      </c>
      <c r="L220" t="s">
        <v>57</v>
      </c>
      <c r="M220">
        <v>151</v>
      </c>
      <c r="N220">
        <v>41.7</v>
      </c>
      <c r="O220">
        <v>80.7</v>
      </c>
      <c r="P220">
        <v>5.34</v>
      </c>
      <c r="Q220">
        <v>0.68</v>
      </c>
      <c r="R220" t="s">
        <v>147</v>
      </c>
      <c r="S220" t="s">
        <v>47</v>
      </c>
      <c r="T220" t="s">
        <v>30</v>
      </c>
    </row>
    <row r="221" spans="1:20" x14ac:dyDescent="0.3">
      <c r="A221">
        <v>10260</v>
      </c>
      <c r="B221" s="2">
        <v>45972</v>
      </c>
      <c r="C221" t="s">
        <v>31</v>
      </c>
      <c r="D221" t="s">
        <v>59</v>
      </c>
      <c r="E221" t="s">
        <v>40</v>
      </c>
      <c r="F221" t="s">
        <v>81</v>
      </c>
      <c r="G221" t="s">
        <v>134</v>
      </c>
      <c r="H221" t="s">
        <v>161</v>
      </c>
      <c r="I221" t="s">
        <v>306</v>
      </c>
      <c r="J221">
        <v>1147</v>
      </c>
      <c r="K221">
        <v>4</v>
      </c>
      <c r="L221" t="s">
        <v>57</v>
      </c>
      <c r="M221">
        <v>19</v>
      </c>
      <c r="N221">
        <v>45</v>
      </c>
      <c r="O221">
        <v>74.099999999999994</v>
      </c>
      <c r="P221">
        <v>4.93</v>
      </c>
      <c r="Q221">
        <v>3.21</v>
      </c>
      <c r="R221" t="s">
        <v>84</v>
      </c>
      <c r="S221" t="s">
        <v>47</v>
      </c>
      <c r="T221" t="s">
        <v>30</v>
      </c>
    </row>
    <row r="222" spans="1:20" x14ac:dyDescent="0.3">
      <c r="A222">
        <v>10529</v>
      </c>
      <c r="B222" s="2">
        <v>45926</v>
      </c>
      <c r="C222" t="s">
        <v>31</v>
      </c>
      <c r="D222" t="s">
        <v>59</v>
      </c>
      <c r="E222" t="s">
        <v>107</v>
      </c>
      <c r="F222" t="s">
        <v>23</v>
      </c>
      <c r="G222" t="s">
        <v>74</v>
      </c>
      <c r="H222" t="s">
        <v>90</v>
      </c>
      <c r="I222" t="s">
        <v>52</v>
      </c>
      <c r="J222">
        <v>759</v>
      </c>
      <c r="K222">
        <v>8</v>
      </c>
      <c r="L222" t="s">
        <v>27</v>
      </c>
      <c r="M222">
        <v>137</v>
      </c>
      <c r="N222">
        <v>45.6</v>
      </c>
      <c r="O222">
        <v>61.7</v>
      </c>
      <c r="P222">
        <v>5.98</v>
      </c>
      <c r="Q222">
        <v>5.0599999999999996</v>
      </c>
      <c r="R222" t="s">
        <v>164</v>
      </c>
      <c r="S222" t="s">
        <v>29</v>
      </c>
      <c r="T222" t="s">
        <v>30</v>
      </c>
    </row>
    <row r="223" spans="1:20" x14ac:dyDescent="0.3">
      <c r="A223">
        <v>10479</v>
      </c>
      <c r="B223" s="2">
        <v>45672</v>
      </c>
      <c r="C223" t="s">
        <v>20</v>
      </c>
      <c r="D223" t="s">
        <v>64</v>
      </c>
      <c r="E223" t="s">
        <v>40</v>
      </c>
      <c r="F223" t="s">
        <v>41</v>
      </c>
      <c r="G223" t="s">
        <v>50</v>
      </c>
      <c r="H223" t="s">
        <v>223</v>
      </c>
      <c r="I223" t="s">
        <v>307</v>
      </c>
      <c r="J223">
        <v>1512</v>
      </c>
      <c r="K223">
        <v>32</v>
      </c>
      <c r="L223" t="s">
        <v>68</v>
      </c>
      <c r="M223">
        <v>138</v>
      </c>
      <c r="N223">
        <v>41.8</v>
      </c>
      <c r="O223">
        <v>64.099999999999994</v>
      </c>
      <c r="P223">
        <v>5.43</v>
      </c>
      <c r="Q223">
        <v>4.88</v>
      </c>
      <c r="R223" t="s">
        <v>105</v>
      </c>
      <c r="S223" t="s">
        <v>39</v>
      </c>
      <c r="T223" t="s">
        <v>30</v>
      </c>
    </row>
    <row r="224" spans="1:20" x14ac:dyDescent="0.3">
      <c r="A224">
        <v>11098</v>
      </c>
      <c r="B224" s="2">
        <v>45708</v>
      </c>
      <c r="C224" t="s">
        <v>31</v>
      </c>
      <c r="D224" t="s">
        <v>21</v>
      </c>
      <c r="E224" t="s">
        <v>40</v>
      </c>
      <c r="F224" t="s">
        <v>23</v>
      </c>
      <c r="G224" t="s">
        <v>89</v>
      </c>
      <c r="H224" t="s">
        <v>172</v>
      </c>
      <c r="I224" t="s">
        <v>308</v>
      </c>
      <c r="J224">
        <v>1093</v>
      </c>
      <c r="K224">
        <v>9</v>
      </c>
      <c r="L224" t="s">
        <v>57</v>
      </c>
      <c r="M224">
        <v>30</v>
      </c>
      <c r="N224">
        <v>41.4</v>
      </c>
      <c r="O224">
        <v>82.2</v>
      </c>
      <c r="P224">
        <v>4.7</v>
      </c>
      <c r="Q224">
        <v>2.35</v>
      </c>
      <c r="R224" t="s">
        <v>147</v>
      </c>
      <c r="S224" t="s">
        <v>39</v>
      </c>
      <c r="T224" t="s">
        <v>30</v>
      </c>
    </row>
    <row r="225" spans="1:20" x14ac:dyDescent="0.3">
      <c r="A225">
        <v>10199</v>
      </c>
      <c r="B225" s="2">
        <v>45728</v>
      </c>
      <c r="C225" t="s">
        <v>49</v>
      </c>
      <c r="D225" t="s">
        <v>59</v>
      </c>
      <c r="E225" t="s">
        <v>40</v>
      </c>
      <c r="F225" t="s">
        <v>41</v>
      </c>
      <c r="G225" t="s">
        <v>74</v>
      </c>
      <c r="H225" t="s">
        <v>180</v>
      </c>
      <c r="I225" t="s">
        <v>309</v>
      </c>
      <c r="J225">
        <v>1394</v>
      </c>
      <c r="K225">
        <v>15</v>
      </c>
      <c r="L225" t="s">
        <v>37</v>
      </c>
      <c r="M225">
        <v>164</v>
      </c>
      <c r="N225">
        <v>40.200000000000003</v>
      </c>
      <c r="O225">
        <v>70.099999999999994</v>
      </c>
      <c r="P225">
        <v>5.15</v>
      </c>
      <c r="Q225">
        <v>3.33</v>
      </c>
      <c r="R225" t="s">
        <v>174</v>
      </c>
      <c r="S225" t="s">
        <v>47</v>
      </c>
      <c r="T225" t="s">
        <v>30</v>
      </c>
    </row>
    <row r="226" spans="1:20" x14ac:dyDescent="0.3">
      <c r="A226">
        <v>10715</v>
      </c>
      <c r="B226" s="2">
        <v>45762</v>
      </c>
      <c r="C226" t="s">
        <v>31</v>
      </c>
      <c r="D226" t="s">
        <v>59</v>
      </c>
      <c r="E226" t="s">
        <v>107</v>
      </c>
      <c r="F226" t="s">
        <v>41</v>
      </c>
      <c r="G226" t="s">
        <v>134</v>
      </c>
      <c r="H226" t="s">
        <v>223</v>
      </c>
      <c r="I226" t="s">
        <v>219</v>
      </c>
      <c r="J226">
        <v>1156</v>
      </c>
      <c r="K226">
        <v>4</v>
      </c>
      <c r="L226" t="s">
        <v>71</v>
      </c>
      <c r="M226">
        <v>159</v>
      </c>
      <c r="N226">
        <v>48.2</v>
      </c>
      <c r="O226">
        <v>86.3</v>
      </c>
      <c r="P226">
        <v>4.1100000000000003</v>
      </c>
      <c r="Q226">
        <v>2.74</v>
      </c>
      <c r="R226" t="s">
        <v>245</v>
      </c>
      <c r="S226" t="s">
        <v>29</v>
      </c>
      <c r="T226" t="s">
        <v>30</v>
      </c>
    </row>
    <row r="227" spans="1:20" x14ac:dyDescent="0.3">
      <c r="A227">
        <v>10868</v>
      </c>
      <c r="B227" s="2">
        <v>45850</v>
      </c>
      <c r="C227" t="s">
        <v>20</v>
      </c>
      <c r="D227" t="s">
        <v>21</v>
      </c>
      <c r="E227" t="s">
        <v>40</v>
      </c>
      <c r="F227" t="s">
        <v>81</v>
      </c>
      <c r="G227" t="s">
        <v>109</v>
      </c>
      <c r="H227" t="s">
        <v>101</v>
      </c>
      <c r="I227" t="s">
        <v>310</v>
      </c>
      <c r="J227">
        <v>1261</v>
      </c>
      <c r="K227">
        <v>45</v>
      </c>
      <c r="L227" t="s">
        <v>37</v>
      </c>
      <c r="M227">
        <v>42</v>
      </c>
      <c r="N227" t="s">
        <v>311</v>
      </c>
      <c r="O227">
        <v>89.1</v>
      </c>
      <c r="P227">
        <v>5.31</v>
      </c>
      <c r="Q227">
        <v>2.67</v>
      </c>
      <c r="R227" t="s">
        <v>92</v>
      </c>
      <c r="S227" t="s">
        <v>47</v>
      </c>
      <c r="T227" t="s">
        <v>48</v>
      </c>
    </row>
    <row r="228" spans="1:20" x14ac:dyDescent="0.3">
      <c r="A228">
        <v>10778</v>
      </c>
      <c r="B228" s="2">
        <v>45900</v>
      </c>
      <c r="C228" t="s">
        <v>49</v>
      </c>
      <c r="D228" t="s">
        <v>21</v>
      </c>
      <c r="E228" t="s">
        <v>40</v>
      </c>
      <c r="F228" t="s">
        <v>23</v>
      </c>
      <c r="G228" t="s">
        <v>109</v>
      </c>
      <c r="H228" t="s">
        <v>43</v>
      </c>
      <c r="I228" t="s">
        <v>273</v>
      </c>
      <c r="J228">
        <v>1525</v>
      </c>
      <c r="K228">
        <v>123</v>
      </c>
      <c r="L228" t="s">
        <v>68</v>
      </c>
      <c r="M228">
        <v>116</v>
      </c>
      <c r="N228">
        <v>46.4</v>
      </c>
      <c r="O228">
        <v>63.8</v>
      </c>
      <c r="P228">
        <v>5.69</v>
      </c>
      <c r="Q228">
        <v>3.32</v>
      </c>
      <c r="R228" t="s">
        <v>140</v>
      </c>
      <c r="S228" t="s">
        <v>73</v>
      </c>
      <c r="T228" t="s">
        <v>48</v>
      </c>
    </row>
    <row r="229" spans="1:20" x14ac:dyDescent="0.3">
      <c r="A229">
        <v>11014</v>
      </c>
      <c r="B229" s="2">
        <v>45878</v>
      </c>
      <c r="C229" t="s">
        <v>49</v>
      </c>
      <c r="D229" t="s">
        <v>59</v>
      </c>
      <c r="E229" t="s">
        <v>107</v>
      </c>
      <c r="F229" t="s">
        <v>41</v>
      </c>
      <c r="G229" t="s">
        <v>60</v>
      </c>
      <c r="H229" t="s">
        <v>55</v>
      </c>
      <c r="I229" t="s">
        <v>312</v>
      </c>
      <c r="J229">
        <v>1347</v>
      </c>
      <c r="K229">
        <v>7</v>
      </c>
      <c r="L229" t="s">
        <v>68</v>
      </c>
      <c r="M229">
        <v>23</v>
      </c>
      <c r="N229">
        <v>48.2</v>
      </c>
      <c r="O229">
        <v>75.599999999999994</v>
      </c>
      <c r="P229">
        <v>5.58</v>
      </c>
      <c r="Q229">
        <v>3.31</v>
      </c>
      <c r="R229" t="s">
        <v>222</v>
      </c>
      <c r="S229" t="s">
        <v>39</v>
      </c>
      <c r="T229" t="s">
        <v>30</v>
      </c>
    </row>
    <row r="230" spans="1:20" x14ac:dyDescent="0.3">
      <c r="A230">
        <v>10219</v>
      </c>
      <c r="B230" s="2">
        <v>45847</v>
      </c>
      <c r="C230" t="s">
        <v>20</v>
      </c>
      <c r="D230" t="s">
        <v>59</v>
      </c>
      <c r="E230" t="s">
        <v>107</v>
      </c>
      <c r="F230" t="s">
        <v>41</v>
      </c>
      <c r="G230" t="s">
        <v>42</v>
      </c>
      <c r="H230" t="s">
        <v>85</v>
      </c>
      <c r="I230" t="s">
        <v>217</v>
      </c>
      <c r="J230">
        <v>847</v>
      </c>
      <c r="K230">
        <v>5</v>
      </c>
      <c r="L230" t="s">
        <v>68</v>
      </c>
      <c r="M230">
        <v>140</v>
      </c>
      <c r="N230">
        <v>54.3</v>
      </c>
      <c r="O230">
        <v>72.099999999999994</v>
      </c>
      <c r="P230">
        <v>5.38</v>
      </c>
      <c r="Q230">
        <v>3.56</v>
      </c>
      <c r="R230" t="s">
        <v>227</v>
      </c>
      <c r="S230" t="s">
        <v>39</v>
      </c>
      <c r="T230" t="s">
        <v>30</v>
      </c>
    </row>
    <row r="231" spans="1:20" x14ac:dyDescent="0.3">
      <c r="A231">
        <v>10810</v>
      </c>
      <c r="B231" s="2">
        <v>46014</v>
      </c>
      <c r="C231" t="s">
        <v>31</v>
      </c>
      <c r="D231" t="s">
        <v>21</v>
      </c>
      <c r="E231" t="s">
        <v>33</v>
      </c>
      <c r="F231" t="s">
        <v>274</v>
      </c>
      <c r="G231" t="s">
        <v>50</v>
      </c>
      <c r="H231" t="s">
        <v>114</v>
      </c>
      <c r="I231" t="s">
        <v>313</v>
      </c>
      <c r="J231">
        <v>1114</v>
      </c>
      <c r="K231">
        <v>41</v>
      </c>
      <c r="L231" t="s">
        <v>37</v>
      </c>
      <c r="M231">
        <v>147</v>
      </c>
      <c r="N231">
        <v>45.4</v>
      </c>
      <c r="O231">
        <v>71.8</v>
      </c>
      <c r="P231">
        <v>4.0599999999999996</v>
      </c>
      <c r="Q231">
        <v>1.24</v>
      </c>
      <c r="R231" t="s">
        <v>137</v>
      </c>
      <c r="S231" t="s">
        <v>73</v>
      </c>
      <c r="T231" t="s">
        <v>48</v>
      </c>
    </row>
    <row r="232" spans="1:20" x14ac:dyDescent="0.3">
      <c r="A232">
        <v>10031</v>
      </c>
      <c r="B232" s="2">
        <v>45907</v>
      </c>
      <c r="C232" t="s">
        <v>49</v>
      </c>
      <c r="D232" t="s">
        <v>59</v>
      </c>
      <c r="E232" t="s">
        <v>33</v>
      </c>
      <c r="F232" t="s">
        <v>81</v>
      </c>
      <c r="G232" t="s">
        <v>42</v>
      </c>
      <c r="H232" t="s">
        <v>265</v>
      </c>
      <c r="I232" t="s">
        <v>228</v>
      </c>
      <c r="J232">
        <v>1166</v>
      </c>
      <c r="K232">
        <v>5</v>
      </c>
      <c r="L232" t="s">
        <v>37</v>
      </c>
      <c r="M232">
        <v>58</v>
      </c>
      <c r="N232">
        <v>44.9</v>
      </c>
      <c r="O232">
        <v>82.7</v>
      </c>
      <c r="P232">
        <v>3.11</v>
      </c>
      <c r="Q232">
        <v>2.08</v>
      </c>
      <c r="R232" t="s">
        <v>159</v>
      </c>
      <c r="S232" t="s">
        <v>73</v>
      </c>
      <c r="T232" t="s">
        <v>30</v>
      </c>
    </row>
    <row r="233" spans="1:20" x14ac:dyDescent="0.3">
      <c r="A233">
        <v>10057</v>
      </c>
      <c r="B233" s="2">
        <v>45857</v>
      </c>
      <c r="C233" t="s">
        <v>20</v>
      </c>
      <c r="D233" t="s">
        <v>59</v>
      </c>
      <c r="E233" t="s">
        <v>22</v>
      </c>
      <c r="F233" t="s">
        <v>41</v>
      </c>
      <c r="G233" t="s">
        <v>113</v>
      </c>
      <c r="H233" t="s">
        <v>93</v>
      </c>
      <c r="I233" t="s">
        <v>237</v>
      </c>
      <c r="J233">
        <v>665</v>
      </c>
      <c r="K233">
        <v>21</v>
      </c>
      <c r="L233" t="s">
        <v>57</v>
      </c>
      <c r="M233">
        <v>30</v>
      </c>
      <c r="N233">
        <v>47.7</v>
      </c>
      <c r="O233">
        <v>73.099999999999994</v>
      </c>
      <c r="P233">
        <v>5.56</v>
      </c>
      <c r="Q233">
        <v>2.57</v>
      </c>
      <c r="R233" t="s">
        <v>183</v>
      </c>
      <c r="S233" t="s">
        <v>39</v>
      </c>
      <c r="T233" t="s">
        <v>48</v>
      </c>
    </row>
    <row r="234" spans="1:20" x14ac:dyDescent="0.3">
      <c r="A234">
        <v>11221</v>
      </c>
      <c r="B234" s="2">
        <v>46012</v>
      </c>
      <c r="C234" t="s">
        <v>20</v>
      </c>
      <c r="D234" t="s">
        <v>59</v>
      </c>
      <c r="E234" t="s">
        <v>22</v>
      </c>
      <c r="F234" t="s">
        <v>41</v>
      </c>
      <c r="G234" t="s">
        <v>34</v>
      </c>
      <c r="H234" t="s">
        <v>148</v>
      </c>
      <c r="I234" t="s">
        <v>314</v>
      </c>
      <c r="J234">
        <v>1097</v>
      </c>
      <c r="K234">
        <v>36</v>
      </c>
      <c r="L234" t="s">
        <v>27</v>
      </c>
      <c r="M234">
        <v>13</v>
      </c>
      <c r="N234">
        <v>39.6</v>
      </c>
      <c r="O234">
        <v>71.400000000000006</v>
      </c>
      <c r="P234">
        <v>5.92</v>
      </c>
      <c r="Q234">
        <v>2.65</v>
      </c>
      <c r="R234" t="s">
        <v>122</v>
      </c>
      <c r="S234" t="s">
        <v>29</v>
      </c>
      <c r="T234" t="s">
        <v>48</v>
      </c>
    </row>
    <row r="235" spans="1:20" x14ac:dyDescent="0.3">
      <c r="A235">
        <v>10890</v>
      </c>
      <c r="B235" s="2">
        <v>45890</v>
      </c>
      <c r="C235" t="s">
        <v>31</v>
      </c>
      <c r="D235" t="s">
        <v>32</v>
      </c>
      <c r="E235" t="s">
        <v>33</v>
      </c>
      <c r="F235" t="s">
        <v>23</v>
      </c>
      <c r="G235" t="s">
        <v>89</v>
      </c>
      <c r="H235" t="s">
        <v>35</v>
      </c>
      <c r="I235" t="s">
        <v>315</v>
      </c>
      <c r="J235">
        <v>1264</v>
      </c>
      <c r="K235">
        <v>17</v>
      </c>
      <c r="L235" t="s">
        <v>27</v>
      </c>
      <c r="M235">
        <v>82</v>
      </c>
      <c r="N235">
        <v>23.7</v>
      </c>
      <c r="O235">
        <v>70.599999999999994</v>
      </c>
      <c r="Q235">
        <v>1.18</v>
      </c>
      <c r="R235" t="s">
        <v>147</v>
      </c>
      <c r="S235" t="s">
        <v>39</v>
      </c>
      <c r="T235" t="s">
        <v>30</v>
      </c>
    </row>
    <row r="236" spans="1:20" x14ac:dyDescent="0.3">
      <c r="A236">
        <v>11404</v>
      </c>
      <c r="B236" s="2">
        <v>45682</v>
      </c>
      <c r="C236" t="s">
        <v>20</v>
      </c>
      <c r="D236" t="s">
        <v>21</v>
      </c>
      <c r="E236" t="s">
        <v>107</v>
      </c>
      <c r="F236" t="s">
        <v>41</v>
      </c>
      <c r="G236" t="s">
        <v>60</v>
      </c>
      <c r="H236" t="s">
        <v>172</v>
      </c>
      <c r="I236" t="s">
        <v>302</v>
      </c>
      <c r="J236">
        <v>675</v>
      </c>
      <c r="K236">
        <v>13</v>
      </c>
      <c r="L236" t="s">
        <v>68</v>
      </c>
      <c r="M236">
        <v>93</v>
      </c>
      <c r="N236">
        <v>32.9</v>
      </c>
      <c r="O236">
        <v>63.9</v>
      </c>
      <c r="P236">
        <v>5.65</v>
      </c>
      <c r="Q236">
        <v>4.92</v>
      </c>
      <c r="R236" t="s">
        <v>186</v>
      </c>
      <c r="S236" t="s">
        <v>29</v>
      </c>
      <c r="T236" t="s">
        <v>30</v>
      </c>
    </row>
    <row r="237" spans="1:20" x14ac:dyDescent="0.3">
      <c r="A237">
        <v>10615</v>
      </c>
      <c r="B237" s="2">
        <v>45840</v>
      </c>
      <c r="C237" t="s">
        <v>49</v>
      </c>
      <c r="D237" t="s">
        <v>59</v>
      </c>
      <c r="E237" t="s">
        <v>40</v>
      </c>
      <c r="F237" t="s">
        <v>23</v>
      </c>
      <c r="G237" t="s">
        <v>113</v>
      </c>
      <c r="H237" t="s">
        <v>114</v>
      </c>
      <c r="I237" t="s">
        <v>316</v>
      </c>
      <c r="J237">
        <v>1088</v>
      </c>
      <c r="K237">
        <v>27</v>
      </c>
      <c r="L237" t="s">
        <v>57</v>
      </c>
      <c r="M237">
        <v>100</v>
      </c>
      <c r="N237">
        <v>39.6</v>
      </c>
      <c r="O237">
        <v>77.8</v>
      </c>
      <c r="P237">
        <v>4.38</v>
      </c>
      <c r="Q237">
        <v>3.73</v>
      </c>
      <c r="R237" t="s">
        <v>53</v>
      </c>
      <c r="S237" t="s">
        <v>73</v>
      </c>
      <c r="T237" t="s">
        <v>30</v>
      </c>
    </row>
    <row r="238" spans="1:20" x14ac:dyDescent="0.3">
      <c r="A238">
        <v>10426</v>
      </c>
      <c r="B238" s="2">
        <v>45830</v>
      </c>
      <c r="C238" t="s">
        <v>49</v>
      </c>
      <c r="D238" t="s">
        <v>21</v>
      </c>
      <c r="E238" t="s">
        <v>33</v>
      </c>
      <c r="F238" t="s">
        <v>81</v>
      </c>
      <c r="G238" t="s">
        <v>95</v>
      </c>
      <c r="H238" t="s">
        <v>193</v>
      </c>
      <c r="I238" t="s">
        <v>52</v>
      </c>
      <c r="J238">
        <v>1189</v>
      </c>
      <c r="K238">
        <v>16</v>
      </c>
      <c r="L238" t="s">
        <v>71</v>
      </c>
      <c r="M238">
        <v>37</v>
      </c>
      <c r="N238">
        <v>36.4</v>
      </c>
      <c r="O238">
        <v>59.6</v>
      </c>
      <c r="P238">
        <v>6</v>
      </c>
      <c r="Q238">
        <v>2.2799999999999998</v>
      </c>
      <c r="R238" t="s">
        <v>84</v>
      </c>
      <c r="S238" t="s">
        <v>47</v>
      </c>
      <c r="T238" t="s">
        <v>30</v>
      </c>
    </row>
    <row r="239" spans="1:20" x14ac:dyDescent="0.3">
      <c r="A239">
        <v>10480</v>
      </c>
      <c r="B239" s="2">
        <v>45950</v>
      </c>
      <c r="C239" t="s">
        <v>20</v>
      </c>
      <c r="D239" t="s">
        <v>59</v>
      </c>
      <c r="E239" t="s">
        <v>40</v>
      </c>
      <c r="F239" t="s">
        <v>23</v>
      </c>
      <c r="G239" t="s">
        <v>34</v>
      </c>
      <c r="H239" t="s">
        <v>278</v>
      </c>
      <c r="I239" t="s">
        <v>317</v>
      </c>
      <c r="J239">
        <v>598</v>
      </c>
      <c r="K239">
        <v>6</v>
      </c>
      <c r="L239" t="s">
        <v>45</v>
      </c>
      <c r="M239">
        <v>80</v>
      </c>
      <c r="N239">
        <v>49.3</v>
      </c>
      <c r="O239">
        <v>76.2</v>
      </c>
      <c r="P239">
        <v>3.84</v>
      </c>
      <c r="Q239">
        <v>3.88</v>
      </c>
      <c r="R239" t="s">
        <v>227</v>
      </c>
      <c r="T239" t="s">
        <v>30</v>
      </c>
    </row>
    <row r="240" spans="1:20" x14ac:dyDescent="0.3">
      <c r="A240">
        <v>11274</v>
      </c>
      <c r="B240" s="2">
        <v>45824</v>
      </c>
      <c r="C240" t="s">
        <v>31</v>
      </c>
      <c r="D240" t="s">
        <v>59</v>
      </c>
      <c r="E240" t="s">
        <v>107</v>
      </c>
      <c r="F240" t="s">
        <v>41</v>
      </c>
      <c r="G240" t="s">
        <v>42</v>
      </c>
      <c r="H240" t="s">
        <v>196</v>
      </c>
      <c r="I240" t="s">
        <v>318</v>
      </c>
      <c r="J240">
        <v>498</v>
      </c>
      <c r="K240">
        <v>18</v>
      </c>
      <c r="L240" t="s">
        <v>45</v>
      </c>
      <c r="M240">
        <v>5</v>
      </c>
      <c r="N240">
        <v>39.299999999999997</v>
      </c>
      <c r="O240">
        <v>74.2</v>
      </c>
      <c r="P240">
        <v>3.53</v>
      </c>
      <c r="Q240">
        <v>4.2699999999999996</v>
      </c>
      <c r="R240" t="s">
        <v>174</v>
      </c>
      <c r="S240" t="s">
        <v>29</v>
      </c>
      <c r="T240" t="s">
        <v>48</v>
      </c>
    </row>
    <row r="241" spans="1:20" x14ac:dyDescent="0.3">
      <c r="A241">
        <v>10859</v>
      </c>
      <c r="B241" s="2">
        <v>46020</v>
      </c>
      <c r="C241" t="s">
        <v>49</v>
      </c>
      <c r="D241" t="s">
        <v>64</v>
      </c>
      <c r="E241" t="s">
        <v>107</v>
      </c>
      <c r="F241" t="s">
        <v>81</v>
      </c>
      <c r="G241" t="s">
        <v>95</v>
      </c>
      <c r="H241" t="s">
        <v>200</v>
      </c>
      <c r="I241" t="s">
        <v>319</v>
      </c>
      <c r="J241">
        <v>497</v>
      </c>
      <c r="K241">
        <v>3</v>
      </c>
      <c r="L241" t="s">
        <v>57</v>
      </c>
      <c r="M241" t="s">
        <v>320</v>
      </c>
      <c r="N241">
        <v>45.5</v>
      </c>
      <c r="O241">
        <v>83.9</v>
      </c>
      <c r="P241">
        <v>5.76</v>
      </c>
      <c r="Q241">
        <v>3.69</v>
      </c>
      <c r="R241" t="s">
        <v>240</v>
      </c>
      <c r="S241" t="s">
        <v>47</v>
      </c>
      <c r="T241" t="s">
        <v>30</v>
      </c>
    </row>
    <row r="242" spans="1:20" x14ac:dyDescent="0.3">
      <c r="A242">
        <v>10968</v>
      </c>
      <c r="B242" s="2">
        <v>45670</v>
      </c>
      <c r="C242" t="s">
        <v>31</v>
      </c>
      <c r="D242" t="s">
        <v>59</v>
      </c>
      <c r="E242" t="s">
        <v>40</v>
      </c>
      <c r="F242" t="s">
        <v>41</v>
      </c>
      <c r="G242" t="s">
        <v>42</v>
      </c>
      <c r="H242" t="s">
        <v>138</v>
      </c>
      <c r="I242" t="s">
        <v>221</v>
      </c>
      <c r="J242">
        <v>1569</v>
      </c>
      <c r="K242">
        <v>20</v>
      </c>
      <c r="L242" t="s">
        <v>71</v>
      </c>
      <c r="M242">
        <v>85</v>
      </c>
      <c r="N242">
        <v>37.4</v>
      </c>
      <c r="O242">
        <v>68.2</v>
      </c>
      <c r="P242">
        <v>4.84</v>
      </c>
      <c r="Q242">
        <v>1.36</v>
      </c>
      <c r="R242" t="s">
        <v>130</v>
      </c>
      <c r="S242" t="s">
        <v>29</v>
      </c>
      <c r="T242" t="s">
        <v>30</v>
      </c>
    </row>
    <row r="243" spans="1:20" x14ac:dyDescent="0.3">
      <c r="A243">
        <v>11247</v>
      </c>
      <c r="B243" s="2">
        <v>45699</v>
      </c>
      <c r="C243" t="s">
        <v>20</v>
      </c>
      <c r="D243" t="s">
        <v>64</v>
      </c>
      <c r="E243" t="s">
        <v>22</v>
      </c>
      <c r="F243" t="s">
        <v>23</v>
      </c>
      <c r="G243" t="s">
        <v>54</v>
      </c>
      <c r="H243" t="s">
        <v>51</v>
      </c>
      <c r="I243" t="s">
        <v>321</v>
      </c>
      <c r="J243">
        <v>1121</v>
      </c>
      <c r="K243">
        <v>12</v>
      </c>
      <c r="L243" t="s">
        <v>37</v>
      </c>
      <c r="M243">
        <v>125</v>
      </c>
      <c r="N243">
        <v>40.299999999999997</v>
      </c>
      <c r="O243">
        <v>72.5</v>
      </c>
      <c r="P243">
        <v>6.48</v>
      </c>
      <c r="Q243">
        <v>2.93</v>
      </c>
      <c r="R243" t="s">
        <v>53</v>
      </c>
      <c r="S243" t="s">
        <v>29</v>
      </c>
      <c r="T243" t="s">
        <v>30</v>
      </c>
    </row>
    <row r="244" spans="1:20" x14ac:dyDescent="0.3">
      <c r="A244">
        <v>11226</v>
      </c>
      <c r="B244" s="2">
        <v>45977</v>
      </c>
      <c r="C244" t="s">
        <v>20</v>
      </c>
      <c r="D244" t="s">
        <v>21</v>
      </c>
      <c r="E244" t="s">
        <v>33</v>
      </c>
      <c r="F244" t="s">
        <v>23</v>
      </c>
      <c r="G244" t="s">
        <v>95</v>
      </c>
      <c r="H244" t="s">
        <v>141</v>
      </c>
      <c r="I244" t="s">
        <v>182</v>
      </c>
      <c r="J244">
        <v>1539</v>
      </c>
      <c r="K244">
        <v>15</v>
      </c>
      <c r="L244" t="s">
        <v>57</v>
      </c>
      <c r="M244">
        <v>37</v>
      </c>
      <c r="N244">
        <v>38.200000000000003</v>
      </c>
      <c r="O244">
        <v>59.6</v>
      </c>
      <c r="P244">
        <v>5.81</v>
      </c>
      <c r="Q244">
        <v>3.21</v>
      </c>
      <c r="R244" t="s">
        <v>137</v>
      </c>
      <c r="S244" t="s">
        <v>29</v>
      </c>
      <c r="T244" t="s">
        <v>30</v>
      </c>
    </row>
    <row r="245" spans="1:20" x14ac:dyDescent="0.3">
      <c r="A245">
        <v>11041</v>
      </c>
      <c r="B245" s="2">
        <v>45676</v>
      </c>
      <c r="C245" t="s">
        <v>31</v>
      </c>
      <c r="D245" t="s">
        <v>64</v>
      </c>
      <c r="E245" t="s">
        <v>33</v>
      </c>
      <c r="F245" t="s">
        <v>41</v>
      </c>
      <c r="G245" t="s">
        <v>95</v>
      </c>
      <c r="H245" t="s">
        <v>82</v>
      </c>
      <c r="I245" t="s">
        <v>319</v>
      </c>
      <c r="J245">
        <v>1186</v>
      </c>
      <c r="K245">
        <v>7</v>
      </c>
      <c r="L245" t="s">
        <v>71</v>
      </c>
      <c r="M245">
        <v>46</v>
      </c>
      <c r="N245">
        <v>40.299999999999997</v>
      </c>
      <c r="O245">
        <v>60.1</v>
      </c>
      <c r="P245">
        <v>6.18</v>
      </c>
      <c r="Q245">
        <v>1.73</v>
      </c>
      <c r="R245" t="s">
        <v>28</v>
      </c>
      <c r="S245" t="s">
        <v>39</v>
      </c>
      <c r="T245" t="s">
        <v>30</v>
      </c>
    </row>
    <row r="246" spans="1:20" x14ac:dyDescent="0.3">
      <c r="A246">
        <v>10629</v>
      </c>
      <c r="B246" s="2">
        <v>45813</v>
      </c>
      <c r="C246" t="s">
        <v>31</v>
      </c>
      <c r="D246" t="s">
        <v>59</v>
      </c>
      <c r="E246" t="s">
        <v>33</v>
      </c>
      <c r="F246" t="s">
        <v>41</v>
      </c>
      <c r="G246" t="s">
        <v>95</v>
      </c>
      <c r="H246" t="s">
        <v>165</v>
      </c>
      <c r="I246" t="s">
        <v>162</v>
      </c>
      <c r="J246">
        <v>1385</v>
      </c>
      <c r="K246">
        <v>20</v>
      </c>
      <c r="L246" t="s">
        <v>57</v>
      </c>
      <c r="M246">
        <v>155</v>
      </c>
      <c r="N246">
        <v>51.7</v>
      </c>
      <c r="O246">
        <v>69.7</v>
      </c>
      <c r="P246">
        <v>4.49</v>
      </c>
      <c r="Q246">
        <v>3.07</v>
      </c>
      <c r="R246" t="s">
        <v>87</v>
      </c>
      <c r="S246" t="s">
        <v>39</v>
      </c>
      <c r="T246" t="s">
        <v>30</v>
      </c>
    </row>
    <row r="247" spans="1:20" x14ac:dyDescent="0.3">
      <c r="A247">
        <v>11406</v>
      </c>
      <c r="B247" s="2">
        <v>46016</v>
      </c>
      <c r="C247" t="s">
        <v>31</v>
      </c>
      <c r="D247" t="s">
        <v>64</v>
      </c>
      <c r="E247" t="s">
        <v>40</v>
      </c>
      <c r="F247" t="s">
        <v>41</v>
      </c>
      <c r="G247" t="s">
        <v>74</v>
      </c>
      <c r="H247" t="s">
        <v>75</v>
      </c>
      <c r="I247" t="s">
        <v>289</v>
      </c>
      <c r="J247">
        <v>1068</v>
      </c>
      <c r="K247">
        <v>10</v>
      </c>
      <c r="L247" t="s">
        <v>57</v>
      </c>
      <c r="M247">
        <v>8</v>
      </c>
      <c r="N247">
        <v>41.1</v>
      </c>
      <c r="O247">
        <v>67.3</v>
      </c>
      <c r="P247">
        <v>6.15</v>
      </c>
      <c r="Q247">
        <v>1.25</v>
      </c>
      <c r="R247" t="s">
        <v>130</v>
      </c>
      <c r="S247" t="s">
        <v>73</v>
      </c>
      <c r="T247" t="s">
        <v>30</v>
      </c>
    </row>
    <row r="248" spans="1:20" x14ac:dyDescent="0.3">
      <c r="A248">
        <v>11232</v>
      </c>
      <c r="B248" s="2">
        <v>45676</v>
      </c>
      <c r="C248" t="s">
        <v>207</v>
      </c>
      <c r="D248" t="s">
        <v>59</v>
      </c>
      <c r="E248" t="s">
        <v>33</v>
      </c>
      <c r="F248" t="s">
        <v>23</v>
      </c>
      <c r="G248" t="s">
        <v>50</v>
      </c>
      <c r="H248" t="s">
        <v>200</v>
      </c>
      <c r="I248" t="s">
        <v>290</v>
      </c>
      <c r="J248">
        <v>488</v>
      </c>
      <c r="K248">
        <v>6</v>
      </c>
      <c r="L248" t="s">
        <v>71</v>
      </c>
      <c r="M248">
        <v>15</v>
      </c>
      <c r="N248">
        <v>38.9</v>
      </c>
      <c r="O248">
        <v>63.5</v>
      </c>
      <c r="P248">
        <v>5.16</v>
      </c>
      <c r="Q248">
        <v>3.75</v>
      </c>
      <c r="R248" t="s">
        <v>84</v>
      </c>
      <c r="S248" t="s">
        <v>39</v>
      </c>
      <c r="T248" t="s">
        <v>30</v>
      </c>
    </row>
    <row r="249" spans="1:20" x14ac:dyDescent="0.3">
      <c r="A249">
        <v>10100</v>
      </c>
      <c r="B249" s="2">
        <v>45786</v>
      </c>
      <c r="C249" t="s">
        <v>49</v>
      </c>
      <c r="D249" t="s">
        <v>21</v>
      </c>
      <c r="E249" t="s">
        <v>107</v>
      </c>
      <c r="F249" t="s">
        <v>23</v>
      </c>
      <c r="G249" t="s">
        <v>60</v>
      </c>
      <c r="H249" t="s">
        <v>138</v>
      </c>
      <c r="I249" t="s">
        <v>318</v>
      </c>
      <c r="J249">
        <v>1003</v>
      </c>
      <c r="K249">
        <v>37</v>
      </c>
      <c r="L249" t="s">
        <v>45</v>
      </c>
      <c r="M249">
        <v>25</v>
      </c>
      <c r="N249">
        <v>41.9</v>
      </c>
      <c r="O249">
        <v>82.5</v>
      </c>
      <c r="P249">
        <v>4.4400000000000004</v>
      </c>
      <c r="Q249">
        <v>0.42</v>
      </c>
      <c r="R249" t="s">
        <v>240</v>
      </c>
      <c r="S249" t="s">
        <v>39</v>
      </c>
      <c r="T249" t="s">
        <v>48</v>
      </c>
    </row>
    <row r="250" spans="1:20" x14ac:dyDescent="0.3">
      <c r="A250">
        <v>11288</v>
      </c>
      <c r="B250" s="2">
        <v>45678</v>
      </c>
      <c r="C250" t="s">
        <v>31</v>
      </c>
      <c r="D250" t="s">
        <v>32</v>
      </c>
      <c r="E250" t="s">
        <v>33</v>
      </c>
      <c r="F250" t="s">
        <v>41</v>
      </c>
      <c r="G250" t="s">
        <v>95</v>
      </c>
      <c r="H250" t="s">
        <v>66</v>
      </c>
      <c r="I250" t="s">
        <v>249</v>
      </c>
      <c r="J250">
        <v>758</v>
      </c>
      <c r="K250">
        <v>10</v>
      </c>
      <c r="L250" t="s">
        <v>27</v>
      </c>
      <c r="M250">
        <v>147</v>
      </c>
      <c r="N250">
        <v>40.4</v>
      </c>
      <c r="O250">
        <v>64.3</v>
      </c>
      <c r="P250">
        <v>5.88</v>
      </c>
      <c r="Q250">
        <v>0.88</v>
      </c>
      <c r="R250" t="s">
        <v>222</v>
      </c>
      <c r="S250" t="s">
        <v>47</v>
      </c>
      <c r="T250" t="s">
        <v>30</v>
      </c>
    </row>
    <row r="251" spans="1:20" x14ac:dyDescent="0.3">
      <c r="A251">
        <v>10630</v>
      </c>
      <c r="B251" s="2">
        <v>45919</v>
      </c>
      <c r="C251" t="s">
        <v>31</v>
      </c>
      <c r="D251" t="s">
        <v>59</v>
      </c>
      <c r="E251" t="s">
        <v>22</v>
      </c>
      <c r="F251" t="s">
        <v>41</v>
      </c>
      <c r="G251" t="s">
        <v>95</v>
      </c>
      <c r="H251" t="s">
        <v>25</v>
      </c>
      <c r="I251" t="s">
        <v>178</v>
      </c>
      <c r="J251">
        <v>756</v>
      </c>
      <c r="K251">
        <v>7</v>
      </c>
      <c r="L251" t="s">
        <v>71</v>
      </c>
      <c r="M251">
        <v>47</v>
      </c>
      <c r="N251">
        <v>41.3</v>
      </c>
      <c r="O251">
        <v>74.5</v>
      </c>
      <c r="Q251">
        <v>0.92</v>
      </c>
      <c r="R251" t="s">
        <v>280</v>
      </c>
      <c r="S251" t="s">
        <v>39</v>
      </c>
      <c r="T251" t="s">
        <v>30</v>
      </c>
    </row>
    <row r="252" spans="1:20" x14ac:dyDescent="0.3">
      <c r="A252">
        <v>11337</v>
      </c>
      <c r="B252" s="2">
        <v>45848</v>
      </c>
      <c r="C252" t="s">
        <v>20</v>
      </c>
      <c r="D252" t="s">
        <v>32</v>
      </c>
      <c r="E252" t="s">
        <v>40</v>
      </c>
      <c r="F252" t="s">
        <v>41</v>
      </c>
      <c r="G252" t="s">
        <v>50</v>
      </c>
      <c r="H252" t="s">
        <v>196</v>
      </c>
      <c r="I252" t="s">
        <v>322</v>
      </c>
      <c r="J252">
        <v>1380</v>
      </c>
      <c r="K252">
        <v>39</v>
      </c>
      <c r="L252" t="s">
        <v>57</v>
      </c>
      <c r="M252">
        <v>6</v>
      </c>
      <c r="N252">
        <v>35.1</v>
      </c>
      <c r="O252">
        <v>69.5</v>
      </c>
      <c r="P252">
        <v>5.65</v>
      </c>
      <c r="Q252">
        <v>2.06</v>
      </c>
      <c r="R252" t="s">
        <v>130</v>
      </c>
      <c r="S252" t="s">
        <v>73</v>
      </c>
      <c r="T252" t="s">
        <v>30</v>
      </c>
    </row>
    <row r="253" spans="1:20" x14ac:dyDescent="0.3">
      <c r="A253">
        <v>10708</v>
      </c>
      <c r="B253" s="2">
        <v>45802</v>
      </c>
      <c r="C253" t="s">
        <v>20</v>
      </c>
      <c r="D253" t="s">
        <v>64</v>
      </c>
      <c r="E253" t="s">
        <v>107</v>
      </c>
      <c r="F253" t="s">
        <v>81</v>
      </c>
      <c r="G253" t="s">
        <v>34</v>
      </c>
      <c r="H253" t="s">
        <v>287</v>
      </c>
      <c r="I253" t="s">
        <v>323</v>
      </c>
      <c r="J253">
        <v>1076</v>
      </c>
      <c r="K253">
        <v>29</v>
      </c>
      <c r="L253" t="s">
        <v>71</v>
      </c>
      <c r="M253">
        <v>135</v>
      </c>
      <c r="N253">
        <v>45.3</v>
      </c>
      <c r="O253">
        <v>70</v>
      </c>
      <c r="P253">
        <v>4.68</v>
      </c>
      <c r="Q253">
        <v>3.05</v>
      </c>
      <c r="R253" t="s">
        <v>105</v>
      </c>
      <c r="S253" t="s">
        <v>39</v>
      </c>
      <c r="T253" t="s">
        <v>30</v>
      </c>
    </row>
    <row r="254" spans="1:20" x14ac:dyDescent="0.3">
      <c r="A254">
        <v>10939</v>
      </c>
      <c r="B254" s="2">
        <v>45899</v>
      </c>
      <c r="C254" t="s">
        <v>31</v>
      </c>
      <c r="D254" t="s">
        <v>32</v>
      </c>
      <c r="E254" t="s">
        <v>33</v>
      </c>
      <c r="F254" t="s">
        <v>41</v>
      </c>
      <c r="G254" t="s">
        <v>109</v>
      </c>
      <c r="H254" t="s">
        <v>165</v>
      </c>
      <c r="I254" t="s">
        <v>231</v>
      </c>
      <c r="J254">
        <v>1448</v>
      </c>
      <c r="K254">
        <v>36</v>
      </c>
      <c r="L254" t="s">
        <v>68</v>
      </c>
      <c r="M254">
        <v>29</v>
      </c>
      <c r="N254">
        <v>42.2</v>
      </c>
      <c r="O254">
        <v>83.4</v>
      </c>
      <c r="P254">
        <v>6.39</v>
      </c>
      <c r="Q254">
        <v>1.78</v>
      </c>
      <c r="R254" t="s">
        <v>133</v>
      </c>
      <c r="S254" t="s">
        <v>73</v>
      </c>
      <c r="T254" t="s">
        <v>30</v>
      </c>
    </row>
    <row r="255" spans="1:20" x14ac:dyDescent="0.3">
      <c r="A255">
        <v>11161</v>
      </c>
      <c r="B255" s="2">
        <v>45984</v>
      </c>
      <c r="C255" t="s">
        <v>31</v>
      </c>
      <c r="D255" t="s">
        <v>64</v>
      </c>
      <c r="E255" t="s">
        <v>22</v>
      </c>
      <c r="F255" t="s">
        <v>41</v>
      </c>
      <c r="G255" t="s">
        <v>109</v>
      </c>
      <c r="H255" t="s">
        <v>190</v>
      </c>
      <c r="I255" t="s">
        <v>318</v>
      </c>
      <c r="J255">
        <v>554</v>
      </c>
      <c r="K255">
        <v>32</v>
      </c>
      <c r="L255" t="s">
        <v>27</v>
      </c>
      <c r="M255">
        <v>160</v>
      </c>
      <c r="N255">
        <v>45.6</v>
      </c>
      <c r="O255">
        <v>80.7</v>
      </c>
      <c r="P255">
        <v>5.55</v>
      </c>
      <c r="Q255">
        <v>1.6</v>
      </c>
      <c r="R255" t="s">
        <v>202</v>
      </c>
      <c r="S255" t="s">
        <v>47</v>
      </c>
      <c r="T255" t="s">
        <v>48</v>
      </c>
    </row>
    <row r="256" spans="1:20" x14ac:dyDescent="0.3">
      <c r="A256">
        <v>11034</v>
      </c>
      <c r="B256" s="2">
        <v>45660</v>
      </c>
      <c r="C256" t="s">
        <v>31</v>
      </c>
      <c r="D256" t="s">
        <v>21</v>
      </c>
      <c r="E256" t="s">
        <v>22</v>
      </c>
      <c r="F256" t="s">
        <v>41</v>
      </c>
      <c r="G256" t="s">
        <v>95</v>
      </c>
      <c r="H256" t="s">
        <v>180</v>
      </c>
      <c r="I256" t="s">
        <v>244</v>
      </c>
      <c r="J256">
        <v>578</v>
      </c>
      <c r="K256">
        <v>3</v>
      </c>
      <c r="L256" t="s">
        <v>68</v>
      </c>
      <c r="M256">
        <v>164</v>
      </c>
      <c r="N256">
        <v>50.3</v>
      </c>
      <c r="O256">
        <v>59.6</v>
      </c>
      <c r="P256">
        <v>5.62</v>
      </c>
      <c r="Q256">
        <v>2.79</v>
      </c>
      <c r="R256" t="s">
        <v>195</v>
      </c>
      <c r="S256" t="s">
        <v>47</v>
      </c>
      <c r="T256" t="s">
        <v>30</v>
      </c>
    </row>
    <row r="257" spans="1:20" x14ac:dyDescent="0.3">
      <c r="A257">
        <v>11383</v>
      </c>
      <c r="B257" s="2">
        <v>45740</v>
      </c>
      <c r="C257" t="s">
        <v>20</v>
      </c>
      <c r="D257" t="s">
        <v>64</v>
      </c>
      <c r="E257" t="s">
        <v>40</v>
      </c>
      <c r="F257" t="s">
        <v>23</v>
      </c>
      <c r="G257" t="s">
        <v>95</v>
      </c>
      <c r="H257" t="s">
        <v>114</v>
      </c>
      <c r="I257" t="s">
        <v>70</v>
      </c>
      <c r="J257">
        <v>1441</v>
      </c>
      <c r="K257">
        <v>39</v>
      </c>
      <c r="L257" t="s">
        <v>57</v>
      </c>
      <c r="M257">
        <v>39</v>
      </c>
      <c r="N257">
        <v>32.5</v>
      </c>
      <c r="O257">
        <v>71.900000000000006</v>
      </c>
      <c r="P257">
        <v>6.2</v>
      </c>
      <c r="Q257">
        <v>2.66</v>
      </c>
      <c r="R257" t="s">
        <v>128</v>
      </c>
      <c r="S257" t="s">
        <v>73</v>
      </c>
      <c r="T257" t="s">
        <v>30</v>
      </c>
    </row>
    <row r="258" spans="1:20" x14ac:dyDescent="0.3">
      <c r="A258">
        <v>11361</v>
      </c>
      <c r="B258" s="2">
        <v>46002</v>
      </c>
      <c r="C258" t="s">
        <v>31</v>
      </c>
      <c r="D258" t="s">
        <v>21</v>
      </c>
      <c r="E258" t="s">
        <v>40</v>
      </c>
      <c r="F258" t="s">
        <v>81</v>
      </c>
      <c r="G258" t="s">
        <v>60</v>
      </c>
      <c r="H258" t="s">
        <v>192</v>
      </c>
      <c r="I258" t="s">
        <v>225</v>
      </c>
      <c r="J258">
        <v>1144</v>
      </c>
      <c r="K258">
        <v>32</v>
      </c>
      <c r="L258" t="s">
        <v>45</v>
      </c>
      <c r="M258">
        <v>166</v>
      </c>
      <c r="N258">
        <v>45.3</v>
      </c>
      <c r="O258">
        <v>80.8</v>
      </c>
      <c r="P258">
        <v>4.68</v>
      </c>
      <c r="Q258">
        <v>3.07</v>
      </c>
      <c r="R258" t="s">
        <v>133</v>
      </c>
      <c r="S258" t="s">
        <v>39</v>
      </c>
      <c r="T258" t="s">
        <v>30</v>
      </c>
    </row>
    <row r="259" spans="1:20" x14ac:dyDescent="0.3">
      <c r="A259">
        <v>10635</v>
      </c>
      <c r="B259" s="2">
        <v>45691</v>
      </c>
      <c r="C259" t="s">
        <v>31</v>
      </c>
      <c r="D259" t="s">
        <v>32</v>
      </c>
      <c r="E259" t="s">
        <v>40</v>
      </c>
      <c r="F259" t="s">
        <v>23</v>
      </c>
      <c r="G259" t="s">
        <v>74</v>
      </c>
      <c r="H259" t="s">
        <v>61</v>
      </c>
      <c r="I259" t="s">
        <v>62</v>
      </c>
      <c r="J259">
        <v>1283</v>
      </c>
      <c r="K259">
        <v>17</v>
      </c>
      <c r="L259" t="s">
        <v>37</v>
      </c>
      <c r="M259">
        <v>116</v>
      </c>
      <c r="N259">
        <v>44.3</v>
      </c>
      <c r="O259">
        <v>76.5</v>
      </c>
      <c r="P259">
        <v>5.39</v>
      </c>
      <c r="Q259">
        <v>1.47</v>
      </c>
      <c r="R259" t="s">
        <v>152</v>
      </c>
      <c r="S259" t="s">
        <v>29</v>
      </c>
      <c r="T259" t="s">
        <v>30</v>
      </c>
    </row>
    <row r="260" spans="1:20" x14ac:dyDescent="0.3">
      <c r="A260">
        <v>10431</v>
      </c>
      <c r="B260" s="2">
        <v>45835</v>
      </c>
      <c r="C260" t="s">
        <v>20</v>
      </c>
      <c r="D260" t="s">
        <v>32</v>
      </c>
      <c r="E260" t="s">
        <v>33</v>
      </c>
      <c r="F260" t="s">
        <v>274</v>
      </c>
      <c r="G260" t="s">
        <v>134</v>
      </c>
      <c r="H260" t="s">
        <v>99</v>
      </c>
      <c r="I260" t="s">
        <v>129</v>
      </c>
      <c r="J260">
        <v>1047</v>
      </c>
      <c r="K260">
        <v>11</v>
      </c>
      <c r="L260" t="s">
        <v>37</v>
      </c>
      <c r="M260">
        <v>8</v>
      </c>
      <c r="N260">
        <v>44.3</v>
      </c>
      <c r="O260">
        <v>67.400000000000006</v>
      </c>
      <c r="P260">
        <v>5.36</v>
      </c>
      <c r="Q260">
        <v>2.59</v>
      </c>
      <c r="R260" t="s">
        <v>174</v>
      </c>
      <c r="S260" t="s">
        <v>47</v>
      </c>
      <c r="T260" t="s">
        <v>30</v>
      </c>
    </row>
    <row r="261" spans="1:20" x14ac:dyDescent="0.3">
      <c r="A261">
        <v>10434</v>
      </c>
      <c r="B261" s="2">
        <v>45734</v>
      </c>
      <c r="C261" t="s">
        <v>49</v>
      </c>
      <c r="D261" t="s">
        <v>32</v>
      </c>
      <c r="E261" t="s">
        <v>107</v>
      </c>
      <c r="F261" t="s">
        <v>23</v>
      </c>
      <c r="G261" t="s">
        <v>60</v>
      </c>
      <c r="H261" t="s">
        <v>192</v>
      </c>
      <c r="I261" t="s">
        <v>324</v>
      </c>
      <c r="J261">
        <v>788</v>
      </c>
      <c r="K261">
        <v>27</v>
      </c>
      <c r="L261" t="s">
        <v>27</v>
      </c>
      <c r="M261">
        <v>169</v>
      </c>
      <c r="N261">
        <v>45.1</v>
      </c>
      <c r="O261">
        <v>65.599999999999994</v>
      </c>
      <c r="P261">
        <v>5.5</v>
      </c>
      <c r="Q261">
        <v>1.75</v>
      </c>
      <c r="R261" t="s">
        <v>186</v>
      </c>
      <c r="S261" t="s">
        <v>29</v>
      </c>
      <c r="T261" t="s">
        <v>48</v>
      </c>
    </row>
    <row r="262" spans="1:20" x14ac:dyDescent="0.3">
      <c r="A262">
        <v>11182</v>
      </c>
      <c r="B262" s="2">
        <v>45728</v>
      </c>
      <c r="C262" t="s">
        <v>49</v>
      </c>
      <c r="D262" t="s">
        <v>64</v>
      </c>
      <c r="E262" t="s">
        <v>40</v>
      </c>
      <c r="F262" t="s">
        <v>41</v>
      </c>
      <c r="G262" t="s">
        <v>24</v>
      </c>
      <c r="H262" t="s">
        <v>43</v>
      </c>
      <c r="I262" t="s">
        <v>325</v>
      </c>
      <c r="J262">
        <v>1096</v>
      </c>
      <c r="K262">
        <v>2</v>
      </c>
      <c r="L262" t="s">
        <v>27</v>
      </c>
      <c r="M262">
        <v>172</v>
      </c>
      <c r="N262">
        <v>32.299999999999997</v>
      </c>
      <c r="O262">
        <v>62.3</v>
      </c>
      <c r="P262">
        <v>5.44</v>
      </c>
      <c r="Q262">
        <v>1.79</v>
      </c>
      <c r="R262" t="s">
        <v>137</v>
      </c>
      <c r="T262" t="s">
        <v>30</v>
      </c>
    </row>
    <row r="263" spans="1:20" x14ac:dyDescent="0.3">
      <c r="A263">
        <v>10979</v>
      </c>
      <c r="B263" s="2">
        <v>45817</v>
      </c>
      <c r="C263" t="s">
        <v>49</v>
      </c>
      <c r="D263" t="s">
        <v>21</v>
      </c>
      <c r="E263" t="s">
        <v>107</v>
      </c>
      <c r="F263" t="s">
        <v>23</v>
      </c>
      <c r="G263" t="s">
        <v>42</v>
      </c>
      <c r="H263" t="s">
        <v>265</v>
      </c>
      <c r="I263" t="s">
        <v>304</v>
      </c>
      <c r="J263">
        <v>932</v>
      </c>
      <c r="K263">
        <v>5</v>
      </c>
      <c r="L263" t="s">
        <v>27</v>
      </c>
      <c r="M263">
        <v>76</v>
      </c>
      <c r="N263">
        <v>40.6</v>
      </c>
      <c r="O263">
        <v>71.599999999999994</v>
      </c>
      <c r="P263">
        <v>4.8600000000000003</v>
      </c>
      <c r="Q263">
        <v>2.9</v>
      </c>
      <c r="R263" t="s">
        <v>242</v>
      </c>
      <c r="S263" t="s">
        <v>47</v>
      </c>
      <c r="T263" t="s">
        <v>30</v>
      </c>
    </row>
    <row r="264" spans="1:20" x14ac:dyDescent="0.3">
      <c r="A264">
        <v>11175</v>
      </c>
      <c r="B264" s="2">
        <v>45703</v>
      </c>
      <c r="C264" t="s">
        <v>31</v>
      </c>
      <c r="D264" t="s">
        <v>32</v>
      </c>
      <c r="E264" t="s">
        <v>22</v>
      </c>
      <c r="F264" t="s">
        <v>41</v>
      </c>
      <c r="G264" t="s">
        <v>54</v>
      </c>
      <c r="H264" t="s">
        <v>43</v>
      </c>
      <c r="I264" t="s">
        <v>326</v>
      </c>
      <c r="J264">
        <v>810</v>
      </c>
      <c r="K264">
        <v>11</v>
      </c>
      <c r="L264" t="s">
        <v>71</v>
      </c>
      <c r="M264">
        <v>84</v>
      </c>
      <c r="N264">
        <v>27.8</v>
      </c>
      <c r="O264">
        <v>75.400000000000006</v>
      </c>
      <c r="P264">
        <v>5.65</v>
      </c>
      <c r="Q264">
        <v>2.72</v>
      </c>
      <c r="R264" t="s">
        <v>159</v>
      </c>
      <c r="S264" t="s">
        <v>29</v>
      </c>
      <c r="T264" t="s">
        <v>30</v>
      </c>
    </row>
    <row r="265" spans="1:20" x14ac:dyDescent="0.3">
      <c r="A265">
        <v>10844</v>
      </c>
      <c r="B265" s="2">
        <v>45974</v>
      </c>
      <c r="C265" t="s">
        <v>31</v>
      </c>
      <c r="D265" t="s">
        <v>59</v>
      </c>
      <c r="E265" t="s">
        <v>40</v>
      </c>
      <c r="F265" t="s">
        <v>41</v>
      </c>
      <c r="G265" t="s">
        <v>50</v>
      </c>
      <c r="H265" t="s">
        <v>252</v>
      </c>
      <c r="I265" t="s">
        <v>266</v>
      </c>
      <c r="J265">
        <v>610</v>
      </c>
      <c r="K265">
        <v>8</v>
      </c>
      <c r="L265" t="s">
        <v>37</v>
      </c>
      <c r="M265">
        <v>139</v>
      </c>
      <c r="N265">
        <v>41.5</v>
      </c>
      <c r="P265">
        <v>5.47</v>
      </c>
      <c r="Q265">
        <v>3.3</v>
      </c>
      <c r="R265" t="s">
        <v>105</v>
      </c>
      <c r="S265" t="s">
        <v>39</v>
      </c>
      <c r="T265" t="s">
        <v>30</v>
      </c>
    </row>
    <row r="266" spans="1:20" x14ac:dyDescent="0.3">
      <c r="A266">
        <v>10237</v>
      </c>
      <c r="B266" s="2">
        <v>45768</v>
      </c>
      <c r="C266" t="s">
        <v>20</v>
      </c>
      <c r="D266" t="s">
        <v>64</v>
      </c>
      <c r="E266" t="s">
        <v>33</v>
      </c>
      <c r="F266" t="s">
        <v>23</v>
      </c>
      <c r="G266" t="s">
        <v>134</v>
      </c>
      <c r="H266" t="s">
        <v>123</v>
      </c>
      <c r="I266" t="s">
        <v>327</v>
      </c>
      <c r="J266">
        <v>1436</v>
      </c>
      <c r="K266">
        <v>14</v>
      </c>
      <c r="L266" t="s">
        <v>68</v>
      </c>
      <c r="M266">
        <v>94</v>
      </c>
      <c r="N266">
        <v>41.6</v>
      </c>
      <c r="O266">
        <v>64.099999999999994</v>
      </c>
      <c r="P266">
        <v>6.1</v>
      </c>
      <c r="Q266">
        <v>5.35</v>
      </c>
      <c r="R266" t="s">
        <v>164</v>
      </c>
      <c r="S266" t="s">
        <v>47</v>
      </c>
      <c r="T266" t="s">
        <v>30</v>
      </c>
    </row>
    <row r="267" spans="1:20" x14ac:dyDescent="0.3">
      <c r="A267">
        <v>10603</v>
      </c>
      <c r="B267" s="2">
        <v>45906</v>
      </c>
      <c r="C267" t="s">
        <v>49</v>
      </c>
      <c r="D267" t="s">
        <v>59</v>
      </c>
      <c r="E267" t="s">
        <v>107</v>
      </c>
      <c r="F267" t="s">
        <v>23</v>
      </c>
      <c r="G267" t="s">
        <v>34</v>
      </c>
      <c r="H267" t="s">
        <v>148</v>
      </c>
      <c r="I267" t="s">
        <v>228</v>
      </c>
      <c r="J267">
        <v>1182</v>
      </c>
      <c r="K267">
        <v>12</v>
      </c>
      <c r="L267" t="s">
        <v>27</v>
      </c>
      <c r="M267">
        <v>149</v>
      </c>
      <c r="N267">
        <v>34.4</v>
      </c>
      <c r="O267">
        <v>76</v>
      </c>
      <c r="P267">
        <v>4.58</v>
      </c>
      <c r="Q267">
        <v>4.13</v>
      </c>
      <c r="R267" t="s">
        <v>245</v>
      </c>
      <c r="S267" t="s">
        <v>29</v>
      </c>
      <c r="T267" t="s">
        <v>30</v>
      </c>
    </row>
    <row r="268" spans="1:20" x14ac:dyDescent="0.3">
      <c r="A268">
        <v>10974</v>
      </c>
      <c r="B268" s="2">
        <v>46008</v>
      </c>
      <c r="C268" t="s">
        <v>49</v>
      </c>
      <c r="D268" t="s">
        <v>59</v>
      </c>
      <c r="E268" t="s">
        <v>40</v>
      </c>
      <c r="F268" t="s">
        <v>23</v>
      </c>
      <c r="G268" t="s">
        <v>95</v>
      </c>
      <c r="H268" t="s">
        <v>43</v>
      </c>
      <c r="I268" t="s">
        <v>328</v>
      </c>
      <c r="J268">
        <v>1587</v>
      </c>
      <c r="K268">
        <v>13</v>
      </c>
      <c r="L268" t="s">
        <v>68</v>
      </c>
      <c r="M268">
        <v>131</v>
      </c>
      <c r="N268">
        <v>47.5</v>
      </c>
      <c r="O268">
        <v>83.8</v>
      </c>
      <c r="P268">
        <v>4.4000000000000004</v>
      </c>
      <c r="Q268">
        <v>3.55</v>
      </c>
      <c r="R268" t="s">
        <v>183</v>
      </c>
      <c r="S268" t="s">
        <v>47</v>
      </c>
      <c r="T268" t="s">
        <v>30</v>
      </c>
    </row>
    <row r="269" spans="1:20" x14ac:dyDescent="0.3">
      <c r="A269">
        <v>11458</v>
      </c>
      <c r="B269" s="2">
        <v>45783</v>
      </c>
      <c r="C269" t="s">
        <v>31</v>
      </c>
      <c r="D269" t="s">
        <v>32</v>
      </c>
      <c r="E269" t="s">
        <v>33</v>
      </c>
      <c r="F269" t="s">
        <v>81</v>
      </c>
      <c r="G269" t="s">
        <v>113</v>
      </c>
      <c r="H269" t="s">
        <v>223</v>
      </c>
      <c r="I269" t="s">
        <v>329</v>
      </c>
      <c r="J269">
        <v>1486</v>
      </c>
      <c r="K269">
        <v>57</v>
      </c>
      <c r="L269" t="s">
        <v>68</v>
      </c>
      <c r="M269">
        <v>17</v>
      </c>
      <c r="N269">
        <v>42</v>
      </c>
      <c r="O269">
        <v>72.900000000000006</v>
      </c>
      <c r="P269">
        <v>4.96</v>
      </c>
      <c r="Q269">
        <v>4.32</v>
      </c>
      <c r="R269" t="s">
        <v>153</v>
      </c>
      <c r="S269" t="s">
        <v>47</v>
      </c>
      <c r="T269" t="s">
        <v>48</v>
      </c>
    </row>
    <row r="270" spans="1:20" x14ac:dyDescent="0.3">
      <c r="A270">
        <v>10271</v>
      </c>
      <c r="B270" s="2">
        <v>45904</v>
      </c>
      <c r="C270" t="s">
        <v>49</v>
      </c>
      <c r="D270" t="s">
        <v>64</v>
      </c>
      <c r="E270" t="s">
        <v>33</v>
      </c>
      <c r="F270" t="s">
        <v>23</v>
      </c>
      <c r="G270" t="s">
        <v>24</v>
      </c>
      <c r="H270" t="s">
        <v>141</v>
      </c>
      <c r="I270" t="s">
        <v>330</v>
      </c>
      <c r="J270">
        <v>575</v>
      </c>
      <c r="K270">
        <v>27</v>
      </c>
      <c r="L270" t="s">
        <v>37</v>
      </c>
      <c r="M270">
        <v>26</v>
      </c>
      <c r="N270">
        <v>35.1</v>
      </c>
      <c r="O270">
        <v>79.900000000000006</v>
      </c>
      <c r="P270">
        <v>5.13</v>
      </c>
      <c r="Q270">
        <v>1.38</v>
      </c>
      <c r="R270" t="s">
        <v>105</v>
      </c>
      <c r="S270" t="s">
        <v>73</v>
      </c>
      <c r="T270" t="s">
        <v>48</v>
      </c>
    </row>
    <row r="271" spans="1:20" x14ac:dyDescent="0.3">
      <c r="A271">
        <v>11479</v>
      </c>
      <c r="B271" s="2">
        <v>45931</v>
      </c>
      <c r="C271" t="s">
        <v>49</v>
      </c>
      <c r="D271" t="s">
        <v>64</v>
      </c>
      <c r="E271" t="s">
        <v>22</v>
      </c>
      <c r="F271" t="s">
        <v>23</v>
      </c>
      <c r="G271" t="s">
        <v>134</v>
      </c>
      <c r="H271" t="s">
        <v>51</v>
      </c>
      <c r="I271" t="s">
        <v>331</v>
      </c>
      <c r="J271">
        <v>1408</v>
      </c>
      <c r="K271">
        <v>56</v>
      </c>
      <c r="L271" t="s">
        <v>57</v>
      </c>
      <c r="M271">
        <v>64</v>
      </c>
      <c r="N271">
        <v>51.8</v>
      </c>
      <c r="O271">
        <v>70.8</v>
      </c>
      <c r="P271">
        <v>6.11</v>
      </c>
      <c r="Q271">
        <v>3.22</v>
      </c>
      <c r="R271" t="s">
        <v>245</v>
      </c>
      <c r="S271" t="s">
        <v>29</v>
      </c>
      <c r="T271" t="s">
        <v>48</v>
      </c>
    </row>
    <row r="272" spans="1:20" x14ac:dyDescent="0.3">
      <c r="A272">
        <v>10209</v>
      </c>
      <c r="B272" s="2">
        <v>45804</v>
      </c>
      <c r="C272" t="s">
        <v>49</v>
      </c>
      <c r="D272" t="s">
        <v>21</v>
      </c>
      <c r="E272" t="s">
        <v>33</v>
      </c>
      <c r="F272" t="s">
        <v>41</v>
      </c>
      <c r="G272" t="s">
        <v>109</v>
      </c>
      <c r="H272" t="s">
        <v>190</v>
      </c>
      <c r="I272" t="s">
        <v>269</v>
      </c>
      <c r="J272">
        <v>1588</v>
      </c>
      <c r="K272">
        <v>9</v>
      </c>
      <c r="L272" t="s">
        <v>57</v>
      </c>
      <c r="M272">
        <v>47</v>
      </c>
      <c r="N272">
        <v>38.1</v>
      </c>
      <c r="O272">
        <v>55.8</v>
      </c>
      <c r="P272">
        <v>5.58</v>
      </c>
      <c r="Q272">
        <v>4.9400000000000004</v>
      </c>
      <c r="R272" t="s">
        <v>77</v>
      </c>
      <c r="S272" t="s">
        <v>39</v>
      </c>
      <c r="T272" t="s">
        <v>30</v>
      </c>
    </row>
    <row r="273" spans="1:20" x14ac:dyDescent="0.3">
      <c r="A273">
        <v>10372</v>
      </c>
      <c r="B273" s="2">
        <v>45813</v>
      </c>
      <c r="C273" t="s">
        <v>20</v>
      </c>
      <c r="D273" t="s">
        <v>32</v>
      </c>
      <c r="E273" t="s">
        <v>22</v>
      </c>
      <c r="F273" t="s">
        <v>41</v>
      </c>
      <c r="G273" t="s">
        <v>109</v>
      </c>
      <c r="H273" t="s">
        <v>78</v>
      </c>
      <c r="I273" t="s">
        <v>225</v>
      </c>
      <c r="J273">
        <v>1200</v>
      </c>
      <c r="K273">
        <v>32</v>
      </c>
      <c r="L273" t="s">
        <v>68</v>
      </c>
      <c r="M273">
        <v>125</v>
      </c>
      <c r="N273">
        <v>30.2</v>
      </c>
      <c r="O273">
        <v>70.599999999999994</v>
      </c>
      <c r="P273">
        <v>4.6900000000000004</v>
      </c>
      <c r="Q273">
        <v>3.44</v>
      </c>
      <c r="R273" t="s">
        <v>140</v>
      </c>
      <c r="S273" t="s">
        <v>29</v>
      </c>
      <c r="T273" t="s">
        <v>30</v>
      </c>
    </row>
    <row r="274" spans="1:20" x14ac:dyDescent="0.3">
      <c r="A274">
        <v>10433</v>
      </c>
      <c r="B274" s="2">
        <v>45987</v>
      </c>
      <c r="C274" t="s">
        <v>20</v>
      </c>
      <c r="D274" t="s">
        <v>32</v>
      </c>
      <c r="E274" t="s">
        <v>40</v>
      </c>
      <c r="F274" t="s">
        <v>81</v>
      </c>
      <c r="G274" t="s">
        <v>113</v>
      </c>
      <c r="H274" t="s">
        <v>141</v>
      </c>
      <c r="I274" t="s">
        <v>211</v>
      </c>
      <c r="J274">
        <v>991</v>
      </c>
      <c r="K274">
        <v>12</v>
      </c>
      <c r="L274" t="s">
        <v>45</v>
      </c>
      <c r="M274">
        <v>119</v>
      </c>
      <c r="N274">
        <v>48.3</v>
      </c>
      <c r="O274">
        <v>63.9</v>
      </c>
      <c r="P274">
        <v>6.65</v>
      </c>
      <c r="Q274">
        <v>3.42</v>
      </c>
      <c r="R274" t="s">
        <v>209</v>
      </c>
      <c r="S274" t="s">
        <v>47</v>
      </c>
      <c r="T274" t="s">
        <v>30</v>
      </c>
    </row>
    <row r="275" spans="1:20" x14ac:dyDescent="0.3">
      <c r="A275">
        <v>10359</v>
      </c>
      <c r="B275" s="2">
        <v>45800</v>
      </c>
      <c r="C275" t="s">
        <v>31</v>
      </c>
      <c r="D275" t="s">
        <v>21</v>
      </c>
      <c r="E275" t="s">
        <v>40</v>
      </c>
      <c r="F275" t="s">
        <v>23</v>
      </c>
      <c r="G275" t="s">
        <v>60</v>
      </c>
      <c r="H275" t="s">
        <v>265</v>
      </c>
      <c r="I275" t="s">
        <v>332</v>
      </c>
      <c r="J275">
        <v>1113</v>
      </c>
      <c r="K275">
        <v>15</v>
      </c>
      <c r="L275" t="s">
        <v>68</v>
      </c>
      <c r="M275">
        <v>27</v>
      </c>
      <c r="N275">
        <v>47.1</v>
      </c>
      <c r="O275">
        <v>76.3</v>
      </c>
      <c r="P275">
        <v>5.77</v>
      </c>
      <c r="Q275">
        <v>5.43</v>
      </c>
      <c r="R275" t="s">
        <v>195</v>
      </c>
      <c r="S275" t="s">
        <v>39</v>
      </c>
      <c r="T275" t="s">
        <v>30</v>
      </c>
    </row>
    <row r="276" spans="1:20" x14ac:dyDescent="0.3">
      <c r="A276">
        <v>10059</v>
      </c>
      <c r="B276" s="2">
        <v>45765</v>
      </c>
      <c r="C276" t="s">
        <v>49</v>
      </c>
      <c r="D276" t="s">
        <v>59</v>
      </c>
      <c r="E276" t="s">
        <v>40</v>
      </c>
      <c r="F276" t="s">
        <v>41</v>
      </c>
      <c r="G276" t="s">
        <v>42</v>
      </c>
      <c r="H276" t="s">
        <v>55</v>
      </c>
      <c r="I276" t="s">
        <v>197</v>
      </c>
      <c r="J276">
        <v>946</v>
      </c>
      <c r="K276">
        <v>9</v>
      </c>
      <c r="L276" t="s">
        <v>27</v>
      </c>
      <c r="M276">
        <v>145</v>
      </c>
      <c r="N276">
        <v>46.5</v>
      </c>
      <c r="O276">
        <v>70.599999999999994</v>
      </c>
      <c r="P276">
        <v>5.18</v>
      </c>
      <c r="Q276">
        <v>2.19</v>
      </c>
      <c r="R276" t="s">
        <v>227</v>
      </c>
      <c r="S276" t="s">
        <v>47</v>
      </c>
      <c r="T276" t="s">
        <v>30</v>
      </c>
    </row>
    <row r="277" spans="1:20" x14ac:dyDescent="0.3">
      <c r="A277">
        <v>10745</v>
      </c>
      <c r="B277" s="2">
        <v>45850</v>
      </c>
      <c r="C277" t="s">
        <v>49</v>
      </c>
      <c r="D277" t="s">
        <v>59</v>
      </c>
      <c r="E277" t="s">
        <v>33</v>
      </c>
      <c r="F277" t="s">
        <v>81</v>
      </c>
      <c r="G277" t="s">
        <v>95</v>
      </c>
      <c r="H277" t="s">
        <v>93</v>
      </c>
      <c r="I277" t="s">
        <v>318</v>
      </c>
      <c r="J277">
        <v>1350</v>
      </c>
      <c r="K277">
        <v>17</v>
      </c>
      <c r="L277" t="s">
        <v>71</v>
      </c>
      <c r="M277">
        <v>129</v>
      </c>
      <c r="N277">
        <v>40.5</v>
      </c>
      <c r="O277">
        <v>78</v>
      </c>
      <c r="P277">
        <v>4.8099999999999996</v>
      </c>
      <c r="Q277">
        <v>3.78</v>
      </c>
      <c r="R277" t="s">
        <v>179</v>
      </c>
      <c r="S277" t="s">
        <v>73</v>
      </c>
      <c r="T277" t="s">
        <v>30</v>
      </c>
    </row>
    <row r="278" spans="1:20" x14ac:dyDescent="0.3">
      <c r="A278">
        <v>10355</v>
      </c>
      <c r="B278" s="2">
        <v>45967</v>
      </c>
      <c r="C278" t="s">
        <v>49</v>
      </c>
      <c r="D278" t="s">
        <v>64</v>
      </c>
      <c r="E278" t="s">
        <v>40</v>
      </c>
      <c r="F278" t="s">
        <v>23</v>
      </c>
      <c r="G278" t="s">
        <v>50</v>
      </c>
      <c r="H278" t="s">
        <v>215</v>
      </c>
      <c r="I278" t="s">
        <v>333</v>
      </c>
      <c r="J278">
        <v>747</v>
      </c>
      <c r="K278">
        <v>47</v>
      </c>
      <c r="L278" t="s">
        <v>27</v>
      </c>
      <c r="M278">
        <v>50</v>
      </c>
      <c r="N278">
        <v>42.3</v>
      </c>
      <c r="O278">
        <v>70.599999999999994</v>
      </c>
      <c r="P278">
        <v>5.39</v>
      </c>
      <c r="Q278">
        <v>1.47</v>
      </c>
      <c r="R278" t="s">
        <v>159</v>
      </c>
      <c r="S278" t="s">
        <v>39</v>
      </c>
      <c r="T278" t="s">
        <v>48</v>
      </c>
    </row>
    <row r="279" spans="1:20" x14ac:dyDescent="0.3">
      <c r="A279">
        <v>10904</v>
      </c>
      <c r="B279" s="2">
        <v>46022</v>
      </c>
      <c r="C279" t="s">
        <v>150</v>
      </c>
      <c r="D279" t="s">
        <v>32</v>
      </c>
      <c r="E279" t="s">
        <v>33</v>
      </c>
      <c r="F279" t="s">
        <v>41</v>
      </c>
      <c r="G279" t="s">
        <v>50</v>
      </c>
      <c r="H279" t="s">
        <v>169</v>
      </c>
      <c r="I279" t="s">
        <v>187</v>
      </c>
      <c r="J279">
        <v>1520</v>
      </c>
      <c r="K279">
        <v>49</v>
      </c>
      <c r="L279" t="s">
        <v>71</v>
      </c>
      <c r="M279">
        <v>34</v>
      </c>
      <c r="N279">
        <v>39.5</v>
      </c>
      <c r="O279">
        <v>72.2</v>
      </c>
      <c r="P279">
        <v>4.6500000000000004</v>
      </c>
      <c r="Q279">
        <v>4.0199999999999996</v>
      </c>
      <c r="R279" t="s">
        <v>222</v>
      </c>
      <c r="S279" t="s">
        <v>29</v>
      </c>
      <c r="T279" t="s">
        <v>48</v>
      </c>
    </row>
    <row r="280" spans="1:20" x14ac:dyDescent="0.3">
      <c r="A280">
        <v>10737</v>
      </c>
      <c r="B280" s="2">
        <v>45764</v>
      </c>
      <c r="C280" t="s">
        <v>20</v>
      </c>
      <c r="D280" t="s">
        <v>21</v>
      </c>
      <c r="E280" t="s">
        <v>40</v>
      </c>
      <c r="F280" t="s">
        <v>41</v>
      </c>
      <c r="G280" t="s">
        <v>74</v>
      </c>
      <c r="H280" t="s">
        <v>116</v>
      </c>
      <c r="I280" t="s">
        <v>160</v>
      </c>
      <c r="J280">
        <v>579</v>
      </c>
      <c r="K280">
        <v>3</v>
      </c>
      <c r="L280" t="s">
        <v>71</v>
      </c>
      <c r="M280">
        <v>159</v>
      </c>
      <c r="N280">
        <v>44.3</v>
      </c>
      <c r="O280">
        <v>67.5</v>
      </c>
      <c r="P280">
        <v>5.31</v>
      </c>
      <c r="Q280">
        <v>3.43</v>
      </c>
      <c r="R280" t="s">
        <v>174</v>
      </c>
      <c r="S280" t="s">
        <v>47</v>
      </c>
      <c r="T280" t="s">
        <v>30</v>
      </c>
    </row>
    <row r="281" spans="1:20" x14ac:dyDescent="0.3">
      <c r="A281">
        <v>11201</v>
      </c>
      <c r="B281" s="2">
        <v>46013</v>
      </c>
      <c r="C281" t="s">
        <v>49</v>
      </c>
      <c r="D281" t="s">
        <v>32</v>
      </c>
      <c r="E281" t="s">
        <v>33</v>
      </c>
      <c r="F281" t="s">
        <v>41</v>
      </c>
      <c r="G281" t="s">
        <v>50</v>
      </c>
      <c r="H281" t="s">
        <v>96</v>
      </c>
      <c r="I281" t="s">
        <v>124</v>
      </c>
      <c r="J281">
        <v>879</v>
      </c>
      <c r="K281">
        <v>3</v>
      </c>
      <c r="L281" t="s">
        <v>57</v>
      </c>
      <c r="M281">
        <v>161</v>
      </c>
      <c r="N281">
        <v>49.6</v>
      </c>
      <c r="O281">
        <v>69.2</v>
      </c>
      <c r="P281">
        <v>5.21</v>
      </c>
      <c r="Q281">
        <v>2.6</v>
      </c>
      <c r="R281" t="s">
        <v>58</v>
      </c>
      <c r="S281" t="s">
        <v>39</v>
      </c>
      <c r="T281" t="s">
        <v>30</v>
      </c>
    </row>
    <row r="282" spans="1:20" x14ac:dyDescent="0.3">
      <c r="A282">
        <v>10728</v>
      </c>
      <c r="B282" s="2">
        <v>45830</v>
      </c>
      <c r="C282" t="s">
        <v>49</v>
      </c>
      <c r="D282" t="s">
        <v>59</v>
      </c>
      <c r="E282" t="s">
        <v>22</v>
      </c>
      <c r="F282" t="s">
        <v>41</v>
      </c>
      <c r="G282" t="s">
        <v>34</v>
      </c>
      <c r="H282" t="s">
        <v>263</v>
      </c>
      <c r="I282" t="s">
        <v>322</v>
      </c>
      <c r="J282">
        <v>1470</v>
      </c>
      <c r="K282">
        <v>57</v>
      </c>
      <c r="L282" t="s">
        <v>68</v>
      </c>
      <c r="M282">
        <v>34</v>
      </c>
      <c r="N282">
        <v>41.3</v>
      </c>
      <c r="O282">
        <v>66.2</v>
      </c>
      <c r="P282">
        <v>5.81</v>
      </c>
      <c r="Q282">
        <v>2.5</v>
      </c>
      <c r="R282" t="s">
        <v>122</v>
      </c>
      <c r="S282" t="s">
        <v>47</v>
      </c>
      <c r="T282" t="s">
        <v>48</v>
      </c>
    </row>
    <row r="283" spans="1:20" x14ac:dyDescent="0.3">
      <c r="A283">
        <v>11220</v>
      </c>
      <c r="B283" s="2">
        <v>45782</v>
      </c>
      <c r="C283" t="s">
        <v>31</v>
      </c>
      <c r="D283" t="s">
        <v>21</v>
      </c>
      <c r="E283" t="s">
        <v>40</v>
      </c>
      <c r="F283" t="s">
        <v>98</v>
      </c>
      <c r="G283" t="s">
        <v>109</v>
      </c>
      <c r="H283" t="s">
        <v>85</v>
      </c>
      <c r="I283" t="s">
        <v>187</v>
      </c>
      <c r="J283">
        <v>996</v>
      </c>
      <c r="K283">
        <v>12</v>
      </c>
      <c r="L283" t="s">
        <v>57</v>
      </c>
      <c r="M283">
        <v>45</v>
      </c>
      <c r="N283">
        <v>55.6</v>
      </c>
      <c r="O283">
        <v>68.5</v>
      </c>
      <c r="P283">
        <v>5.34</v>
      </c>
      <c r="Q283">
        <v>2.84</v>
      </c>
      <c r="R283" t="s">
        <v>232</v>
      </c>
      <c r="S283" t="s">
        <v>73</v>
      </c>
      <c r="T283" t="s">
        <v>30</v>
      </c>
    </row>
    <row r="284" spans="1:20" x14ac:dyDescent="0.3">
      <c r="A284">
        <v>10368</v>
      </c>
      <c r="B284" s="2">
        <v>45886</v>
      </c>
      <c r="C284" t="s">
        <v>207</v>
      </c>
      <c r="D284" t="s">
        <v>64</v>
      </c>
      <c r="E284" t="s">
        <v>33</v>
      </c>
      <c r="F284" t="s">
        <v>23</v>
      </c>
      <c r="G284" t="s">
        <v>74</v>
      </c>
      <c r="H284" t="s">
        <v>93</v>
      </c>
      <c r="I284" t="s">
        <v>52</v>
      </c>
      <c r="J284">
        <v>1254</v>
      </c>
      <c r="K284">
        <v>19</v>
      </c>
      <c r="L284" t="s">
        <v>27</v>
      </c>
      <c r="M284">
        <v>107</v>
      </c>
      <c r="N284">
        <v>42</v>
      </c>
      <c r="O284">
        <v>80.900000000000006</v>
      </c>
      <c r="P284">
        <v>5.31</v>
      </c>
      <c r="Q284">
        <v>2.5</v>
      </c>
      <c r="R284" t="s">
        <v>63</v>
      </c>
      <c r="S284" t="s">
        <v>29</v>
      </c>
      <c r="T284" t="s">
        <v>30</v>
      </c>
    </row>
    <row r="285" spans="1:20" x14ac:dyDescent="0.3">
      <c r="A285">
        <v>11156</v>
      </c>
      <c r="B285" s="2">
        <v>45659</v>
      </c>
      <c r="C285" t="s">
        <v>49</v>
      </c>
      <c r="D285" t="s">
        <v>59</v>
      </c>
      <c r="E285" t="s">
        <v>22</v>
      </c>
      <c r="F285" t="s">
        <v>41</v>
      </c>
      <c r="G285" t="s">
        <v>134</v>
      </c>
      <c r="H285" t="s">
        <v>90</v>
      </c>
      <c r="I285" t="s">
        <v>334</v>
      </c>
      <c r="J285">
        <v>1073</v>
      </c>
      <c r="K285">
        <v>16</v>
      </c>
      <c r="L285" t="s">
        <v>45</v>
      </c>
      <c r="M285">
        <v>97</v>
      </c>
      <c r="N285">
        <v>36.1</v>
      </c>
      <c r="O285">
        <v>85.1</v>
      </c>
      <c r="P285">
        <v>6.48</v>
      </c>
      <c r="Q285">
        <v>2.88</v>
      </c>
      <c r="R285" t="s">
        <v>140</v>
      </c>
      <c r="S285" t="s">
        <v>29</v>
      </c>
      <c r="T285" t="s">
        <v>30</v>
      </c>
    </row>
    <row r="286" spans="1:20" x14ac:dyDescent="0.3">
      <c r="A286">
        <v>11102</v>
      </c>
      <c r="B286" s="2">
        <v>46008</v>
      </c>
      <c r="C286" t="s">
        <v>31</v>
      </c>
      <c r="D286" t="s">
        <v>32</v>
      </c>
      <c r="E286" t="s">
        <v>107</v>
      </c>
      <c r="F286" t="s">
        <v>98</v>
      </c>
      <c r="G286" t="s">
        <v>60</v>
      </c>
      <c r="H286" t="s">
        <v>144</v>
      </c>
      <c r="I286" t="s">
        <v>97</v>
      </c>
      <c r="J286">
        <v>618</v>
      </c>
      <c r="K286">
        <v>3</v>
      </c>
      <c r="L286" t="s">
        <v>71</v>
      </c>
      <c r="M286">
        <v>32</v>
      </c>
      <c r="N286">
        <v>35.799999999999997</v>
      </c>
      <c r="O286">
        <v>70.5</v>
      </c>
      <c r="P286">
        <v>5.21</v>
      </c>
      <c r="Q286">
        <v>3.77</v>
      </c>
      <c r="R286" t="s">
        <v>195</v>
      </c>
      <c r="S286" t="s">
        <v>39</v>
      </c>
      <c r="T286" t="s">
        <v>30</v>
      </c>
    </row>
    <row r="287" spans="1:20" x14ac:dyDescent="0.3">
      <c r="A287">
        <v>11164</v>
      </c>
      <c r="B287" s="2">
        <v>45853</v>
      </c>
      <c r="C287" t="s">
        <v>49</v>
      </c>
      <c r="D287" t="s">
        <v>32</v>
      </c>
      <c r="E287" t="s">
        <v>33</v>
      </c>
      <c r="F287" t="s">
        <v>23</v>
      </c>
      <c r="G287" t="s">
        <v>95</v>
      </c>
      <c r="H287" t="s">
        <v>96</v>
      </c>
      <c r="I287" t="s">
        <v>295</v>
      </c>
      <c r="J287">
        <v>1225</v>
      </c>
      <c r="K287">
        <v>7</v>
      </c>
      <c r="L287" t="s">
        <v>57</v>
      </c>
      <c r="M287">
        <v>154</v>
      </c>
      <c r="N287">
        <v>36.4</v>
      </c>
      <c r="O287">
        <v>78.099999999999994</v>
      </c>
      <c r="P287">
        <v>5.2</v>
      </c>
      <c r="Q287">
        <v>3.19</v>
      </c>
      <c r="R287" t="s">
        <v>143</v>
      </c>
      <c r="S287" t="s">
        <v>39</v>
      </c>
      <c r="T287" t="s">
        <v>30</v>
      </c>
    </row>
    <row r="288" spans="1:20" x14ac:dyDescent="0.3">
      <c r="A288">
        <v>11246</v>
      </c>
      <c r="B288" s="2">
        <v>45763</v>
      </c>
      <c r="C288" t="s">
        <v>49</v>
      </c>
      <c r="D288" t="s">
        <v>59</v>
      </c>
      <c r="E288" t="s">
        <v>107</v>
      </c>
      <c r="F288" t="s">
        <v>23</v>
      </c>
      <c r="G288" t="s">
        <v>89</v>
      </c>
      <c r="H288" t="s">
        <v>175</v>
      </c>
      <c r="I288" t="s">
        <v>335</v>
      </c>
      <c r="J288">
        <v>470</v>
      </c>
      <c r="K288">
        <v>4</v>
      </c>
      <c r="L288" t="s">
        <v>27</v>
      </c>
      <c r="M288">
        <v>65</v>
      </c>
      <c r="N288">
        <v>39.9</v>
      </c>
      <c r="O288">
        <v>78.2</v>
      </c>
      <c r="P288">
        <v>5.58</v>
      </c>
      <c r="Q288">
        <v>3.66</v>
      </c>
      <c r="R288" t="s">
        <v>232</v>
      </c>
      <c r="S288" t="s">
        <v>47</v>
      </c>
      <c r="T288" t="s">
        <v>30</v>
      </c>
    </row>
    <row r="289" spans="1:20" x14ac:dyDescent="0.3">
      <c r="A289">
        <v>10713</v>
      </c>
      <c r="B289" s="2">
        <v>45958</v>
      </c>
      <c r="C289" t="s">
        <v>49</v>
      </c>
      <c r="D289" t="s">
        <v>21</v>
      </c>
      <c r="E289" t="s">
        <v>40</v>
      </c>
      <c r="F289" t="s">
        <v>41</v>
      </c>
      <c r="G289" t="s">
        <v>113</v>
      </c>
      <c r="H289" t="s">
        <v>43</v>
      </c>
      <c r="I289" t="s">
        <v>94</v>
      </c>
      <c r="J289">
        <v>1451</v>
      </c>
      <c r="K289">
        <v>13</v>
      </c>
      <c r="L289" t="s">
        <v>57</v>
      </c>
      <c r="M289">
        <v>165</v>
      </c>
      <c r="N289">
        <v>37.1</v>
      </c>
      <c r="O289">
        <v>75.5</v>
      </c>
      <c r="P289">
        <v>5.09</v>
      </c>
      <c r="Q289">
        <v>2.99</v>
      </c>
      <c r="R289" t="s">
        <v>222</v>
      </c>
      <c r="S289" t="s">
        <v>39</v>
      </c>
      <c r="T289" t="s">
        <v>30</v>
      </c>
    </row>
    <row r="290" spans="1:20" x14ac:dyDescent="0.3">
      <c r="A290">
        <v>10234</v>
      </c>
      <c r="B290" s="2">
        <v>45945</v>
      </c>
      <c r="C290" t="s">
        <v>31</v>
      </c>
      <c r="D290" t="s">
        <v>21</v>
      </c>
      <c r="E290" t="s">
        <v>22</v>
      </c>
      <c r="F290" t="s">
        <v>81</v>
      </c>
      <c r="G290" t="s">
        <v>54</v>
      </c>
      <c r="H290" t="s">
        <v>172</v>
      </c>
      <c r="I290" t="s">
        <v>158</v>
      </c>
      <c r="J290">
        <v>1159</v>
      </c>
      <c r="K290">
        <v>13</v>
      </c>
      <c r="L290" t="s">
        <v>57</v>
      </c>
      <c r="M290">
        <v>113</v>
      </c>
      <c r="N290">
        <v>44</v>
      </c>
      <c r="O290">
        <v>78.3</v>
      </c>
      <c r="P290">
        <v>4.3899999999999997</v>
      </c>
      <c r="Q290">
        <v>1.63</v>
      </c>
      <c r="R290" t="s">
        <v>242</v>
      </c>
      <c r="S290" t="s">
        <v>73</v>
      </c>
      <c r="T290" t="s">
        <v>30</v>
      </c>
    </row>
    <row r="291" spans="1:20" x14ac:dyDescent="0.3">
      <c r="A291">
        <v>10840</v>
      </c>
      <c r="B291" s="2">
        <v>45875</v>
      </c>
      <c r="C291" t="s">
        <v>199</v>
      </c>
      <c r="D291" t="s">
        <v>59</v>
      </c>
      <c r="E291" t="s">
        <v>22</v>
      </c>
      <c r="F291" t="s">
        <v>81</v>
      </c>
      <c r="G291" t="s">
        <v>74</v>
      </c>
      <c r="H291" t="s">
        <v>200</v>
      </c>
      <c r="I291" t="s">
        <v>231</v>
      </c>
      <c r="J291">
        <v>598</v>
      </c>
      <c r="K291">
        <v>22</v>
      </c>
      <c r="L291" t="s">
        <v>57</v>
      </c>
      <c r="M291">
        <v>155</v>
      </c>
      <c r="N291">
        <v>54.4</v>
      </c>
      <c r="O291">
        <v>53</v>
      </c>
      <c r="P291">
        <v>7.59</v>
      </c>
      <c r="Q291">
        <v>3.57</v>
      </c>
      <c r="R291" t="s">
        <v>229</v>
      </c>
      <c r="S291" t="s">
        <v>47</v>
      </c>
      <c r="T291" t="s">
        <v>48</v>
      </c>
    </row>
    <row r="292" spans="1:20" x14ac:dyDescent="0.3">
      <c r="A292">
        <v>10197</v>
      </c>
      <c r="B292" s="2">
        <v>45683</v>
      </c>
      <c r="C292" t="s">
        <v>156</v>
      </c>
      <c r="D292" t="s">
        <v>21</v>
      </c>
      <c r="E292" t="s">
        <v>107</v>
      </c>
      <c r="F292" t="s">
        <v>23</v>
      </c>
      <c r="G292" t="s">
        <v>74</v>
      </c>
      <c r="H292" t="s">
        <v>278</v>
      </c>
      <c r="I292" t="s">
        <v>214</v>
      </c>
      <c r="J292">
        <v>539</v>
      </c>
      <c r="K292">
        <v>4</v>
      </c>
      <c r="L292" t="s">
        <v>68</v>
      </c>
      <c r="M292">
        <v>33</v>
      </c>
      <c r="N292">
        <v>36.299999999999997</v>
      </c>
      <c r="O292">
        <v>70.8</v>
      </c>
      <c r="P292">
        <v>5.95</v>
      </c>
      <c r="Q292">
        <v>3.09</v>
      </c>
      <c r="R292" t="s">
        <v>227</v>
      </c>
      <c r="S292" t="s">
        <v>29</v>
      </c>
      <c r="T292" t="s">
        <v>30</v>
      </c>
    </row>
    <row r="293" spans="1:20" x14ac:dyDescent="0.3">
      <c r="A293">
        <v>11272</v>
      </c>
      <c r="B293" s="2">
        <v>45975</v>
      </c>
      <c r="C293" t="s">
        <v>20</v>
      </c>
      <c r="D293" t="s">
        <v>59</v>
      </c>
      <c r="E293" t="s">
        <v>33</v>
      </c>
      <c r="F293" t="s">
        <v>41</v>
      </c>
      <c r="G293" t="s">
        <v>134</v>
      </c>
      <c r="H293" t="s">
        <v>263</v>
      </c>
      <c r="I293" t="s">
        <v>336</v>
      </c>
      <c r="J293">
        <v>624</v>
      </c>
      <c r="K293">
        <v>1</v>
      </c>
      <c r="L293" t="s">
        <v>27</v>
      </c>
      <c r="M293">
        <v>134</v>
      </c>
      <c r="N293">
        <v>39.299999999999997</v>
      </c>
      <c r="O293">
        <v>63.9</v>
      </c>
      <c r="P293">
        <v>4.71</v>
      </c>
      <c r="Q293">
        <v>2.0699999999999998</v>
      </c>
      <c r="R293" t="s">
        <v>164</v>
      </c>
      <c r="S293" t="s">
        <v>39</v>
      </c>
      <c r="T293" t="s">
        <v>30</v>
      </c>
    </row>
    <row r="294" spans="1:20" x14ac:dyDescent="0.3">
      <c r="A294">
        <v>10082</v>
      </c>
      <c r="B294" s="2">
        <v>45658</v>
      </c>
      <c r="C294" t="s">
        <v>31</v>
      </c>
      <c r="D294" t="s">
        <v>32</v>
      </c>
      <c r="E294" t="s">
        <v>107</v>
      </c>
      <c r="F294" t="s">
        <v>81</v>
      </c>
      <c r="G294" t="s">
        <v>109</v>
      </c>
      <c r="H294" t="s">
        <v>161</v>
      </c>
      <c r="I294" t="s">
        <v>293</v>
      </c>
      <c r="J294">
        <v>752</v>
      </c>
      <c r="K294">
        <v>7</v>
      </c>
      <c r="L294" t="s">
        <v>45</v>
      </c>
      <c r="M294">
        <v>67</v>
      </c>
      <c r="N294">
        <v>41.6</v>
      </c>
      <c r="O294">
        <v>74.599999999999994</v>
      </c>
      <c r="P294">
        <v>5.46</v>
      </c>
      <c r="Q294">
        <v>3.26</v>
      </c>
      <c r="R294" t="s">
        <v>143</v>
      </c>
      <c r="S294" t="s">
        <v>39</v>
      </c>
      <c r="T294" t="s">
        <v>30</v>
      </c>
    </row>
    <row r="295" spans="1:20" x14ac:dyDescent="0.3">
      <c r="A295">
        <v>11417</v>
      </c>
      <c r="B295" s="2">
        <v>45701</v>
      </c>
      <c r="C295" t="s">
        <v>20</v>
      </c>
      <c r="D295" t="s">
        <v>59</v>
      </c>
      <c r="E295" t="s">
        <v>22</v>
      </c>
      <c r="F295" t="s">
        <v>41</v>
      </c>
      <c r="G295" t="s">
        <v>54</v>
      </c>
      <c r="H295" t="s">
        <v>148</v>
      </c>
      <c r="I295" t="s">
        <v>256</v>
      </c>
      <c r="J295">
        <v>1427</v>
      </c>
      <c r="K295">
        <v>65</v>
      </c>
      <c r="L295" t="s">
        <v>37</v>
      </c>
      <c r="M295">
        <v>150</v>
      </c>
      <c r="N295">
        <v>49</v>
      </c>
      <c r="O295">
        <v>73.5</v>
      </c>
      <c r="P295">
        <v>5.86</v>
      </c>
      <c r="Q295">
        <v>1.21</v>
      </c>
      <c r="R295" t="s">
        <v>53</v>
      </c>
      <c r="S295" t="s">
        <v>39</v>
      </c>
      <c r="T295" t="s">
        <v>48</v>
      </c>
    </row>
    <row r="296" spans="1:20" x14ac:dyDescent="0.3">
      <c r="A296">
        <v>10354</v>
      </c>
      <c r="B296" s="2">
        <v>45768</v>
      </c>
      <c r="C296" t="s">
        <v>49</v>
      </c>
      <c r="D296" t="s">
        <v>21</v>
      </c>
      <c r="E296" t="s">
        <v>40</v>
      </c>
      <c r="F296" t="s">
        <v>81</v>
      </c>
      <c r="G296" t="s">
        <v>95</v>
      </c>
      <c r="H296" t="s">
        <v>177</v>
      </c>
      <c r="I296" t="s">
        <v>201</v>
      </c>
      <c r="J296">
        <v>674</v>
      </c>
      <c r="K296">
        <v>9</v>
      </c>
      <c r="L296" t="s">
        <v>45</v>
      </c>
      <c r="M296">
        <v>5</v>
      </c>
      <c r="N296">
        <v>35.6</v>
      </c>
      <c r="O296">
        <v>77.400000000000006</v>
      </c>
      <c r="P296">
        <v>6.05</v>
      </c>
      <c r="Q296">
        <v>3.02</v>
      </c>
      <c r="R296" t="s">
        <v>152</v>
      </c>
      <c r="S296" t="s">
        <v>73</v>
      </c>
      <c r="T296" t="s">
        <v>30</v>
      </c>
    </row>
    <row r="297" spans="1:20" x14ac:dyDescent="0.3">
      <c r="A297">
        <v>11166</v>
      </c>
      <c r="B297" s="2">
        <v>45722</v>
      </c>
      <c r="C297" t="s">
        <v>20</v>
      </c>
      <c r="D297" t="s">
        <v>64</v>
      </c>
      <c r="E297" t="s">
        <v>107</v>
      </c>
      <c r="F297" t="s">
        <v>23</v>
      </c>
      <c r="G297" t="s">
        <v>74</v>
      </c>
      <c r="H297" t="s">
        <v>99</v>
      </c>
      <c r="I297" t="s">
        <v>230</v>
      </c>
      <c r="J297">
        <v>1112</v>
      </c>
      <c r="K297">
        <v>8</v>
      </c>
      <c r="L297" t="s">
        <v>45</v>
      </c>
      <c r="M297">
        <v>13</v>
      </c>
      <c r="N297">
        <v>36.799999999999997</v>
      </c>
      <c r="O297">
        <v>70.2</v>
      </c>
      <c r="P297">
        <v>6.51</v>
      </c>
      <c r="Q297">
        <v>2.58</v>
      </c>
      <c r="R297" t="s">
        <v>46</v>
      </c>
      <c r="S297" t="s">
        <v>29</v>
      </c>
      <c r="T297" t="s">
        <v>30</v>
      </c>
    </row>
    <row r="298" spans="1:20" x14ac:dyDescent="0.3">
      <c r="A298">
        <v>10112</v>
      </c>
      <c r="B298" s="2">
        <v>45786</v>
      </c>
      <c r="C298" t="s">
        <v>20</v>
      </c>
      <c r="D298" t="s">
        <v>21</v>
      </c>
      <c r="E298" t="s">
        <v>33</v>
      </c>
      <c r="F298" t="s">
        <v>23</v>
      </c>
      <c r="G298" t="s">
        <v>54</v>
      </c>
      <c r="H298" t="s">
        <v>169</v>
      </c>
      <c r="I298" t="s">
        <v>337</v>
      </c>
      <c r="J298">
        <v>1153</v>
      </c>
      <c r="K298">
        <v>21</v>
      </c>
      <c r="L298" t="s">
        <v>37</v>
      </c>
      <c r="M298">
        <v>61</v>
      </c>
      <c r="N298">
        <v>47.4</v>
      </c>
      <c r="O298">
        <v>81.8</v>
      </c>
      <c r="P298">
        <v>5.12</v>
      </c>
      <c r="Q298">
        <v>2.58</v>
      </c>
      <c r="R298" t="s">
        <v>72</v>
      </c>
      <c r="S298" t="s">
        <v>39</v>
      </c>
      <c r="T298" t="s">
        <v>30</v>
      </c>
    </row>
    <row r="299" spans="1:20" x14ac:dyDescent="0.3">
      <c r="A299">
        <v>11289</v>
      </c>
      <c r="B299" s="2">
        <v>45828</v>
      </c>
      <c r="C299" t="s">
        <v>49</v>
      </c>
      <c r="D299" t="s">
        <v>59</v>
      </c>
      <c r="E299" t="s">
        <v>22</v>
      </c>
      <c r="F299" t="s">
        <v>81</v>
      </c>
      <c r="G299" t="s">
        <v>134</v>
      </c>
      <c r="H299" t="s">
        <v>126</v>
      </c>
      <c r="I299" t="s">
        <v>154</v>
      </c>
      <c r="J299">
        <v>1597</v>
      </c>
      <c r="K299">
        <v>34</v>
      </c>
      <c r="L299" t="s">
        <v>57</v>
      </c>
      <c r="M299">
        <v>133</v>
      </c>
      <c r="N299">
        <v>46</v>
      </c>
      <c r="O299">
        <v>68.8</v>
      </c>
      <c r="P299">
        <v>4.96</v>
      </c>
      <c r="Q299">
        <v>2.6</v>
      </c>
      <c r="R299" t="s">
        <v>195</v>
      </c>
      <c r="S299" t="s">
        <v>73</v>
      </c>
      <c r="T299" t="s">
        <v>30</v>
      </c>
    </row>
    <row r="300" spans="1:20" x14ac:dyDescent="0.3">
      <c r="A300">
        <v>11324</v>
      </c>
      <c r="B300" s="2">
        <v>46009</v>
      </c>
      <c r="C300" t="s">
        <v>49</v>
      </c>
      <c r="D300" t="s">
        <v>64</v>
      </c>
      <c r="E300" t="s">
        <v>33</v>
      </c>
      <c r="F300" t="s">
        <v>41</v>
      </c>
      <c r="G300" t="s">
        <v>89</v>
      </c>
      <c r="H300" t="s">
        <v>116</v>
      </c>
      <c r="I300" t="s">
        <v>297</v>
      </c>
      <c r="J300">
        <v>617</v>
      </c>
      <c r="K300">
        <v>19</v>
      </c>
      <c r="L300" t="s">
        <v>27</v>
      </c>
      <c r="M300">
        <v>97</v>
      </c>
      <c r="N300">
        <v>26.8</v>
      </c>
      <c r="O300">
        <v>82.5</v>
      </c>
      <c r="P300">
        <v>4.84</v>
      </c>
      <c r="Q300">
        <v>1.91</v>
      </c>
      <c r="R300" t="s">
        <v>164</v>
      </c>
      <c r="S300" t="s">
        <v>29</v>
      </c>
      <c r="T300" t="s">
        <v>48</v>
      </c>
    </row>
    <row r="301" spans="1:20" x14ac:dyDescent="0.3">
      <c r="A301">
        <v>10995</v>
      </c>
      <c r="B301" s="2">
        <v>45864</v>
      </c>
      <c r="C301" t="s">
        <v>31</v>
      </c>
      <c r="D301" t="s">
        <v>32</v>
      </c>
      <c r="E301" t="s">
        <v>40</v>
      </c>
      <c r="F301" t="s">
        <v>65</v>
      </c>
      <c r="G301" t="s">
        <v>60</v>
      </c>
      <c r="H301" t="s">
        <v>82</v>
      </c>
      <c r="I301" t="s">
        <v>285</v>
      </c>
      <c r="J301">
        <v>1206</v>
      </c>
      <c r="K301">
        <v>9</v>
      </c>
      <c r="L301" t="s">
        <v>45</v>
      </c>
      <c r="M301">
        <v>40</v>
      </c>
      <c r="N301">
        <v>33</v>
      </c>
      <c r="O301">
        <v>62.6</v>
      </c>
      <c r="P301">
        <v>5.68</v>
      </c>
      <c r="Q301">
        <v>1.25</v>
      </c>
      <c r="R301" t="s">
        <v>72</v>
      </c>
      <c r="S301" t="s">
        <v>47</v>
      </c>
      <c r="T301" t="s">
        <v>30</v>
      </c>
    </row>
    <row r="302" spans="1:20" x14ac:dyDescent="0.3">
      <c r="A302">
        <v>10383</v>
      </c>
      <c r="B302" s="2">
        <v>45796</v>
      </c>
      <c r="C302" t="s">
        <v>49</v>
      </c>
      <c r="D302" t="s">
        <v>21</v>
      </c>
      <c r="E302" t="s">
        <v>40</v>
      </c>
      <c r="F302" t="s">
        <v>41</v>
      </c>
      <c r="G302" t="s">
        <v>89</v>
      </c>
      <c r="H302" t="s">
        <v>66</v>
      </c>
      <c r="I302" t="s">
        <v>224</v>
      </c>
      <c r="J302">
        <v>1184</v>
      </c>
      <c r="K302">
        <v>18</v>
      </c>
      <c r="L302" t="s">
        <v>57</v>
      </c>
      <c r="M302">
        <v>14</v>
      </c>
      <c r="N302">
        <v>43.8</v>
      </c>
      <c r="O302">
        <v>82.1</v>
      </c>
      <c r="P302">
        <v>5.33</v>
      </c>
      <c r="Q302">
        <v>2.34</v>
      </c>
      <c r="R302" t="s">
        <v>128</v>
      </c>
      <c r="S302" t="s">
        <v>73</v>
      </c>
      <c r="T302" t="s">
        <v>30</v>
      </c>
    </row>
    <row r="303" spans="1:20" x14ac:dyDescent="0.3">
      <c r="A303">
        <v>11278</v>
      </c>
      <c r="B303" s="2">
        <v>45817</v>
      </c>
      <c r="C303" t="s">
        <v>31</v>
      </c>
      <c r="D303" t="s">
        <v>32</v>
      </c>
      <c r="E303" t="s">
        <v>40</v>
      </c>
      <c r="F303" t="s">
        <v>81</v>
      </c>
      <c r="G303" t="s">
        <v>42</v>
      </c>
      <c r="H303" t="s">
        <v>35</v>
      </c>
      <c r="I303" t="s">
        <v>257</v>
      </c>
      <c r="J303">
        <v>1280</v>
      </c>
      <c r="K303">
        <v>5</v>
      </c>
      <c r="L303" t="s">
        <v>68</v>
      </c>
      <c r="M303">
        <v>141</v>
      </c>
      <c r="N303">
        <v>42.4</v>
      </c>
      <c r="O303">
        <v>77.3</v>
      </c>
      <c r="P303">
        <v>3.41</v>
      </c>
      <c r="Q303">
        <v>4.5</v>
      </c>
      <c r="R303" t="s">
        <v>119</v>
      </c>
      <c r="S303" t="s">
        <v>47</v>
      </c>
      <c r="T303" t="s">
        <v>30</v>
      </c>
    </row>
    <row r="304" spans="1:20" x14ac:dyDescent="0.3">
      <c r="A304">
        <v>10662</v>
      </c>
      <c r="B304" s="2">
        <v>45873</v>
      </c>
      <c r="C304" t="s">
        <v>20</v>
      </c>
      <c r="D304" t="s">
        <v>21</v>
      </c>
      <c r="E304" t="s">
        <v>33</v>
      </c>
      <c r="F304" t="s">
        <v>98</v>
      </c>
      <c r="G304" t="s">
        <v>95</v>
      </c>
      <c r="H304" t="s">
        <v>287</v>
      </c>
      <c r="I304" t="s">
        <v>162</v>
      </c>
      <c r="J304">
        <v>555</v>
      </c>
      <c r="K304">
        <v>6</v>
      </c>
      <c r="L304" t="s">
        <v>57</v>
      </c>
      <c r="M304">
        <v>167</v>
      </c>
      <c r="N304">
        <v>38.6</v>
      </c>
      <c r="O304">
        <v>66.900000000000006</v>
      </c>
      <c r="P304">
        <v>7.38</v>
      </c>
      <c r="Q304">
        <v>3.47</v>
      </c>
      <c r="R304" t="s">
        <v>105</v>
      </c>
      <c r="S304" t="s">
        <v>39</v>
      </c>
      <c r="T304" t="s">
        <v>30</v>
      </c>
    </row>
    <row r="305" spans="1:20" x14ac:dyDescent="0.3">
      <c r="A305">
        <v>10600</v>
      </c>
      <c r="B305" s="2">
        <v>45874</v>
      </c>
      <c r="C305" t="s">
        <v>49</v>
      </c>
      <c r="D305" t="s">
        <v>21</v>
      </c>
      <c r="E305" t="s">
        <v>33</v>
      </c>
      <c r="F305" t="s">
        <v>23</v>
      </c>
      <c r="G305" t="s">
        <v>89</v>
      </c>
      <c r="H305" t="s">
        <v>116</v>
      </c>
      <c r="I305" t="s">
        <v>338</v>
      </c>
      <c r="J305">
        <v>1064</v>
      </c>
      <c r="K305">
        <v>18</v>
      </c>
      <c r="L305" t="s">
        <v>57</v>
      </c>
      <c r="M305">
        <v>52</v>
      </c>
      <c r="N305">
        <v>49.5</v>
      </c>
      <c r="O305">
        <v>68.599999999999994</v>
      </c>
      <c r="P305">
        <v>6.15</v>
      </c>
      <c r="Q305">
        <v>1.8</v>
      </c>
      <c r="R305" t="s">
        <v>227</v>
      </c>
      <c r="S305" t="s">
        <v>47</v>
      </c>
      <c r="T305" t="s">
        <v>30</v>
      </c>
    </row>
    <row r="306" spans="1:20" x14ac:dyDescent="0.3">
      <c r="A306">
        <v>10765</v>
      </c>
      <c r="B306" s="2">
        <v>45992</v>
      </c>
      <c r="C306" t="s">
        <v>49</v>
      </c>
      <c r="D306" t="s">
        <v>21</v>
      </c>
      <c r="E306" t="s">
        <v>40</v>
      </c>
      <c r="F306" t="s">
        <v>41</v>
      </c>
      <c r="G306" t="s">
        <v>42</v>
      </c>
      <c r="H306" t="s">
        <v>252</v>
      </c>
      <c r="I306" t="s">
        <v>191</v>
      </c>
      <c r="J306">
        <v>896</v>
      </c>
      <c r="K306">
        <v>10</v>
      </c>
      <c r="L306" t="s">
        <v>27</v>
      </c>
      <c r="M306">
        <v>23</v>
      </c>
      <c r="N306">
        <v>56</v>
      </c>
      <c r="O306">
        <v>73.7</v>
      </c>
      <c r="P306">
        <v>3.94</v>
      </c>
      <c r="Q306">
        <v>2.46</v>
      </c>
      <c r="R306" t="s">
        <v>179</v>
      </c>
      <c r="S306" t="s">
        <v>73</v>
      </c>
      <c r="T306" t="s">
        <v>30</v>
      </c>
    </row>
    <row r="307" spans="1:20" x14ac:dyDescent="0.3">
      <c r="A307">
        <v>10544</v>
      </c>
      <c r="B307" s="2">
        <v>45789</v>
      </c>
      <c r="C307" t="s">
        <v>20</v>
      </c>
      <c r="D307" t="s">
        <v>59</v>
      </c>
      <c r="E307" t="s">
        <v>107</v>
      </c>
      <c r="F307" t="s">
        <v>23</v>
      </c>
      <c r="G307" t="s">
        <v>95</v>
      </c>
      <c r="H307" t="s">
        <v>93</v>
      </c>
      <c r="I307" t="s">
        <v>339</v>
      </c>
      <c r="J307">
        <v>1069</v>
      </c>
      <c r="K307">
        <v>3</v>
      </c>
      <c r="L307" t="s">
        <v>45</v>
      </c>
      <c r="M307">
        <v>135</v>
      </c>
      <c r="N307">
        <v>44.2</v>
      </c>
      <c r="O307">
        <v>65.900000000000006</v>
      </c>
      <c r="P307">
        <v>6.08</v>
      </c>
      <c r="Q307">
        <v>1.98</v>
      </c>
      <c r="R307" t="s">
        <v>103</v>
      </c>
      <c r="S307" t="s">
        <v>39</v>
      </c>
      <c r="T307" t="s">
        <v>30</v>
      </c>
    </row>
    <row r="308" spans="1:20" x14ac:dyDescent="0.3">
      <c r="A308">
        <v>10424</v>
      </c>
      <c r="B308" s="2">
        <v>45883</v>
      </c>
      <c r="C308" t="s">
        <v>20</v>
      </c>
      <c r="D308" t="s">
        <v>59</v>
      </c>
      <c r="E308" t="s">
        <v>107</v>
      </c>
      <c r="F308" t="s">
        <v>81</v>
      </c>
      <c r="G308" t="s">
        <v>42</v>
      </c>
      <c r="H308" t="s">
        <v>116</v>
      </c>
      <c r="I308" t="s">
        <v>160</v>
      </c>
      <c r="J308">
        <v>1588</v>
      </c>
      <c r="K308">
        <v>50</v>
      </c>
      <c r="L308" t="s">
        <v>27</v>
      </c>
      <c r="M308">
        <v>131</v>
      </c>
      <c r="N308">
        <v>49.7</v>
      </c>
      <c r="O308">
        <v>69</v>
      </c>
      <c r="P308">
        <v>5.08</v>
      </c>
      <c r="Q308">
        <v>1.52</v>
      </c>
      <c r="R308" t="s">
        <v>105</v>
      </c>
      <c r="S308" t="s">
        <v>39</v>
      </c>
      <c r="T308" t="s">
        <v>48</v>
      </c>
    </row>
    <row r="309" spans="1:20" x14ac:dyDescent="0.3">
      <c r="A309">
        <v>11121</v>
      </c>
      <c r="B309" s="2">
        <v>45886</v>
      </c>
      <c r="C309" t="s">
        <v>49</v>
      </c>
      <c r="D309" t="s">
        <v>64</v>
      </c>
      <c r="E309" t="s">
        <v>40</v>
      </c>
      <c r="F309" t="s">
        <v>81</v>
      </c>
      <c r="G309" t="s">
        <v>54</v>
      </c>
      <c r="H309" t="s">
        <v>90</v>
      </c>
      <c r="I309" t="s">
        <v>83</v>
      </c>
      <c r="J309">
        <v>1384</v>
      </c>
      <c r="K309">
        <v>17</v>
      </c>
      <c r="L309" t="s">
        <v>45</v>
      </c>
      <c r="M309">
        <v>15</v>
      </c>
      <c r="N309">
        <v>66.599999999999994</v>
      </c>
      <c r="O309">
        <v>74.7</v>
      </c>
      <c r="P309">
        <v>5.68</v>
      </c>
      <c r="Q309">
        <v>1.73</v>
      </c>
      <c r="R309" t="s">
        <v>92</v>
      </c>
      <c r="S309" t="s">
        <v>47</v>
      </c>
      <c r="T309" t="s">
        <v>30</v>
      </c>
    </row>
    <row r="310" spans="1:20" x14ac:dyDescent="0.3">
      <c r="A310">
        <v>11294</v>
      </c>
      <c r="B310" s="2">
        <v>45889</v>
      </c>
      <c r="C310" t="s">
        <v>31</v>
      </c>
      <c r="D310" t="s">
        <v>64</v>
      </c>
      <c r="E310" t="s">
        <v>40</v>
      </c>
      <c r="F310" t="s">
        <v>23</v>
      </c>
      <c r="G310" t="s">
        <v>24</v>
      </c>
      <c r="H310" t="s">
        <v>200</v>
      </c>
      <c r="I310" t="s">
        <v>324</v>
      </c>
      <c r="J310">
        <v>618</v>
      </c>
      <c r="K310">
        <v>2</v>
      </c>
      <c r="L310" t="s">
        <v>27</v>
      </c>
      <c r="M310">
        <v>123</v>
      </c>
      <c r="N310">
        <v>50</v>
      </c>
      <c r="O310">
        <v>70.8</v>
      </c>
      <c r="P310">
        <v>4.6100000000000003</v>
      </c>
      <c r="Q310">
        <v>2.34</v>
      </c>
      <c r="R310" t="s">
        <v>155</v>
      </c>
      <c r="S310" t="s">
        <v>29</v>
      </c>
      <c r="T310" t="s">
        <v>30</v>
      </c>
    </row>
    <row r="311" spans="1:20" x14ac:dyDescent="0.3">
      <c r="A311">
        <v>10395</v>
      </c>
      <c r="B311" s="2">
        <v>45714</v>
      </c>
      <c r="C311" t="s">
        <v>31</v>
      </c>
      <c r="D311" t="s">
        <v>32</v>
      </c>
      <c r="E311" t="s">
        <v>22</v>
      </c>
      <c r="F311" t="s">
        <v>23</v>
      </c>
      <c r="G311" t="s">
        <v>95</v>
      </c>
      <c r="H311" t="s">
        <v>148</v>
      </c>
      <c r="I311" t="s">
        <v>163</v>
      </c>
      <c r="J311">
        <v>944</v>
      </c>
      <c r="K311">
        <v>10</v>
      </c>
      <c r="L311" t="s">
        <v>71</v>
      </c>
      <c r="M311">
        <v>115</v>
      </c>
      <c r="N311">
        <v>37.299999999999997</v>
      </c>
      <c r="O311">
        <v>65.7</v>
      </c>
      <c r="P311">
        <v>4.7</v>
      </c>
      <c r="Q311">
        <v>3.75</v>
      </c>
      <c r="R311" t="s">
        <v>137</v>
      </c>
      <c r="S311" t="s">
        <v>39</v>
      </c>
      <c r="T311" t="s">
        <v>30</v>
      </c>
    </row>
    <row r="312" spans="1:20" x14ac:dyDescent="0.3">
      <c r="A312">
        <v>11500</v>
      </c>
      <c r="B312" s="2">
        <v>45921</v>
      </c>
      <c r="C312" t="s">
        <v>31</v>
      </c>
      <c r="D312" t="s">
        <v>59</v>
      </c>
      <c r="E312" t="s">
        <v>40</v>
      </c>
      <c r="F312" t="s">
        <v>41</v>
      </c>
      <c r="G312" t="s">
        <v>34</v>
      </c>
      <c r="H312" t="s">
        <v>123</v>
      </c>
      <c r="I312" t="s">
        <v>340</v>
      </c>
      <c r="J312">
        <v>1118</v>
      </c>
      <c r="K312">
        <v>12</v>
      </c>
      <c r="L312" t="s">
        <v>57</v>
      </c>
      <c r="M312" t="s">
        <v>341</v>
      </c>
      <c r="N312">
        <v>35.1</v>
      </c>
      <c r="O312">
        <v>91.4</v>
      </c>
      <c r="P312">
        <v>6.29</v>
      </c>
      <c r="Q312">
        <v>3.01</v>
      </c>
      <c r="R312" t="s">
        <v>119</v>
      </c>
      <c r="S312" t="s">
        <v>39</v>
      </c>
      <c r="T312" t="s">
        <v>30</v>
      </c>
    </row>
    <row r="313" spans="1:20" x14ac:dyDescent="0.3">
      <c r="A313">
        <v>11036</v>
      </c>
      <c r="B313" s="2">
        <v>45942</v>
      </c>
      <c r="C313" t="s">
        <v>20</v>
      </c>
      <c r="D313" t="s">
        <v>21</v>
      </c>
      <c r="E313" t="s">
        <v>33</v>
      </c>
      <c r="F313" t="s">
        <v>41</v>
      </c>
      <c r="G313" t="s">
        <v>74</v>
      </c>
      <c r="H313" t="s">
        <v>123</v>
      </c>
      <c r="I313" t="s">
        <v>52</v>
      </c>
      <c r="J313">
        <v>509</v>
      </c>
      <c r="K313">
        <v>8</v>
      </c>
      <c r="L313" t="s">
        <v>45</v>
      </c>
      <c r="M313">
        <v>93</v>
      </c>
      <c r="N313">
        <v>36.9</v>
      </c>
      <c r="O313">
        <v>75.5</v>
      </c>
      <c r="P313">
        <v>4.68</v>
      </c>
      <c r="Q313">
        <v>0.7</v>
      </c>
      <c r="R313" t="s">
        <v>105</v>
      </c>
      <c r="S313" t="s">
        <v>47</v>
      </c>
      <c r="T313" t="s">
        <v>30</v>
      </c>
    </row>
    <row r="314" spans="1:20" x14ac:dyDescent="0.3">
      <c r="A314">
        <v>10673</v>
      </c>
      <c r="B314" s="2">
        <v>46003</v>
      </c>
      <c r="C314" t="s">
        <v>31</v>
      </c>
      <c r="D314" t="s">
        <v>21</v>
      </c>
      <c r="E314" t="s">
        <v>22</v>
      </c>
      <c r="F314" t="s">
        <v>98</v>
      </c>
      <c r="G314" t="s">
        <v>60</v>
      </c>
      <c r="H314" t="s">
        <v>172</v>
      </c>
      <c r="I314" t="s">
        <v>208</v>
      </c>
      <c r="J314">
        <v>1503</v>
      </c>
      <c r="K314">
        <v>4</v>
      </c>
      <c r="L314" t="s">
        <v>45</v>
      </c>
      <c r="M314">
        <v>99</v>
      </c>
      <c r="N314">
        <v>47.3</v>
      </c>
      <c r="O314">
        <v>69.3</v>
      </c>
      <c r="P314">
        <v>4.88</v>
      </c>
      <c r="Q314">
        <v>3.34</v>
      </c>
      <c r="R314" t="s">
        <v>242</v>
      </c>
      <c r="S314" t="s">
        <v>73</v>
      </c>
      <c r="T314" t="s">
        <v>30</v>
      </c>
    </row>
    <row r="315" spans="1:20" x14ac:dyDescent="0.3">
      <c r="A315">
        <v>11244</v>
      </c>
      <c r="B315" s="2">
        <v>45812</v>
      </c>
      <c r="C315" t="s">
        <v>31</v>
      </c>
      <c r="D315" t="s">
        <v>32</v>
      </c>
      <c r="E315" t="s">
        <v>40</v>
      </c>
      <c r="F315" t="s">
        <v>41</v>
      </c>
      <c r="G315" t="s">
        <v>24</v>
      </c>
      <c r="H315" t="s">
        <v>252</v>
      </c>
      <c r="I315" t="s">
        <v>178</v>
      </c>
      <c r="J315">
        <v>604</v>
      </c>
      <c r="K315">
        <v>6</v>
      </c>
      <c r="L315" t="s">
        <v>37</v>
      </c>
      <c r="M315">
        <v>137</v>
      </c>
      <c r="N315">
        <v>40.299999999999997</v>
      </c>
      <c r="O315">
        <v>84.1</v>
      </c>
      <c r="P315">
        <v>6.33</v>
      </c>
      <c r="Q315">
        <v>3.74</v>
      </c>
      <c r="R315" t="s">
        <v>105</v>
      </c>
      <c r="S315" t="s">
        <v>73</v>
      </c>
      <c r="T315" t="s">
        <v>30</v>
      </c>
    </row>
    <row r="316" spans="1:20" x14ac:dyDescent="0.3">
      <c r="A316">
        <v>11286</v>
      </c>
      <c r="B316" s="2">
        <v>45659</v>
      </c>
      <c r="C316" t="s">
        <v>49</v>
      </c>
      <c r="D316" t="s">
        <v>64</v>
      </c>
      <c r="E316" t="s">
        <v>40</v>
      </c>
      <c r="F316" t="s">
        <v>81</v>
      </c>
      <c r="G316" t="s">
        <v>42</v>
      </c>
      <c r="H316" t="s">
        <v>175</v>
      </c>
      <c r="I316" t="s">
        <v>266</v>
      </c>
      <c r="J316">
        <v>777</v>
      </c>
      <c r="K316">
        <v>5</v>
      </c>
      <c r="L316" t="s">
        <v>57</v>
      </c>
      <c r="M316">
        <v>132</v>
      </c>
      <c r="N316">
        <v>45.4</v>
      </c>
      <c r="O316">
        <v>67</v>
      </c>
      <c r="P316">
        <v>6.14</v>
      </c>
      <c r="Q316">
        <v>5.23</v>
      </c>
      <c r="R316" t="s">
        <v>229</v>
      </c>
      <c r="S316" t="s">
        <v>73</v>
      </c>
      <c r="T316" t="s">
        <v>30</v>
      </c>
    </row>
    <row r="317" spans="1:20" x14ac:dyDescent="0.3">
      <c r="A317">
        <v>11162</v>
      </c>
      <c r="B317" s="2">
        <v>46018</v>
      </c>
      <c r="C317" t="s">
        <v>199</v>
      </c>
      <c r="D317" t="s">
        <v>32</v>
      </c>
      <c r="E317" t="s">
        <v>40</v>
      </c>
      <c r="F317" t="s">
        <v>41</v>
      </c>
      <c r="G317" t="s">
        <v>113</v>
      </c>
      <c r="H317" t="s">
        <v>120</v>
      </c>
      <c r="I317" t="s">
        <v>237</v>
      </c>
      <c r="J317">
        <v>1499</v>
      </c>
      <c r="K317">
        <v>8</v>
      </c>
      <c r="L317" t="s">
        <v>37</v>
      </c>
      <c r="M317">
        <v>26</v>
      </c>
      <c r="N317">
        <v>43.2</v>
      </c>
      <c r="O317">
        <v>82.1</v>
      </c>
      <c r="P317">
        <v>5.52</v>
      </c>
      <c r="Q317">
        <v>2.64</v>
      </c>
      <c r="R317" t="s">
        <v>84</v>
      </c>
      <c r="S317" t="s">
        <v>47</v>
      </c>
      <c r="T317" t="s">
        <v>30</v>
      </c>
    </row>
    <row r="318" spans="1:20" x14ac:dyDescent="0.3">
      <c r="A318">
        <v>11088</v>
      </c>
      <c r="B318" s="2">
        <v>45999</v>
      </c>
      <c r="C318" t="s">
        <v>49</v>
      </c>
      <c r="D318" t="s">
        <v>32</v>
      </c>
      <c r="E318" t="s">
        <v>40</v>
      </c>
      <c r="F318" t="s">
        <v>23</v>
      </c>
      <c r="G318" t="s">
        <v>42</v>
      </c>
      <c r="H318" t="s">
        <v>99</v>
      </c>
      <c r="I318" t="s">
        <v>168</v>
      </c>
      <c r="J318" t="s">
        <v>342</v>
      </c>
      <c r="K318">
        <v>13</v>
      </c>
      <c r="L318" t="s">
        <v>57</v>
      </c>
      <c r="M318">
        <v>144</v>
      </c>
      <c r="N318">
        <v>42.6</v>
      </c>
      <c r="O318">
        <v>73.599999999999994</v>
      </c>
      <c r="P318">
        <v>4.2699999999999996</v>
      </c>
      <c r="Q318">
        <v>1.52</v>
      </c>
      <c r="R318" t="s">
        <v>77</v>
      </c>
      <c r="S318" t="s">
        <v>47</v>
      </c>
      <c r="T318" t="s">
        <v>30</v>
      </c>
    </row>
    <row r="319" spans="1:20" x14ac:dyDescent="0.3">
      <c r="A319">
        <v>10637</v>
      </c>
      <c r="B319" s="2">
        <v>45904</v>
      </c>
      <c r="C319" t="s">
        <v>49</v>
      </c>
      <c r="D319" t="s">
        <v>59</v>
      </c>
      <c r="E319" t="s">
        <v>107</v>
      </c>
      <c r="F319" t="s">
        <v>41</v>
      </c>
      <c r="G319" t="s">
        <v>74</v>
      </c>
      <c r="H319" t="s">
        <v>263</v>
      </c>
      <c r="I319" t="s">
        <v>343</v>
      </c>
      <c r="J319">
        <v>893</v>
      </c>
      <c r="K319">
        <v>3</v>
      </c>
      <c r="L319" t="s">
        <v>37</v>
      </c>
      <c r="M319">
        <v>103</v>
      </c>
      <c r="N319">
        <v>38.1</v>
      </c>
      <c r="O319">
        <v>84.8</v>
      </c>
      <c r="P319">
        <v>5.79</v>
      </c>
      <c r="Q319">
        <v>2.1</v>
      </c>
      <c r="R319" t="s">
        <v>103</v>
      </c>
      <c r="S319" t="s">
        <v>47</v>
      </c>
      <c r="T319" t="s">
        <v>30</v>
      </c>
    </row>
    <row r="320" spans="1:20" x14ac:dyDescent="0.3">
      <c r="A320">
        <v>10552</v>
      </c>
      <c r="B320" s="2">
        <v>45903</v>
      </c>
      <c r="C320" t="s">
        <v>150</v>
      </c>
      <c r="D320" t="s">
        <v>32</v>
      </c>
      <c r="E320" t="s">
        <v>22</v>
      </c>
      <c r="F320" t="s">
        <v>65</v>
      </c>
      <c r="G320" t="s">
        <v>42</v>
      </c>
      <c r="H320" t="s">
        <v>169</v>
      </c>
      <c r="I320" t="s">
        <v>329</v>
      </c>
      <c r="J320">
        <v>539</v>
      </c>
      <c r="K320">
        <v>13</v>
      </c>
      <c r="L320" t="s">
        <v>57</v>
      </c>
      <c r="M320">
        <v>134</v>
      </c>
      <c r="N320">
        <v>48.2</v>
      </c>
      <c r="O320">
        <v>70.400000000000006</v>
      </c>
      <c r="P320">
        <v>4.97</v>
      </c>
      <c r="Q320">
        <v>3.29</v>
      </c>
      <c r="R320" t="s">
        <v>58</v>
      </c>
      <c r="S320" t="s">
        <v>47</v>
      </c>
      <c r="T320" t="s">
        <v>30</v>
      </c>
    </row>
    <row r="321" spans="1:20" x14ac:dyDescent="0.3">
      <c r="A321">
        <v>11183</v>
      </c>
      <c r="B321" s="2">
        <v>45779</v>
      </c>
      <c r="C321" t="s">
        <v>20</v>
      </c>
      <c r="D321" t="s">
        <v>64</v>
      </c>
      <c r="E321" t="s">
        <v>107</v>
      </c>
      <c r="F321" t="s">
        <v>23</v>
      </c>
      <c r="G321" t="s">
        <v>24</v>
      </c>
      <c r="H321" t="s">
        <v>96</v>
      </c>
      <c r="I321" t="s">
        <v>166</v>
      </c>
      <c r="J321">
        <v>1533</v>
      </c>
      <c r="K321">
        <v>14</v>
      </c>
      <c r="L321" t="s">
        <v>45</v>
      </c>
      <c r="M321">
        <v>52</v>
      </c>
      <c r="N321">
        <v>32.6</v>
      </c>
      <c r="O321">
        <v>63.3</v>
      </c>
      <c r="P321">
        <v>4.41</v>
      </c>
      <c r="Q321">
        <v>3.13</v>
      </c>
      <c r="R321" t="s">
        <v>227</v>
      </c>
      <c r="S321" t="s">
        <v>47</v>
      </c>
      <c r="T321" t="s">
        <v>30</v>
      </c>
    </row>
    <row r="322" spans="1:20" x14ac:dyDescent="0.3">
      <c r="A322">
        <v>11068</v>
      </c>
      <c r="B322" s="2">
        <v>45981</v>
      </c>
      <c r="C322" t="s">
        <v>49</v>
      </c>
      <c r="D322" t="s">
        <v>59</v>
      </c>
      <c r="E322" t="s">
        <v>40</v>
      </c>
      <c r="F322" t="s">
        <v>41</v>
      </c>
      <c r="G322" t="s">
        <v>113</v>
      </c>
      <c r="H322" t="s">
        <v>120</v>
      </c>
      <c r="I322" t="s">
        <v>118</v>
      </c>
      <c r="J322">
        <v>491</v>
      </c>
      <c r="K322">
        <v>7</v>
      </c>
      <c r="L322" t="s">
        <v>45</v>
      </c>
      <c r="M322">
        <v>99</v>
      </c>
      <c r="N322">
        <v>35.299999999999997</v>
      </c>
      <c r="O322">
        <v>58.7</v>
      </c>
      <c r="P322">
        <v>5.65</v>
      </c>
      <c r="Q322">
        <v>4.72</v>
      </c>
      <c r="R322" t="s">
        <v>133</v>
      </c>
      <c r="S322" t="s">
        <v>73</v>
      </c>
      <c r="T322" t="s">
        <v>30</v>
      </c>
    </row>
    <row r="323" spans="1:20" x14ac:dyDescent="0.3">
      <c r="A323">
        <v>11306</v>
      </c>
      <c r="B323" s="2">
        <v>45988</v>
      </c>
      <c r="C323" t="s">
        <v>20</v>
      </c>
      <c r="D323" t="s">
        <v>59</v>
      </c>
      <c r="E323" t="s">
        <v>22</v>
      </c>
      <c r="F323" t="s">
        <v>23</v>
      </c>
      <c r="G323" t="s">
        <v>34</v>
      </c>
      <c r="H323" t="s">
        <v>172</v>
      </c>
      <c r="I323" t="s">
        <v>344</v>
      </c>
      <c r="J323">
        <v>982</v>
      </c>
      <c r="K323">
        <v>5</v>
      </c>
      <c r="L323" t="s">
        <v>27</v>
      </c>
      <c r="M323">
        <v>45</v>
      </c>
      <c r="N323">
        <v>41.3</v>
      </c>
      <c r="O323">
        <v>64.099999999999994</v>
      </c>
      <c r="P323">
        <v>5.65</v>
      </c>
      <c r="Q323">
        <v>1.99</v>
      </c>
      <c r="R323" t="s">
        <v>130</v>
      </c>
      <c r="S323" t="s">
        <v>39</v>
      </c>
      <c r="T323" t="s">
        <v>30</v>
      </c>
    </row>
    <row r="324" spans="1:20" x14ac:dyDescent="0.3">
      <c r="A324">
        <v>10255</v>
      </c>
      <c r="B324" s="2">
        <v>45954</v>
      </c>
      <c r="C324" t="s">
        <v>49</v>
      </c>
      <c r="D324" t="s">
        <v>32</v>
      </c>
      <c r="E324" t="s">
        <v>22</v>
      </c>
      <c r="F324" t="s">
        <v>23</v>
      </c>
      <c r="G324" t="s">
        <v>74</v>
      </c>
      <c r="H324" t="s">
        <v>90</v>
      </c>
      <c r="I324" t="s">
        <v>325</v>
      </c>
      <c r="J324">
        <v>550</v>
      </c>
      <c r="K324">
        <v>8</v>
      </c>
      <c r="L324" t="s">
        <v>37</v>
      </c>
      <c r="M324">
        <v>146</v>
      </c>
      <c r="N324">
        <v>37.299999999999997</v>
      </c>
      <c r="O324">
        <v>72.900000000000006</v>
      </c>
      <c r="P324">
        <v>4.49</v>
      </c>
      <c r="Q324">
        <v>2.44</v>
      </c>
      <c r="R324" t="s">
        <v>130</v>
      </c>
      <c r="S324" t="s">
        <v>29</v>
      </c>
      <c r="T324" t="s">
        <v>30</v>
      </c>
    </row>
    <row r="325" spans="1:20" x14ac:dyDescent="0.3">
      <c r="A325">
        <v>10323</v>
      </c>
      <c r="B325" s="2">
        <v>45838</v>
      </c>
      <c r="C325" t="s">
        <v>49</v>
      </c>
      <c r="D325" t="s">
        <v>59</v>
      </c>
      <c r="E325" t="s">
        <v>107</v>
      </c>
      <c r="F325" t="s">
        <v>41</v>
      </c>
      <c r="G325" t="s">
        <v>74</v>
      </c>
      <c r="H325" t="s">
        <v>252</v>
      </c>
      <c r="I325" t="s">
        <v>345</v>
      </c>
      <c r="J325">
        <v>1068</v>
      </c>
      <c r="K325">
        <v>12</v>
      </c>
      <c r="L325" t="s">
        <v>68</v>
      </c>
      <c r="M325">
        <v>104</v>
      </c>
      <c r="N325">
        <v>49.2</v>
      </c>
      <c r="O325">
        <v>83.7</v>
      </c>
      <c r="P325">
        <v>5.98</v>
      </c>
      <c r="Q325">
        <v>2.68</v>
      </c>
      <c r="R325" t="s">
        <v>125</v>
      </c>
      <c r="S325" t="s">
        <v>39</v>
      </c>
      <c r="T325" t="s">
        <v>30</v>
      </c>
    </row>
    <row r="326" spans="1:20" x14ac:dyDescent="0.3">
      <c r="A326">
        <v>11103</v>
      </c>
      <c r="B326" s="2">
        <v>45681</v>
      </c>
      <c r="C326" t="s">
        <v>271</v>
      </c>
      <c r="D326" t="s">
        <v>59</v>
      </c>
      <c r="E326" t="s">
        <v>40</v>
      </c>
      <c r="F326" t="s">
        <v>23</v>
      </c>
      <c r="G326" t="s">
        <v>89</v>
      </c>
      <c r="H326" t="s">
        <v>69</v>
      </c>
      <c r="I326" t="s">
        <v>260</v>
      </c>
      <c r="J326">
        <v>571</v>
      </c>
      <c r="K326">
        <v>2</v>
      </c>
      <c r="L326" t="s">
        <v>27</v>
      </c>
      <c r="M326">
        <v>118</v>
      </c>
      <c r="N326">
        <v>39.9</v>
      </c>
      <c r="O326">
        <v>82.6</v>
      </c>
      <c r="P326">
        <v>4.72</v>
      </c>
      <c r="Q326">
        <v>4.7300000000000004</v>
      </c>
      <c r="R326" t="s">
        <v>122</v>
      </c>
      <c r="S326" t="s">
        <v>39</v>
      </c>
      <c r="T326" t="s">
        <v>30</v>
      </c>
    </row>
    <row r="327" spans="1:20" x14ac:dyDescent="0.3">
      <c r="A327">
        <v>10863</v>
      </c>
      <c r="B327" s="2">
        <v>45962</v>
      </c>
      <c r="C327" t="s">
        <v>31</v>
      </c>
      <c r="D327" t="s">
        <v>64</v>
      </c>
      <c r="E327" t="s">
        <v>107</v>
      </c>
      <c r="F327" t="s">
        <v>112</v>
      </c>
      <c r="G327" t="s">
        <v>109</v>
      </c>
      <c r="H327" t="s">
        <v>223</v>
      </c>
      <c r="I327" t="s">
        <v>346</v>
      </c>
      <c r="J327">
        <v>682</v>
      </c>
      <c r="K327">
        <v>8</v>
      </c>
      <c r="L327" t="s">
        <v>57</v>
      </c>
      <c r="M327">
        <v>161</v>
      </c>
      <c r="N327">
        <v>48.3</v>
      </c>
      <c r="O327">
        <v>67.099999999999994</v>
      </c>
      <c r="P327">
        <v>5.09</v>
      </c>
      <c r="Q327">
        <v>3.66</v>
      </c>
      <c r="R327" t="s">
        <v>179</v>
      </c>
      <c r="S327" t="s">
        <v>47</v>
      </c>
      <c r="T327" t="s">
        <v>30</v>
      </c>
    </row>
    <row r="328" spans="1:20" x14ac:dyDescent="0.3">
      <c r="A328">
        <v>11010</v>
      </c>
      <c r="B328" s="2">
        <v>45964</v>
      </c>
      <c r="C328" t="s">
        <v>31</v>
      </c>
      <c r="D328" t="s">
        <v>32</v>
      </c>
      <c r="E328" t="s">
        <v>33</v>
      </c>
      <c r="F328" t="s">
        <v>41</v>
      </c>
      <c r="G328" t="s">
        <v>95</v>
      </c>
      <c r="H328" t="s">
        <v>131</v>
      </c>
      <c r="I328" t="s">
        <v>191</v>
      </c>
      <c r="J328">
        <v>472</v>
      </c>
      <c r="K328">
        <v>6</v>
      </c>
      <c r="L328" t="s">
        <v>71</v>
      </c>
      <c r="M328">
        <v>155</v>
      </c>
      <c r="N328">
        <v>45.3</v>
      </c>
      <c r="O328">
        <v>64.900000000000006</v>
      </c>
      <c r="P328">
        <v>4.63</v>
      </c>
      <c r="Q328">
        <v>3.42</v>
      </c>
      <c r="R328" t="s">
        <v>119</v>
      </c>
      <c r="S328" t="s">
        <v>47</v>
      </c>
      <c r="T328" t="s">
        <v>30</v>
      </c>
    </row>
    <row r="329" spans="1:20" x14ac:dyDescent="0.3">
      <c r="A329">
        <v>10812</v>
      </c>
      <c r="B329" s="2">
        <v>45837</v>
      </c>
      <c r="C329" t="s">
        <v>31</v>
      </c>
      <c r="D329" t="s">
        <v>32</v>
      </c>
      <c r="E329" t="s">
        <v>22</v>
      </c>
      <c r="F329" t="s">
        <v>23</v>
      </c>
      <c r="G329" t="s">
        <v>109</v>
      </c>
      <c r="H329" t="s">
        <v>175</v>
      </c>
      <c r="I329" t="s">
        <v>347</v>
      </c>
      <c r="J329">
        <v>720</v>
      </c>
      <c r="K329">
        <v>3</v>
      </c>
      <c r="L329" t="s">
        <v>37</v>
      </c>
      <c r="M329">
        <v>114</v>
      </c>
      <c r="N329">
        <v>37.1</v>
      </c>
      <c r="O329">
        <v>67.400000000000006</v>
      </c>
      <c r="P329">
        <v>4.2</v>
      </c>
      <c r="Q329">
        <v>2.0499999999999998</v>
      </c>
      <c r="R329" t="s">
        <v>147</v>
      </c>
      <c r="S329" t="s">
        <v>39</v>
      </c>
      <c r="T329" t="s">
        <v>30</v>
      </c>
    </row>
    <row r="330" spans="1:20" x14ac:dyDescent="0.3">
      <c r="A330">
        <v>11069</v>
      </c>
      <c r="B330" s="2">
        <v>45712</v>
      </c>
      <c r="C330" t="s">
        <v>20</v>
      </c>
      <c r="D330" t="s">
        <v>64</v>
      </c>
      <c r="E330" t="s">
        <v>33</v>
      </c>
      <c r="F330" t="s">
        <v>81</v>
      </c>
      <c r="G330" t="s">
        <v>109</v>
      </c>
      <c r="H330" t="s">
        <v>82</v>
      </c>
      <c r="I330" t="s">
        <v>151</v>
      </c>
      <c r="J330">
        <v>1342</v>
      </c>
      <c r="K330">
        <v>19</v>
      </c>
      <c r="L330" t="s">
        <v>68</v>
      </c>
      <c r="M330">
        <v>34</v>
      </c>
      <c r="N330">
        <v>43.4</v>
      </c>
      <c r="O330">
        <v>71.900000000000006</v>
      </c>
      <c r="P330">
        <v>4.8</v>
      </c>
      <c r="Q330">
        <v>3.02</v>
      </c>
      <c r="R330" t="s">
        <v>80</v>
      </c>
      <c r="S330" t="s">
        <v>39</v>
      </c>
      <c r="T330" t="s">
        <v>30</v>
      </c>
    </row>
    <row r="331" spans="1:20" x14ac:dyDescent="0.3">
      <c r="A331">
        <v>11118</v>
      </c>
      <c r="B331" s="2">
        <v>45978</v>
      </c>
      <c r="C331" t="s">
        <v>31</v>
      </c>
      <c r="D331" t="s">
        <v>32</v>
      </c>
      <c r="E331" t="s">
        <v>33</v>
      </c>
      <c r="F331" t="s">
        <v>41</v>
      </c>
      <c r="G331" t="s">
        <v>34</v>
      </c>
      <c r="H331" t="s">
        <v>78</v>
      </c>
      <c r="I331" t="s">
        <v>221</v>
      </c>
      <c r="J331">
        <v>744</v>
      </c>
      <c r="K331">
        <v>4</v>
      </c>
      <c r="L331" t="s">
        <v>57</v>
      </c>
      <c r="M331">
        <v>54</v>
      </c>
      <c r="N331">
        <v>50.2</v>
      </c>
      <c r="O331">
        <v>63.9</v>
      </c>
      <c r="Q331">
        <v>3.26</v>
      </c>
      <c r="R331" t="s">
        <v>46</v>
      </c>
      <c r="S331" t="s">
        <v>47</v>
      </c>
      <c r="T331" t="s">
        <v>30</v>
      </c>
    </row>
    <row r="332" spans="1:20" x14ac:dyDescent="0.3">
      <c r="A332">
        <v>10719</v>
      </c>
      <c r="B332" s="2">
        <v>45971</v>
      </c>
      <c r="C332" t="s">
        <v>20</v>
      </c>
      <c r="D332" t="s">
        <v>64</v>
      </c>
      <c r="E332" t="s">
        <v>107</v>
      </c>
      <c r="F332" t="s">
        <v>41</v>
      </c>
      <c r="G332" t="s">
        <v>109</v>
      </c>
      <c r="H332" t="s">
        <v>78</v>
      </c>
      <c r="I332" t="s">
        <v>162</v>
      </c>
      <c r="J332">
        <v>1422</v>
      </c>
      <c r="K332">
        <v>20</v>
      </c>
      <c r="L332" t="s">
        <v>71</v>
      </c>
      <c r="M332">
        <v>106</v>
      </c>
      <c r="N332">
        <v>41.5</v>
      </c>
      <c r="O332">
        <v>64.099999999999994</v>
      </c>
      <c r="P332">
        <v>5.7</v>
      </c>
      <c r="Q332">
        <v>4.3600000000000003</v>
      </c>
      <c r="R332" t="s">
        <v>174</v>
      </c>
      <c r="S332" t="s">
        <v>39</v>
      </c>
      <c r="T332" t="s">
        <v>30</v>
      </c>
    </row>
    <row r="333" spans="1:20" x14ac:dyDescent="0.3">
      <c r="A333">
        <v>10087</v>
      </c>
      <c r="B333" s="2">
        <v>45829</v>
      </c>
      <c r="C333" t="s">
        <v>20</v>
      </c>
      <c r="D333" t="s">
        <v>59</v>
      </c>
      <c r="E333" t="s">
        <v>40</v>
      </c>
      <c r="F333" t="s">
        <v>247</v>
      </c>
      <c r="G333" t="s">
        <v>50</v>
      </c>
      <c r="H333" t="s">
        <v>96</v>
      </c>
      <c r="I333" t="s">
        <v>110</v>
      </c>
      <c r="J333">
        <v>894</v>
      </c>
      <c r="K333">
        <v>35</v>
      </c>
      <c r="L333" t="s">
        <v>45</v>
      </c>
      <c r="M333">
        <v>25</v>
      </c>
      <c r="N333">
        <v>40</v>
      </c>
      <c r="O333">
        <v>75.2</v>
      </c>
      <c r="P333">
        <v>5.6</v>
      </c>
      <c r="Q333">
        <v>1.37</v>
      </c>
      <c r="R333" t="s">
        <v>80</v>
      </c>
      <c r="S333" t="s">
        <v>47</v>
      </c>
      <c r="T333" t="s">
        <v>48</v>
      </c>
    </row>
    <row r="334" spans="1:20" x14ac:dyDescent="0.3">
      <c r="A334">
        <v>11434</v>
      </c>
      <c r="B334" s="2">
        <v>45798</v>
      </c>
      <c r="C334" t="s">
        <v>20</v>
      </c>
      <c r="D334" t="s">
        <v>64</v>
      </c>
      <c r="E334" t="s">
        <v>107</v>
      </c>
      <c r="F334" t="s">
        <v>41</v>
      </c>
      <c r="G334" t="s">
        <v>89</v>
      </c>
      <c r="H334" t="s">
        <v>190</v>
      </c>
      <c r="I334" t="s">
        <v>335</v>
      </c>
      <c r="J334">
        <v>1191</v>
      </c>
      <c r="K334">
        <v>8</v>
      </c>
      <c r="L334" t="s">
        <v>71</v>
      </c>
      <c r="M334">
        <v>150</v>
      </c>
      <c r="N334">
        <v>29.6</v>
      </c>
      <c r="O334">
        <v>70.400000000000006</v>
      </c>
      <c r="P334">
        <v>5</v>
      </c>
      <c r="Q334">
        <v>3.88</v>
      </c>
      <c r="R334" t="s">
        <v>72</v>
      </c>
      <c r="S334" t="s">
        <v>39</v>
      </c>
      <c r="T334" t="s">
        <v>30</v>
      </c>
    </row>
    <row r="335" spans="1:20" x14ac:dyDescent="0.3">
      <c r="A335">
        <v>10266</v>
      </c>
      <c r="B335" s="2">
        <v>45746</v>
      </c>
      <c r="C335" t="s">
        <v>49</v>
      </c>
      <c r="D335" t="s">
        <v>64</v>
      </c>
      <c r="E335" t="s">
        <v>107</v>
      </c>
      <c r="F335" t="s">
        <v>41</v>
      </c>
      <c r="G335" t="s">
        <v>109</v>
      </c>
      <c r="H335" t="s">
        <v>96</v>
      </c>
      <c r="I335" t="s">
        <v>135</v>
      </c>
      <c r="J335">
        <v>1214</v>
      </c>
      <c r="K335">
        <v>9</v>
      </c>
      <c r="L335" t="s">
        <v>27</v>
      </c>
      <c r="M335">
        <v>20</v>
      </c>
      <c r="N335">
        <v>45</v>
      </c>
      <c r="O335">
        <v>79</v>
      </c>
      <c r="P335">
        <v>4.8600000000000003</v>
      </c>
      <c r="Q335">
        <v>2.0499999999999998</v>
      </c>
      <c r="R335" t="s">
        <v>137</v>
      </c>
      <c r="S335" t="s">
        <v>47</v>
      </c>
      <c r="T335" t="s">
        <v>30</v>
      </c>
    </row>
    <row r="336" spans="1:20" x14ac:dyDescent="0.3">
      <c r="A336">
        <v>10288</v>
      </c>
      <c r="B336" s="2">
        <v>45687</v>
      </c>
      <c r="C336" t="s">
        <v>271</v>
      </c>
      <c r="D336" t="s">
        <v>59</v>
      </c>
      <c r="E336" t="s">
        <v>40</v>
      </c>
      <c r="F336" t="s">
        <v>41</v>
      </c>
      <c r="G336" t="s">
        <v>113</v>
      </c>
      <c r="H336" t="s">
        <v>252</v>
      </c>
      <c r="I336" t="s">
        <v>218</v>
      </c>
      <c r="J336">
        <v>1045</v>
      </c>
      <c r="K336">
        <v>8</v>
      </c>
      <c r="L336" t="s">
        <v>27</v>
      </c>
      <c r="M336">
        <v>168</v>
      </c>
      <c r="N336">
        <v>29.2</v>
      </c>
      <c r="O336">
        <v>73.099999999999994</v>
      </c>
      <c r="P336">
        <v>6.16</v>
      </c>
      <c r="Q336">
        <v>2.87</v>
      </c>
      <c r="R336" t="s">
        <v>184</v>
      </c>
      <c r="S336" t="s">
        <v>73</v>
      </c>
      <c r="T336" t="s">
        <v>30</v>
      </c>
    </row>
    <row r="337" spans="1:20" x14ac:dyDescent="0.3">
      <c r="A337">
        <v>11496</v>
      </c>
      <c r="B337" s="2">
        <v>45741</v>
      </c>
      <c r="C337" t="s">
        <v>49</v>
      </c>
      <c r="D337" t="s">
        <v>59</v>
      </c>
      <c r="E337" t="s">
        <v>107</v>
      </c>
      <c r="F337" t="s">
        <v>81</v>
      </c>
      <c r="G337" t="s">
        <v>54</v>
      </c>
      <c r="H337" t="s">
        <v>148</v>
      </c>
      <c r="I337" t="s">
        <v>70</v>
      </c>
      <c r="J337">
        <v>1560</v>
      </c>
      <c r="K337">
        <v>10</v>
      </c>
      <c r="L337" t="s">
        <v>45</v>
      </c>
      <c r="M337">
        <v>22</v>
      </c>
      <c r="N337">
        <v>42.8</v>
      </c>
      <c r="O337">
        <v>76.7</v>
      </c>
      <c r="P337">
        <v>5.43</v>
      </c>
      <c r="Q337">
        <v>2.25</v>
      </c>
      <c r="R337" t="s">
        <v>46</v>
      </c>
      <c r="S337" t="s">
        <v>39</v>
      </c>
      <c r="T337" t="s">
        <v>30</v>
      </c>
    </row>
    <row r="338" spans="1:20" x14ac:dyDescent="0.3">
      <c r="A338">
        <v>10875</v>
      </c>
      <c r="B338" s="2">
        <v>45954</v>
      </c>
      <c r="C338" t="s">
        <v>49</v>
      </c>
      <c r="D338" t="s">
        <v>64</v>
      </c>
      <c r="E338" t="s">
        <v>22</v>
      </c>
      <c r="F338" t="s">
        <v>41</v>
      </c>
      <c r="G338" t="s">
        <v>74</v>
      </c>
      <c r="H338" t="s">
        <v>78</v>
      </c>
      <c r="I338" t="s">
        <v>316</v>
      </c>
      <c r="J338">
        <v>781</v>
      </c>
      <c r="K338">
        <v>25</v>
      </c>
      <c r="L338" t="s">
        <v>37</v>
      </c>
      <c r="M338">
        <v>101</v>
      </c>
      <c r="N338">
        <v>38.799999999999997</v>
      </c>
      <c r="O338">
        <v>61.6</v>
      </c>
      <c r="P338">
        <v>6.1</v>
      </c>
      <c r="Q338">
        <v>4.5599999999999996</v>
      </c>
      <c r="R338" t="s">
        <v>229</v>
      </c>
      <c r="S338" t="s">
        <v>73</v>
      </c>
      <c r="T338" t="s">
        <v>48</v>
      </c>
    </row>
    <row r="339" spans="1:20" x14ac:dyDescent="0.3">
      <c r="A339">
        <v>11139</v>
      </c>
      <c r="B339" s="2">
        <v>45975</v>
      </c>
      <c r="C339" t="s">
        <v>49</v>
      </c>
      <c r="D339" t="s">
        <v>21</v>
      </c>
      <c r="E339" t="s">
        <v>107</v>
      </c>
      <c r="F339" t="s">
        <v>81</v>
      </c>
      <c r="G339" t="s">
        <v>113</v>
      </c>
      <c r="H339" t="s">
        <v>114</v>
      </c>
      <c r="I339" t="s">
        <v>83</v>
      </c>
      <c r="J339">
        <v>774</v>
      </c>
      <c r="K339">
        <v>5</v>
      </c>
      <c r="L339" t="s">
        <v>37</v>
      </c>
      <c r="M339">
        <v>39</v>
      </c>
      <c r="N339">
        <v>43.8</v>
      </c>
      <c r="O339">
        <v>77.900000000000006</v>
      </c>
      <c r="P339">
        <v>4.63</v>
      </c>
      <c r="Q339">
        <v>2.04</v>
      </c>
      <c r="R339" t="s">
        <v>140</v>
      </c>
      <c r="S339" t="s">
        <v>73</v>
      </c>
      <c r="T339" t="s">
        <v>30</v>
      </c>
    </row>
    <row r="340" spans="1:20" x14ac:dyDescent="0.3">
      <c r="A340">
        <v>10539</v>
      </c>
      <c r="B340" s="2">
        <v>45798</v>
      </c>
      <c r="C340" t="s">
        <v>20</v>
      </c>
      <c r="D340" t="s">
        <v>21</v>
      </c>
      <c r="E340" t="s">
        <v>40</v>
      </c>
      <c r="F340" t="s">
        <v>81</v>
      </c>
      <c r="G340" t="s">
        <v>74</v>
      </c>
      <c r="H340" t="s">
        <v>172</v>
      </c>
      <c r="I340" t="s">
        <v>348</v>
      </c>
      <c r="J340">
        <v>1319</v>
      </c>
      <c r="K340">
        <v>7</v>
      </c>
      <c r="L340" t="s">
        <v>71</v>
      </c>
      <c r="M340">
        <v>173</v>
      </c>
      <c r="N340">
        <v>46.5</v>
      </c>
      <c r="O340">
        <v>76.5</v>
      </c>
      <c r="P340">
        <v>4.04</v>
      </c>
      <c r="Q340">
        <v>2.76</v>
      </c>
      <c r="R340" t="s">
        <v>152</v>
      </c>
      <c r="S340" t="s">
        <v>73</v>
      </c>
      <c r="T340" t="s">
        <v>30</v>
      </c>
    </row>
    <row r="341" spans="1:20" x14ac:dyDescent="0.3">
      <c r="A341">
        <v>10416</v>
      </c>
      <c r="B341" s="2">
        <v>45688</v>
      </c>
      <c r="C341" t="s">
        <v>20</v>
      </c>
      <c r="D341" t="s">
        <v>59</v>
      </c>
      <c r="E341" t="s">
        <v>107</v>
      </c>
      <c r="F341" t="s">
        <v>23</v>
      </c>
      <c r="G341" t="s">
        <v>50</v>
      </c>
      <c r="H341" t="s">
        <v>85</v>
      </c>
      <c r="I341" t="s">
        <v>212</v>
      </c>
      <c r="J341">
        <v>1015</v>
      </c>
      <c r="K341">
        <v>4</v>
      </c>
      <c r="L341" t="s">
        <v>71</v>
      </c>
      <c r="M341">
        <v>130</v>
      </c>
      <c r="N341">
        <v>51.7</v>
      </c>
      <c r="O341">
        <v>88.5</v>
      </c>
      <c r="P341">
        <v>5.82</v>
      </c>
      <c r="Q341">
        <v>3.45</v>
      </c>
      <c r="R341" t="s">
        <v>245</v>
      </c>
      <c r="S341" t="s">
        <v>39</v>
      </c>
      <c r="T341" t="s">
        <v>30</v>
      </c>
    </row>
    <row r="342" spans="1:20" x14ac:dyDescent="0.3">
      <c r="A342">
        <v>11409</v>
      </c>
      <c r="B342" s="2">
        <v>45692</v>
      </c>
      <c r="C342" t="s">
        <v>20</v>
      </c>
      <c r="D342" t="s">
        <v>21</v>
      </c>
      <c r="E342" t="s">
        <v>107</v>
      </c>
      <c r="F342" t="s">
        <v>81</v>
      </c>
      <c r="G342" t="s">
        <v>24</v>
      </c>
      <c r="H342" t="s">
        <v>55</v>
      </c>
      <c r="I342" t="s">
        <v>260</v>
      </c>
      <c r="J342">
        <v>1202</v>
      </c>
      <c r="K342">
        <v>26</v>
      </c>
      <c r="L342" t="s">
        <v>27</v>
      </c>
      <c r="M342">
        <v>62</v>
      </c>
      <c r="N342">
        <v>43</v>
      </c>
      <c r="O342">
        <v>74.7</v>
      </c>
      <c r="P342">
        <v>5.61</v>
      </c>
      <c r="Q342">
        <v>3.13</v>
      </c>
      <c r="R342" t="s">
        <v>184</v>
      </c>
      <c r="S342" t="s">
        <v>39</v>
      </c>
      <c r="T342" t="s">
        <v>30</v>
      </c>
    </row>
    <row r="343" spans="1:20" x14ac:dyDescent="0.3">
      <c r="A343">
        <v>10222</v>
      </c>
      <c r="B343" s="2">
        <v>45740</v>
      </c>
      <c r="C343" t="s">
        <v>20</v>
      </c>
      <c r="D343" t="s">
        <v>32</v>
      </c>
      <c r="E343" t="s">
        <v>22</v>
      </c>
      <c r="F343" t="s">
        <v>23</v>
      </c>
      <c r="G343" t="s">
        <v>50</v>
      </c>
      <c r="H343" t="s">
        <v>55</v>
      </c>
      <c r="I343" t="s">
        <v>347</v>
      </c>
      <c r="J343">
        <v>525</v>
      </c>
      <c r="K343">
        <v>17</v>
      </c>
      <c r="L343" t="s">
        <v>37</v>
      </c>
      <c r="M343">
        <v>160</v>
      </c>
      <c r="N343">
        <v>43.3</v>
      </c>
      <c r="O343">
        <v>63.6</v>
      </c>
      <c r="P343">
        <v>6.31</v>
      </c>
      <c r="Q343">
        <v>2.5</v>
      </c>
      <c r="R343" t="s">
        <v>80</v>
      </c>
      <c r="S343" t="s">
        <v>73</v>
      </c>
      <c r="T343" t="s">
        <v>48</v>
      </c>
    </row>
    <row r="344" spans="1:20" x14ac:dyDescent="0.3">
      <c r="A344">
        <v>10114</v>
      </c>
      <c r="B344" s="2">
        <v>45822</v>
      </c>
      <c r="C344" t="s">
        <v>49</v>
      </c>
      <c r="D344" t="s">
        <v>64</v>
      </c>
      <c r="E344" t="s">
        <v>33</v>
      </c>
      <c r="F344" t="s">
        <v>23</v>
      </c>
      <c r="G344" t="s">
        <v>50</v>
      </c>
      <c r="H344" t="s">
        <v>93</v>
      </c>
      <c r="I344" t="s">
        <v>102</v>
      </c>
      <c r="J344">
        <v>1393</v>
      </c>
      <c r="K344">
        <v>20</v>
      </c>
      <c r="L344" t="s">
        <v>45</v>
      </c>
      <c r="M344">
        <v>53</v>
      </c>
      <c r="N344">
        <v>45.3</v>
      </c>
      <c r="O344">
        <v>71.7</v>
      </c>
      <c r="P344">
        <v>3.91</v>
      </c>
      <c r="Q344">
        <v>4.08</v>
      </c>
      <c r="R344" t="s">
        <v>232</v>
      </c>
      <c r="S344" t="s">
        <v>73</v>
      </c>
      <c r="T344" t="s">
        <v>30</v>
      </c>
    </row>
    <row r="345" spans="1:20" x14ac:dyDescent="0.3">
      <c r="A345">
        <v>10579</v>
      </c>
      <c r="B345" s="2">
        <v>45765</v>
      </c>
      <c r="C345" t="s">
        <v>20</v>
      </c>
      <c r="D345" t="s">
        <v>32</v>
      </c>
      <c r="E345" t="s">
        <v>22</v>
      </c>
      <c r="F345" t="s">
        <v>23</v>
      </c>
      <c r="G345" t="s">
        <v>74</v>
      </c>
      <c r="H345" t="s">
        <v>35</v>
      </c>
      <c r="I345" t="s">
        <v>349</v>
      </c>
      <c r="J345">
        <v>458</v>
      </c>
      <c r="K345">
        <v>9</v>
      </c>
      <c r="L345" t="s">
        <v>37</v>
      </c>
      <c r="M345">
        <v>84</v>
      </c>
      <c r="N345">
        <v>38.5</v>
      </c>
      <c r="O345">
        <v>60.1</v>
      </c>
      <c r="P345">
        <v>5.16</v>
      </c>
      <c r="Q345">
        <v>1.06</v>
      </c>
      <c r="R345" t="s">
        <v>105</v>
      </c>
      <c r="S345" t="s">
        <v>29</v>
      </c>
      <c r="T345" t="s">
        <v>30</v>
      </c>
    </row>
    <row r="346" spans="1:20" x14ac:dyDescent="0.3">
      <c r="A346">
        <v>10590</v>
      </c>
      <c r="B346" s="2">
        <v>45830</v>
      </c>
      <c r="C346" t="s">
        <v>49</v>
      </c>
      <c r="D346" t="s">
        <v>21</v>
      </c>
      <c r="E346" t="s">
        <v>107</v>
      </c>
      <c r="F346" t="s">
        <v>41</v>
      </c>
      <c r="G346" t="s">
        <v>113</v>
      </c>
      <c r="H346" t="s">
        <v>165</v>
      </c>
      <c r="I346" t="s">
        <v>142</v>
      </c>
      <c r="J346">
        <v>1296</v>
      </c>
      <c r="K346">
        <v>13</v>
      </c>
      <c r="L346" t="s">
        <v>68</v>
      </c>
      <c r="M346">
        <v>89</v>
      </c>
      <c r="N346">
        <v>52.2</v>
      </c>
      <c r="O346">
        <v>68.2</v>
      </c>
      <c r="P346">
        <v>4.62</v>
      </c>
      <c r="Q346">
        <v>2.95</v>
      </c>
      <c r="R346" t="s">
        <v>153</v>
      </c>
      <c r="S346" t="s">
        <v>73</v>
      </c>
      <c r="T346" t="s">
        <v>30</v>
      </c>
    </row>
    <row r="347" spans="1:20" x14ac:dyDescent="0.3">
      <c r="A347">
        <v>10175</v>
      </c>
      <c r="B347" s="2">
        <v>45833</v>
      </c>
      <c r="C347" t="s">
        <v>49</v>
      </c>
      <c r="D347" t="s">
        <v>64</v>
      </c>
      <c r="E347" t="s">
        <v>33</v>
      </c>
      <c r="F347" t="s">
        <v>23</v>
      </c>
      <c r="G347" t="s">
        <v>74</v>
      </c>
      <c r="H347" t="s">
        <v>138</v>
      </c>
      <c r="I347" t="s">
        <v>219</v>
      </c>
      <c r="J347">
        <v>532</v>
      </c>
      <c r="K347">
        <v>8</v>
      </c>
      <c r="L347" t="s">
        <v>57</v>
      </c>
      <c r="M347">
        <v>89</v>
      </c>
      <c r="N347">
        <v>41.1</v>
      </c>
      <c r="O347">
        <v>78.599999999999994</v>
      </c>
      <c r="P347">
        <v>4.8499999999999996</v>
      </c>
      <c r="Q347">
        <v>1.03</v>
      </c>
      <c r="R347" t="s">
        <v>53</v>
      </c>
      <c r="S347" t="s">
        <v>39</v>
      </c>
      <c r="T347" t="s">
        <v>30</v>
      </c>
    </row>
    <row r="348" spans="1:20" x14ac:dyDescent="0.3">
      <c r="A348">
        <v>11359</v>
      </c>
      <c r="B348" s="2">
        <v>45769</v>
      </c>
      <c r="C348" t="s">
        <v>49</v>
      </c>
      <c r="D348" t="s">
        <v>64</v>
      </c>
      <c r="E348" t="s">
        <v>40</v>
      </c>
      <c r="F348" t="s">
        <v>41</v>
      </c>
      <c r="G348" t="s">
        <v>60</v>
      </c>
      <c r="H348" t="s">
        <v>61</v>
      </c>
      <c r="I348" t="s">
        <v>239</v>
      </c>
      <c r="J348">
        <v>1408</v>
      </c>
      <c r="K348">
        <v>16</v>
      </c>
      <c r="L348" t="s">
        <v>27</v>
      </c>
      <c r="M348">
        <v>54</v>
      </c>
      <c r="N348">
        <v>40.9</v>
      </c>
      <c r="O348">
        <v>74.7</v>
      </c>
      <c r="P348">
        <v>5.17</v>
      </c>
      <c r="Q348">
        <v>4.05</v>
      </c>
      <c r="R348" t="s">
        <v>140</v>
      </c>
      <c r="S348" t="s">
        <v>29</v>
      </c>
      <c r="T348" t="s">
        <v>30</v>
      </c>
    </row>
    <row r="349" spans="1:20" x14ac:dyDescent="0.3">
      <c r="A349">
        <v>10362</v>
      </c>
      <c r="B349" s="2">
        <v>45906</v>
      </c>
      <c r="C349" t="s">
        <v>106</v>
      </c>
      <c r="D349" t="s">
        <v>64</v>
      </c>
      <c r="E349" t="s">
        <v>33</v>
      </c>
      <c r="F349" t="s">
        <v>23</v>
      </c>
      <c r="G349" t="s">
        <v>24</v>
      </c>
      <c r="H349" t="s">
        <v>177</v>
      </c>
      <c r="I349" t="s">
        <v>115</v>
      </c>
      <c r="J349">
        <v>673</v>
      </c>
      <c r="K349">
        <v>4</v>
      </c>
      <c r="L349" t="s">
        <v>57</v>
      </c>
      <c r="M349">
        <v>94</v>
      </c>
      <c r="N349">
        <v>46</v>
      </c>
      <c r="O349">
        <v>65.8</v>
      </c>
      <c r="P349">
        <v>5.15</v>
      </c>
      <c r="Q349">
        <v>0.96</v>
      </c>
      <c r="R349" t="s">
        <v>72</v>
      </c>
      <c r="S349" t="s">
        <v>29</v>
      </c>
      <c r="T349" t="s">
        <v>30</v>
      </c>
    </row>
    <row r="350" spans="1:20" x14ac:dyDescent="0.3">
      <c r="A350">
        <v>11186</v>
      </c>
      <c r="B350" s="2">
        <v>45790</v>
      </c>
      <c r="C350" t="s">
        <v>31</v>
      </c>
      <c r="D350" t="s">
        <v>59</v>
      </c>
      <c r="E350" t="s">
        <v>22</v>
      </c>
      <c r="F350" t="s">
        <v>23</v>
      </c>
      <c r="G350" t="s">
        <v>60</v>
      </c>
      <c r="H350" t="s">
        <v>193</v>
      </c>
      <c r="I350" t="s">
        <v>206</v>
      </c>
      <c r="J350">
        <v>1515</v>
      </c>
      <c r="K350">
        <v>22</v>
      </c>
      <c r="L350" t="s">
        <v>37</v>
      </c>
      <c r="M350">
        <v>173</v>
      </c>
      <c r="N350">
        <v>33.200000000000003</v>
      </c>
      <c r="O350">
        <v>74.599999999999994</v>
      </c>
      <c r="P350">
        <v>5.84</v>
      </c>
      <c r="Q350">
        <v>1.17</v>
      </c>
      <c r="R350" t="s">
        <v>58</v>
      </c>
      <c r="S350" t="s">
        <v>47</v>
      </c>
      <c r="T350" t="s">
        <v>30</v>
      </c>
    </row>
    <row r="351" spans="1:20" x14ac:dyDescent="0.3">
      <c r="A351">
        <v>11024</v>
      </c>
      <c r="B351" s="2">
        <v>46021</v>
      </c>
      <c r="C351" t="s">
        <v>291</v>
      </c>
      <c r="D351" t="s">
        <v>64</v>
      </c>
      <c r="E351" t="s">
        <v>107</v>
      </c>
      <c r="F351" t="s">
        <v>23</v>
      </c>
      <c r="G351" t="s">
        <v>42</v>
      </c>
      <c r="H351" t="s">
        <v>148</v>
      </c>
      <c r="I351" t="s">
        <v>264</v>
      </c>
      <c r="J351">
        <v>776</v>
      </c>
      <c r="K351">
        <v>3</v>
      </c>
      <c r="L351" t="s">
        <v>45</v>
      </c>
      <c r="M351">
        <v>61</v>
      </c>
      <c r="N351">
        <v>37.299999999999997</v>
      </c>
      <c r="O351">
        <v>77.7</v>
      </c>
      <c r="P351">
        <v>5.5</v>
      </c>
      <c r="Q351">
        <v>1.39</v>
      </c>
      <c r="R351" t="s">
        <v>153</v>
      </c>
      <c r="S351" t="s">
        <v>47</v>
      </c>
      <c r="T351" t="s">
        <v>30</v>
      </c>
    </row>
    <row r="352" spans="1:20" x14ac:dyDescent="0.3">
      <c r="A352">
        <v>10994</v>
      </c>
      <c r="B352" s="2">
        <v>45859</v>
      </c>
      <c r="C352" t="s">
        <v>20</v>
      </c>
      <c r="D352" t="s">
        <v>59</v>
      </c>
      <c r="E352" t="s">
        <v>40</v>
      </c>
      <c r="F352" t="s">
        <v>81</v>
      </c>
      <c r="G352" t="s">
        <v>74</v>
      </c>
      <c r="H352" t="s">
        <v>93</v>
      </c>
      <c r="I352" t="s">
        <v>239</v>
      </c>
      <c r="J352">
        <v>1153</v>
      </c>
      <c r="K352">
        <v>13</v>
      </c>
      <c r="L352" t="s">
        <v>45</v>
      </c>
      <c r="M352">
        <v>63</v>
      </c>
      <c r="N352">
        <v>38.700000000000003</v>
      </c>
      <c r="O352">
        <v>88.7</v>
      </c>
      <c r="P352">
        <v>5.24</v>
      </c>
      <c r="Q352">
        <v>1.48</v>
      </c>
      <c r="R352" t="s">
        <v>77</v>
      </c>
      <c r="S352" t="s">
        <v>29</v>
      </c>
      <c r="T352" t="s">
        <v>30</v>
      </c>
    </row>
    <row r="353" spans="1:20" x14ac:dyDescent="0.3">
      <c r="A353">
        <v>10286</v>
      </c>
      <c r="B353" s="2">
        <v>45951</v>
      </c>
      <c r="C353" t="s">
        <v>31</v>
      </c>
      <c r="D353" t="s">
        <v>59</v>
      </c>
      <c r="E353" t="s">
        <v>107</v>
      </c>
      <c r="F353" t="s">
        <v>81</v>
      </c>
      <c r="G353" t="s">
        <v>134</v>
      </c>
      <c r="H353" t="s">
        <v>213</v>
      </c>
      <c r="I353" t="s">
        <v>185</v>
      </c>
      <c r="J353">
        <v>535</v>
      </c>
      <c r="K353" t="s">
        <v>350</v>
      </c>
      <c r="L353" t="s">
        <v>37</v>
      </c>
      <c r="M353">
        <v>61</v>
      </c>
      <c r="N353">
        <v>41.3</v>
      </c>
      <c r="O353">
        <v>59.2</v>
      </c>
      <c r="P353">
        <v>4.59</v>
      </c>
      <c r="Q353">
        <v>2.66</v>
      </c>
      <c r="R353" t="s">
        <v>202</v>
      </c>
      <c r="S353" t="s">
        <v>47</v>
      </c>
      <c r="T353" t="s">
        <v>30</v>
      </c>
    </row>
    <row r="354" spans="1:20" x14ac:dyDescent="0.3">
      <c r="A354">
        <v>11245</v>
      </c>
      <c r="B354" s="2">
        <v>45792</v>
      </c>
      <c r="C354" t="s">
        <v>49</v>
      </c>
      <c r="D354" t="s">
        <v>32</v>
      </c>
      <c r="E354" t="s">
        <v>40</v>
      </c>
      <c r="F354" t="s">
        <v>23</v>
      </c>
      <c r="G354" t="s">
        <v>50</v>
      </c>
      <c r="H354" t="s">
        <v>126</v>
      </c>
      <c r="I354" t="s">
        <v>275</v>
      </c>
      <c r="J354">
        <v>1186</v>
      </c>
      <c r="K354">
        <v>11</v>
      </c>
      <c r="L354" t="s">
        <v>27</v>
      </c>
      <c r="M354">
        <v>80</v>
      </c>
      <c r="N354">
        <v>31.8</v>
      </c>
      <c r="O354">
        <v>64.2</v>
      </c>
      <c r="P354">
        <v>4.99</v>
      </c>
      <c r="Q354">
        <v>0.84</v>
      </c>
      <c r="R354" t="s">
        <v>202</v>
      </c>
      <c r="S354" t="s">
        <v>39</v>
      </c>
      <c r="T354" t="s">
        <v>30</v>
      </c>
    </row>
    <row r="355" spans="1:20" x14ac:dyDescent="0.3">
      <c r="A355">
        <v>10381</v>
      </c>
      <c r="B355" s="2">
        <v>45821</v>
      </c>
      <c r="C355" t="s">
        <v>20</v>
      </c>
      <c r="D355" t="s">
        <v>32</v>
      </c>
      <c r="E355" t="s">
        <v>107</v>
      </c>
      <c r="F355" t="s">
        <v>23</v>
      </c>
      <c r="G355" t="s">
        <v>109</v>
      </c>
      <c r="H355" t="s">
        <v>25</v>
      </c>
      <c r="I355" t="s">
        <v>142</v>
      </c>
      <c r="J355">
        <v>1149</v>
      </c>
      <c r="K355">
        <v>25</v>
      </c>
      <c r="L355" t="s">
        <v>57</v>
      </c>
      <c r="M355">
        <v>55</v>
      </c>
      <c r="N355">
        <v>49</v>
      </c>
      <c r="O355">
        <v>64.8</v>
      </c>
      <c r="P355">
        <v>5.41</v>
      </c>
      <c r="Q355">
        <v>2.77</v>
      </c>
      <c r="R355" t="s">
        <v>80</v>
      </c>
      <c r="S355" t="s">
        <v>39</v>
      </c>
      <c r="T355" t="s">
        <v>30</v>
      </c>
    </row>
    <row r="356" spans="1:20" x14ac:dyDescent="0.3">
      <c r="A356">
        <v>11207</v>
      </c>
      <c r="B356" s="2">
        <v>45693</v>
      </c>
      <c r="C356" t="s">
        <v>49</v>
      </c>
      <c r="D356" t="s">
        <v>64</v>
      </c>
      <c r="E356" t="s">
        <v>107</v>
      </c>
      <c r="F356" t="s">
        <v>41</v>
      </c>
      <c r="G356" t="s">
        <v>54</v>
      </c>
      <c r="H356" t="s">
        <v>88</v>
      </c>
      <c r="I356" t="s">
        <v>248</v>
      </c>
      <c r="J356">
        <v>1234</v>
      </c>
      <c r="K356">
        <v>21</v>
      </c>
      <c r="L356" t="s">
        <v>27</v>
      </c>
      <c r="M356">
        <v>19</v>
      </c>
      <c r="N356">
        <v>50.2</v>
      </c>
      <c r="O356">
        <v>64.8</v>
      </c>
      <c r="P356">
        <v>4.88</v>
      </c>
      <c r="Q356">
        <v>1.17</v>
      </c>
      <c r="R356" t="s">
        <v>153</v>
      </c>
      <c r="S356" t="s">
        <v>29</v>
      </c>
      <c r="T356" t="s">
        <v>30</v>
      </c>
    </row>
    <row r="357" spans="1:20" x14ac:dyDescent="0.3">
      <c r="A357">
        <v>10032</v>
      </c>
      <c r="B357" s="2">
        <v>45755</v>
      </c>
      <c r="C357" t="s">
        <v>106</v>
      </c>
      <c r="D357" t="s">
        <v>59</v>
      </c>
      <c r="E357" t="s">
        <v>40</v>
      </c>
      <c r="F357" t="s">
        <v>41</v>
      </c>
      <c r="G357" t="s">
        <v>42</v>
      </c>
      <c r="H357" t="s">
        <v>165</v>
      </c>
      <c r="I357" t="s">
        <v>343</v>
      </c>
      <c r="J357">
        <v>1027</v>
      </c>
      <c r="K357">
        <v>79</v>
      </c>
      <c r="L357" t="s">
        <v>37</v>
      </c>
      <c r="M357">
        <v>34</v>
      </c>
      <c r="N357">
        <v>48.9</v>
      </c>
      <c r="O357">
        <v>74.599999999999994</v>
      </c>
      <c r="P357">
        <v>5.19</v>
      </c>
      <c r="Q357">
        <v>3.68</v>
      </c>
      <c r="R357" t="s">
        <v>164</v>
      </c>
      <c r="S357" t="s">
        <v>47</v>
      </c>
      <c r="T357" t="s">
        <v>48</v>
      </c>
    </row>
    <row r="358" spans="1:20" x14ac:dyDescent="0.3">
      <c r="A358">
        <v>10839</v>
      </c>
      <c r="B358" s="2">
        <v>46008</v>
      </c>
      <c r="C358" t="s">
        <v>31</v>
      </c>
      <c r="D358" t="s">
        <v>59</v>
      </c>
      <c r="E358" t="s">
        <v>33</v>
      </c>
      <c r="F358" t="s">
        <v>41</v>
      </c>
      <c r="G358" t="s">
        <v>42</v>
      </c>
      <c r="H358" t="s">
        <v>265</v>
      </c>
      <c r="I358" t="s">
        <v>258</v>
      </c>
      <c r="J358">
        <v>1541</v>
      </c>
      <c r="K358">
        <v>19</v>
      </c>
      <c r="L358" t="s">
        <v>27</v>
      </c>
      <c r="M358">
        <v>124</v>
      </c>
      <c r="N358">
        <v>51.3</v>
      </c>
      <c r="O358">
        <v>67.599999999999994</v>
      </c>
      <c r="P358">
        <v>3.71</v>
      </c>
      <c r="Q358">
        <v>1.96</v>
      </c>
      <c r="R358" t="s">
        <v>242</v>
      </c>
      <c r="S358" t="s">
        <v>29</v>
      </c>
      <c r="T358" t="s">
        <v>30</v>
      </c>
    </row>
    <row r="359" spans="1:20" x14ac:dyDescent="0.3">
      <c r="A359">
        <v>10211</v>
      </c>
      <c r="B359" s="2">
        <v>45868</v>
      </c>
      <c r="C359" t="s">
        <v>31</v>
      </c>
      <c r="D359" t="s">
        <v>21</v>
      </c>
      <c r="E359" t="s">
        <v>22</v>
      </c>
      <c r="F359" t="s">
        <v>23</v>
      </c>
      <c r="G359" t="s">
        <v>113</v>
      </c>
      <c r="H359" t="s">
        <v>144</v>
      </c>
      <c r="I359" t="s">
        <v>322</v>
      </c>
      <c r="J359">
        <v>1369</v>
      </c>
      <c r="K359">
        <v>43</v>
      </c>
      <c r="L359" t="s">
        <v>37</v>
      </c>
      <c r="M359">
        <v>19</v>
      </c>
      <c r="N359">
        <v>49.7</v>
      </c>
      <c r="O359">
        <v>71.099999999999994</v>
      </c>
      <c r="P359">
        <v>5.87</v>
      </c>
      <c r="Q359">
        <v>1.73</v>
      </c>
      <c r="R359" t="s">
        <v>174</v>
      </c>
      <c r="S359" t="s">
        <v>39</v>
      </c>
      <c r="T359" t="s">
        <v>48</v>
      </c>
    </row>
    <row r="360" spans="1:20" x14ac:dyDescent="0.3">
      <c r="A360">
        <v>11190</v>
      </c>
      <c r="B360" s="2">
        <v>45814</v>
      </c>
      <c r="C360" t="s">
        <v>49</v>
      </c>
      <c r="D360" t="s">
        <v>21</v>
      </c>
      <c r="E360" t="s">
        <v>107</v>
      </c>
      <c r="F360" t="s">
        <v>23</v>
      </c>
      <c r="G360" t="s">
        <v>42</v>
      </c>
      <c r="H360" t="s">
        <v>205</v>
      </c>
      <c r="I360" t="s">
        <v>348</v>
      </c>
      <c r="J360">
        <v>1155</v>
      </c>
      <c r="K360">
        <v>11</v>
      </c>
      <c r="L360" t="s">
        <v>68</v>
      </c>
      <c r="M360">
        <v>136</v>
      </c>
      <c r="N360">
        <v>36.1</v>
      </c>
      <c r="O360">
        <v>68.2</v>
      </c>
      <c r="P360">
        <v>4.3899999999999997</v>
      </c>
      <c r="Q360">
        <v>1.59</v>
      </c>
      <c r="R360" t="s">
        <v>128</v>
      </c>
      <c r="S360" t="s">
        <v>39</v>
      </c>
      <c r="T360" t="s">
        <v>30</v>
      </c>
    </row>
    <row r="361" spans="1:20" x14ac:dyDescent="0.3">
      <c r="A361">
        <v>10452</v>
      </c>
      <c r="B361" s="2">
        <v>45891</v>
      </c>
      <c r="C361" t="s">
        <v>49</v>
      </c>
      <c r="D361" t="s">
        <v>32</v>
      </c>
      <c r="E361" t="s">
        <v>40</v>
      </c>
      <c r="F361" t="s">
        <v>23</v>
      </c>
      <c r="G361" t="s">
        <v>60</v>
      </c>
      <c r="H361" t="s">
        <v>148</v>
      </c>
      <c r="I361" t="s">
        <v>79</v>
      </c>
      <c r="J361">
        <v>577</v>
      </c>
      <c r="K361">
        <v>7</v>
      </c>
      <c r="L361" t="s">
        <v>27</v>
      </c>
      <c r="M361">
        <v>56</v>
      </c>
      <c r="N361">
        <v>36.299999999999997</v>
      </c>
      <c r="O361">
        <v>77.5</v>
      </c>
      <c r="P361">
        <v>3.95</v>
      </c>
      <c r="Q361">
        <v>4.3600000000000003</v>
      </c>
      <c r="R361" t="s">
        <v>167</v>
      </c>
      <c r="S361" t="s">
        <v>73</v>
      </c>
      <c r="T361" t="s">
        <v>30</v>
      </c>
    </row>
    <row r="362" spans="1:20" x14ac:dyDescent="0.3">
      <c r="A362">
        <v>10819</v>
      </c>
      <c r="B362" s="2">
        <v>45944</v>
      </c>
      <c r="C362" t="s">
        <v>31</v>
      </c>
      <c r="D362" t="s">
        <v>59</v>
      </c>
      <c r="E362" t="s">
        <v>33</v>
      </c>
      <c r="F362" t="s">
        <v>41</v>
      </c>
      <c r="G362" t="s">
        <v>134</v>
      </c>
      <c r="H362" t="s">
        <v>192</v>
      </c>
      <c r="I362" t="s">
        <v>331</v>
      </c>
      <c r="J362">
        <v>1321</v>
      </c>
      <c r="K362">
        <v>5</v>
      </c>
      <c r="L362" t="s">
        <v>71</v>
      </c>
      <c r="M362">
        <v>102</v>
      </c>
      <c r="N362">
        <v>38.799999999999997</v>
      </c>
      <c r="O362">
        <v>76.400000000000006</v>
      </c>
      <c r="P362">
        <v>4.96</v>
      </c>
      <c r="Q362">
        <v>3.51</v>
      </c>
      <c r="R362" t="s">
        <v>130</v>
      </c>
      <c r="S362" t="s">
        <v>47</v>
      </c>
      <c r="T362" t="s">
        <v>30</v>
      </c>
    </row>
    <row r="363" spans="1:20" x14ac:dyDescent="0.3">
      <c r="A363">
        <v>11044</v>
      </c>
      <c r="B363" s="2">
        <v>45968</v>
      </c>
      <c r="C363" t="s">
        <v>20</v>
      </c>
      <c r="D363" t="s">
        <v>21</v>
      </c>
      <c r="E363" t="s">
        <v>33</v>
      </c>
      <c r="F363" t="s">
        <v>108</v>
      </c>
      <c r="G363" t="s">
        <v>134</v>
      </c>
      <c r="H363" t="s">
        <v>205</v>
      </c>
      <c r="I363" t="s">
        <v>176</v>
      </c>
      <c r="J363">
        <v>1220</v>
      </c>
      <c r="K363">
        <v>10</v>
      </c>
      <c r="L363" t="s">
        <v>37</v>
      </c>
      <c r="M363">
        <v>144</v>
      </c>
      <c r="N363">
        <v>36.799999999999997</v>
      </c>
      <c r="O363">
        <v>76.8</v>
      </c>
      <c r="P363">
        <v>4.83</v>
      </c>
      <c r="Q363">
        <v>2.13</v>
      </c>
      <c r="R363" t="s">
        <v>227</v>
      </c>
      <c r="S363" t="s">
        <v>73</v>
      </c>
      <c r="T363" t="s">
        <v>30</v>
      </c>
    </row>
    <row r="364" spans="1:20" x14ac:dyDescent="0.3">
      <c r="A364">
        <v>10944</v>
      </c>
      <c r="B364" s="2">
        <v>45773</v>
      </c>
      <c r="C364" t="s">
        <v>20</v>
      </c>
      <c r="D364" t="s">
        <v>59</v>
      </c>
      <c r="E364" t="s">
        <v>33</v>
      </c>
      <c r="F364" t="s">
        <v>41</v>
      </c>
      <c r="G364" t="s">
        <v>54</v>
      </c>
      <c r="H364" t="s">
        <v>126</v>
      </c>
      <c r="I364" t="s">
        <v>79</v>
      </c>
      <c r="J364">
        <v>893</v>
      </c>
      <c r="K364">
        <v>7</v>
      </c>
      <c r="L364" t="s">
        <v>71</v>
      </c>
      <c r="M364">
        <v>53</v>
      </c>
      <c r="N364">
        <v>47.6</v>
      </c>
      <c r="O364">
        <v>52.6</v>
      </c>
      <c r="P364">
        <v>6.69</v>
      </c>
      <c r="Q364">
        <v>2.87</v>
      </c>
      <c r="R364" t="s">
        <v>240</v>
      </c>
      <c r="S364" t="s">
        <v>29</v>
      </c>
      <c r="T364" t="s">
        <v>30</v>
      </c>
    </row>
    <row r="365" spans="1:20" x14ac:dyDescent="0.3">
      <c r="A365">
        <v>10375</v>
      </c>
      <c r="B365" s="2">
        <v>45700</v>
      </c>
      <c r="C365" t="s">
        <v>49</v>
      </c>
      <c r="D365" t="s">
        <v>32</v>
      </c>
      <c r="E365" t="s">
        <v>33</v>
      </c>
      <c r="F365" t="s">
        <v>23</v>
      </c>
      <c r="G365" t="s">
        <v>109</v>
      </c>
      <c r="H365" t="s">
        <v>351</v>
      </c>
      <c r="I365" t="s">
        <v>301</v>
      </c>
      <c r="J365">
        <v>520</v>
      </c>
      <c r="K365">
        <v>2</v>
      </c>
      <c r="L365" t="s">
        <v>68</v>
      </c>
      <c r="M365">
        <v>38</v>
      </c>
      <c r="N365">
        <v>49.9</v>
      </c>
      <c r="O365">
        <v>67.900000000000006</v>
      </c>
      <c r="P365">
        <v>6.21</v>
      </c>
      <c r="Q365">
        <v>2.27</v>
      </c>
      <c r="R365" t="s">
        <v>105</v>
      </c>
      <c r="S365" t="s">
        <v>47</v>
      </c>
      <c r="T365" t="s">
        <v>30</v>
      </c>
    </row>
    <row r="366" spans="1:20" x14ac:dyDescent="0.3">
      <c r="A366">
        <v>10463</v>
      </c>
      <c r="B366" s="2">
        <v>45728</v>
      </c>
      <c r="C366" t="s">
        <v>20</v>
      </c>
      <c r="D366" t="s">
        <v>64</v>
      </c>
      <c r="E366" t="s">
        <v>22</v>
      </c>
      <c r="F366" t="s">
        <v>23</v>
      </c>
      <c r="G366" t="s">
        <v>109</v>
      </c>
      <c r="H366" t="s">
        <v>131</v>
      </c>
      <c r="I366" t="s">
        <v>231</v>
      </c>
      <c r="J366">
        <v>508</v>
      </c>
      <c r="K366">
        <v>2</v>
      </c>
      <c r="L366" t="s">
        <v>27</v>
      </c>
      <c r="M366">
        <v>136</v>
      </c>
      <c r="N366">
        <v>50.3</v>
      </c>
      <c r="O366">
        <v>61.8</v>
      </c>
      <c r="P366">
        <v>4.92</v>
      </c>
      <c r="Q366">
        <v>4.67</v>
      </c>
      <c r="R366" t="s">
        <v>122</v>
      </c>
      <c r="S366" t="s">
        <v>73</v>
      </c>
      <c r="T366" t="s">
        <v>30</v>
      </c>
    </row>
    <row r="367" spans="1:20" x14ac:dyDescent="0.3">
      <c r="A367">
        <v>10189</v>
      </c>
      <c r="B367" s="2">
        <v>45902</v>
      </c>
      <c r="C367" t="s">
        <v>49</v>
      </c>
      <c r="D367" t="s">
        <v>59</v>
      </c>
      <c r="E367" t="s">
        <v>33</v>
      </c>
      <c r="F367" t="s">
        <v>23</v>
      </c>
      <c r="G367" t="s">
        <v>113</v>
      </c>
      <c r="H367" t="s">
        <v>144</v>
      </c>
      <c r="I367" t="s">
        <v>214</v>
      </c>
      <c r="J367">
        <v>850</v>
      </c>
      <c r="K367">
        <v>26</v>
      </c>
      <c r="L367" t="s">
        <v>37</v>
      </c>
      <c r="M367">
        <v>108</v>
      </c>
      <c r="N367">
        <v>34.4</v>
      </c>
      <c r="O367">
        <v>65.7</v>
      </c>
      <c r="P367">
        <v>4.9000000000000004</v>
      </c>
      <c r="Q367">
        <v>1.25</v>
      </c>
      <c r="R367" t="s">
        <v>28</v>
      </c>
      <c r="S367" t="s">
        <v>29</v>
      </c>
      <c r="T367" t="s">
        <v>48</v>
      </c>
    </row>
    <row r="368" spans="1:20" x14ac:dyDescent="0.3">
      <c r="A368">
        <v>11067</v>
      </c>
      <c r="B368" s="2">
        <v>45994</v>
      </c>
      <c r="C368" t="s">
        <v>207</v>
      </c>
      <c r="D368" t="s">
        <v>21</v>
      </c>
      <c r="E368" t="s">
        <v>40</v>
      </c>
      <c r="F368" t="s">
        <v>23</v>
      </c>
      <c r="G368" t="s">
        <v>42</v>
      </c>
      <c r="I368" t="s">
        <v>333</v>
      </c>
      <c r="J368">
        <v>865</v>
      </c>
      <c r="K368">
        <v>20</v>
      </c>
      <c r="L368" t="s">
        <v>68</v>
      </c>
      <c r="M368">
        <v>22</v>
      </c>
      <c r="N368">
        <v>38.799999999999997</v>
      </c>
      <c r="O368">
        <v>91.4</v>
      </c>
      <c r="P368">
        <v>4.67</v>
      </c>
      <c r="Q368">
        <v>2.25</v>
      </c>
      <c r="R368" t="s">
        <v>128</v>
      </c>
      <c r="S368" t="s">
        <v>73</v>
      </c>
      <c r="T368" t="s">
        <v>30</v>
      </c>
    </row>
    <row r="369" spans="1:20" x14ac:dyDescent="0.3">
      <c r="A369">
        <v>11000</v>
      </c>
      <c r="B369" s="2">
        <v>45766</v>
      </c>
      <c r="C369" t="s">
        <v>20</v>
      </c>
      <c r="D369" t="s">
        <v>32</v>
      </c>
      <c r="E369" t="s">
        <v>33</v>
      </c>
      <c r="F369" t="s">
        <v>23</v>
      </c>
      <c r="G369" t="s">
        <v>60</v>
      </c>
      <c r="H369" t="s">
        <v>66</v>
      </c>
      <c r="I369" t="s">
        <v>233</v>
      </c>
      <c r="J369">
        <v>519</v>
      </c>
      <c r="K369">
        <v>4</v>
      </c>
      <c r="M369">
        <v>174</v>
      </c>
      <c r="N369">
        <v>35.700000000000003</v>
      </c>
      <c r="O369">
        <v>74.5</v>
      </c>
      <c r="P369">
        <v>6.93</v>
      </c>
      <c r="Q369">
        <v>2.67</v>
      </c>
      <c r="R369" t="s">
        <v>128</v>
      </c>
      <c r="S369" t="s">
        <v>29</v>
      </c>
      <c r="T369" t="s">
        <v>30</v>
      </c>
    </row>
    <row r="370" spans="1:20" x14ac:dyDescent="0.3">
      <c r="A370">
        <v>11390</v>
      </c>
      <c r="B370" s="2">
        <v>45982</v>
      </c>
      <c r="C370" t="s">
        <v>49</v>
      </c>
      <c r="D370" t="s">
        <v>21</v>
      </c>
      <c r="E370" t="s">
        <v>107</v>
      </c>
      <c r="F370" t="s">
        <v>108</v>
      </c>
      <c r="G370" t="s">
        <v>60</v>
      </c>
      <c r="H370" t="s">
        <v>144</v>
      </c>
      <c r="I370" t="s">
        <v>352</v>
      </c>
      <c r="J370">
        <v>584</v>
      </c>
      <c r="K370">
        <v>7</v>
      </c>
      <c r="L370" t="s">
        <v>27</v>
      </c>
      <c r="M370">
        <v>163</v>
      </c>
      <c r="N370">
        <v>48.7</v>
      </c>
      <c r="O370">
        <v>80.2</v>
      </c>
      <c r="P370">
        <v>4.83</v>
      </c>
      <c r="Q370">
        <v>2.35</v>
      </c>
      <c r="R370" t="s">
        <v>174</v>
      </c>
      <c r="S370" t="s">
        <v>39</v>
      </c>
      <c r="T370" t="s">
        <v>30</v>
      </c>
    </row>
    <row r="371" spans="1:20" x14ac:dyDescent="0.3">
      <c r="A371">
        <v>11047</v>
      </c>
      <c r="B371" s="2">
        <v>45766</v>
      </c>
      <c r="C371" t="s">
        <v>49</v>
      </c>
      <c r="D371" t="s">
        <v>32</v>
      </c>
      <c r="E371" t="s">
        <v>107</v>
      </c>
      <c r="F371" t="s">
        <v>41</v>
      </c>
      <c r="G371" t="s">
        <v>60</v>
      </c>
      <c r="H371" t="s">
        <v>205</v>
      </c>
      <c r="I371" t="s">
        <v>221</v>
      </c>
      <c r="J371">
        <v>523</v>
      </c>
      <c r="K371">
        <v>7</v>
      </c>
      <c r="L371" t="s">
        <v>37</v>
      </c>
      <c r="M371">
        <v>50</v>
      </c>
      <c r="N371">
        <v>25.3</v>
      </c>
      <c r="O371">
        <v>70.099999999999994</v>
      </c>
      <c r="P371">
        <v>5.17</v>
      </c>
      <c r="Q371">
        <v>4.21</v>
      </c>
      <c r="R371" t="s">
        <v>222</v>
      </c>
      <c r="S371" t="s">
        <v>39</v>
      </c>
      <c r="T371" t="s">
        <v>30</v>
      </c>
    </row>
    <row r="372" spans="1:20" x14ac:dyDescent="0.3">
      <c r="A372">
        <v>10382</v>
      </c>
      <c r="B372" s="2">
        <v>46000</v>
      </c>
      <c r="C372" t="s">
        <v>20</v>
      </c>
      <c r="D372" t="s">
        <v>59</v>
      </c>
      <c r="E372" t="s">
        <v>107</v>
      </c>
      <c r="F372" t="s">
        <v>81</v>
      </c>
      <c r="G372" t="s">
        <v>89</v>
      </c>
      <c r="H372" t="s">
        <v>172</v>
      </c>
      <c r="I372" t="s">
        <v>348</v>
      </c>
      <c r="J372">
        <v>1218</v>
      </c>
      <c r="K372">
        <v>34</v>
      </c>
      <c r="L372" t="s">
        <v>37</v>
      </c>
      <c r="M372">
        <v>14</v>
      </c>
      <c r="N372">
        <v>36.200000000000003</v>
      </c>
      <c r="O372">
        <v>59.2</v>
      </c>
      <c r="P372">
        <v>4.92</v>
      </c>
      <c r="Q372">
        <v>0.65</v>
      </c>
      <c r="R372" t="s">
        <v>240</v>
      </c>
      <c r="S372" t="s">
        <v>47</v>
      </c>
      <c r="T372" t="s">
        <v>30</v>
      </c>
    </row>
    <row r="373" spans="1:20" x14ac:dyDescent="0.3">
      <c r="A373">
        <v>11053</v>
      </c>
      <c r="B373" s="2">
        <v>45995</v>
      </c>
      <c r="C373" t="s">
        <v>31</v>
      </c>
      <c r="D373" t="s">
        <v>32</v>
      </c>
      <c r="E373" t="s">
        <v>22</v>
      </c>
      <c r="F373" t="s">
        <v>41</v>
      </c>
      <c r="G373" t="s">
        <v>74</v>
      </c>
      <c r="H373" t="s">
        <v>180</v>
      </c>
      <c r="I373" t="s">
        <v>220</v>
      </c>
      <c r="J373">
        <v>749</v>
      </c>
      <c r="K373">
        <v>17</v>
      </c>
      <c r="L373" t="s">
        <v>57</v>
      </c>
      <c r="M373">
        <v>118</v>
      </c>
      <c r="N373">
        <v>47.4</v>
      </c>
      <c r="O373">
        <v>69.3</v>
      </c>
      <c r="P373">
        <v>5.64</v>
      </c>
      <c r="Q373">
        <v>4.17</v>
      </c>
      <c r="R373" t="s">
        <v>245</v>
      </c>
      <c r="S373" t="s">
        <v>39</v>
      </c>
      <c r="T373" t="s">
        <v>30</v>
      </c>
    </row>
    <row r="374" spans="1:20" x14ac:dyDescent="0.3">
      <c r="A374">
        <v>10084</v>
      </c>
      <c r="B374" s="2">
        <v>45924</v>
      </c>
      <c r="C374" t="s">
        <v>31</v>
      </c>
      <c r="D374" t="s">
        <v>21</v>
      </c>
      <c r="E374" t="s">
        <v>33</v>
      </c>
      <c r="F374" t="s">
        <v>41</v>
      </c>
      <c r="G374" t="s">
        <v>42</v>
      </c>
      <c r="H374" t="s">
        <v>215</v>
      </c>
      <c r="I374" t="s">
        <v>154</v>
      </c>
      <c r="J374">
        <v>1277</v>
      </c>
      <c r="K374">
        <v>12</v>
      </c>
      <c r="L374" t="s">
        <v>57</v>
      </c>
      <c r="M374">
        <v>7</v>
      </c>
      <c r="N374">
        <v>46.4</v>
      </c>
      <c r="O374">
        <v>72.5</v>
      </c>
      <c r="P374">
        <v>5.27</v>
      </c>
      <c r="Q374">
        <v>1.5</v>
      </c>
      <c r="R374" t="s">
        <v>122</v>
      </c>
      <c r="S374" t="s">
        <v>47</v>
      </c>
      <c r="T374" t="s">
        <v>30</v>
      </c>
    </row>
    <row r="375" spans="1:20" x14ac:dyDescent="0.3">
      <c r="A375">
        <v>10680</v>
      </c>
      <c r="B375" s="2">
        <v>45679</v>
      </c>
      <c r="C375" t="s">
        <v>20</v>
      </c>
      <c r="D375" t="s">
        <v>59</v>
      </c>
      <c r="E375" t="s">
        <v>33</v>
      </c>
      <c r="F375" t="s">
        <v>23</v>
      </c>
      <c r="G375" t="s">
        <v>113</v>
      </c>
      <c r="I375" t="s">
        <v>353</v>
      </c>
      <c r="J375">
        <v>915</v>
      </c>
      <c r="K375">
        <v>13</v>
      </c>
      <c r="L375" t="s">
        <v>57</v>
      </c>
      <c r="M375">
        <v>66</v>
      </c>
      <c r="N375">
        <v>36.200000000000003</v>
      </c>
      <c r="O375">
        <v>73.900000000000006</v>
      </c>
      <c r="P375">
        <v>4.22</v>
      </c>
      <c r="Q375">
        <v>5.25</v>
      </c>
      <c r="R375" t="s">
        <v>105</v>
      </c>
      <c r="S375" t="s">
        <v>73</v>
      </c>
      <c r="T375" t="s">
        <v>30</v>
      </c>
    </row>
    <row r="376" spans="1:20" x14ac:dyDescent="0.3">
      <c r="A376">
        <v>10049</v>
      </c>
      <c r="B376" s="2">
        <v>45962</v>
      </c>
      <c r="C376" t="s">
        <v>20</v>
      </c>
      <c r="D376" t="s">
        <v>64</v>
      </c>
      <c r="E376" t="s">
        <v>33</v>
      </c>
      <c r="F376" t="s">
        <v>81</v>
      </c>
      <c r="G376" t="s">
        <v>95</v>
      </c>
      <c r="H376" t="s">
        <v>88</v>
      </c>
      <c r="I376" t="s">
        <v>266</v>
      </c>
      <c r="J376">
        <v>1439</v>
      </c>
      <c r="K376">
        <v>17</v>
      </c>
      <c r="L376" t="s">
        <v>27</v>
      </c>
      <c r="M376">
        <v>82</v>
      </c>
      <c r="N376">
        <v>43.6</v>
      </c>
      <c r="O376">
        <v>86.5</v>
      </c>
      <c r="P376">
        <v>3.97</v>
      </c>
      <c r="Q376">
        <v>5.88</v>
      </c>
      <c r="R376" t="s">
        <v>153</v>
      </c>
      <c r="S376" t="s">
        <v>29</v>
      </c>
      <c r="T376" t="s">
        <v>30</v>
      </c>
    </row>
    <row r="377" spans="1:20" x14ac:dyDescent="0.3">
      <c r="A377">
        <v>11498</v>
      </c>
      <c r="B377" s="2">
        <v>45809</v>
      </c>
      <c r="C377" t="s">
        <v>31</v>
      </c>
      <c r="D377" t="s">
        <v>59</v>
      </c>
      <c r="E377" t="s">
        <v>107</v>
      </c>
      <c r="F377" t="s">
        <v>81</v>
      </c>
      <c r="G377" t="s">
        <v>109</v>
      </c>
      <c r="H377" t="s">
        <v>177</v>
      </c>
      <c r="I377" t="s">
        <v>226</v>
      </c>
      <c r="J377">
        <v>1282</v>
      </c>
      <c r="K377">
        <v>14</v>
      </c>
      <c r="L377" t="s">
        <v>68</v>
      </c>
      <c r="M377">
        <v>21</v>
      </c>
      <c r="N377">
        <v>44.4</v>
      </c>
      <c r="O377">
        <v>82.5</v>
      </c>
      <c r="P377">
        <v>3.92</v>
      </c>
      <c r="Q377">
        <v>2.39</v>
      </c>
      <c r="R377" t="s">
        <v>243</v>
      </c>
      <c r="S377" t="s">
        <v>29</v>
      </c>
      <c r="T377" t="s">
        <v>30</v>
      </c>
    </row>
    <row r="378" spans="1:20" x14ac:dyDescent="0.3">
      <c r="A378">
        <v>10156</v>
      </c>
      <c r="B378" s="2">
        <v>45845</v>
      </c>
      <c r="C378" t="s">
        <v>20</v>
      </c>
      <c r="D378" t="s">
        <v>32</v>
      </c>
      <c r="E378" t="s">
        <v>40</v>
      </c>
      <c r="F378" t="s">
        <v>41</v>
      </c>
      <c r="G378" t="s">
        <v>42</v>
      </c>
      <c r="H378" t="s">
        <v>93</v>
      </c>
      <c r="I378" t="s">
        <v>145</v>
      </c>
      <c r="J378">
        <v>1312</v>
      </c>
      <c r="K378">
        <v>28</v>
      </c>
      <c r="L378" t="s">
        <v>57</v>
      </c>
      <c r="M378">
        <v>9</v>
      </c>
      <c r="N378">
        <v>31</v>
      </c>
      <c r="O378">
        <v>71.900000000000006</v>
      </c>
      <c r="P378">
        <v>5.12</v>
      </c>
      <c r="Q378">
        <v>2.2000000000000002</v>
      </c>
      <c r="R378" t="s">
        <v>84</v>
      </c>
      <c r="S378" t="s">
        <v>39</v>
      </c>
      <c r="T378" t="s">
        <v>30</v>
      </c>
    </row>
    <row r="379" spans="1:20" x14ac:dyDescent="0.3">
      <c r="A379">
        <v>10406</v>
      </c>
      <c r="B379" s="2">
        <v>45771</v>
      </c>
      <c r="C379" t="s">
        <v>31</v>
      </c>
      <c r="D379" t="s">
        <v>21</v>
      </c>
      <c r="E379" t="s">
        <v>40</v>
      </c>
      <c r="F379" t="s">
        <v>23</v>
      </c>
      <c r="G379" t="s">
        <v>60</v>
      </c>
      <c r="H379" t="s">
        <v>165</v>
      </c>
      <c r="I379" t="s">
        <v>349</v>
      </c>
      <c r="J379">
        <v>1320</v>
      </c>
      <c r="K379">
        <v>18</v>
      </c>
      <c r="L379" t="s">
        <v>57</v>
      </c>
      <c r="M379">
        <v>173</v>
      </c>
      <c r="N379">
        <v>41.4</v>
      </c>
      <c r="O379">
        <v>57</v>
      </c>
      <c r="P379">
        <v>6.43</v>
      </c>
      <c r="Q379">
        <v>2.4</v>
      </c>
      <c r="R379" t="s">
        <v>209</v>
      </c>
      <c r="S379" t="s">
        <v>47</v>
      </c>
      <c r="T379" t="s">
        <v>30</v>
      </c>
    </row>
    <row r="380" spans="1:20" x14ac:dyDescent="0.3">
      <c r="A380">
        <v>11150</v>
      </c>
      <c r="B380" s="2">
        <v>45692</v>
      </c>
      <c r="C380" t="s">
        <v>31</v>
      </c>
      <c r="D380" t="s">
        <v>59</v>
      </c>
      <c r="E380" t="s">
        <v>40</v>
      </c>
      <c r="F380" t="s">
        <v>23</v>
      </c>
      <c r="G380" t="s">
        <v>109</v>
      </c>
      <c r="H380" t="s">
        <v>78</v>
      </c>
      <c r="I380" t="s">
        <v>317</v>
      </c>
      <c r="J380">
        <v>1245</v>
      </c>
      <c r="K380">
        <v>6</v>
      </c>
      <c r="L380" t="s">
        <v>71</v>
      </c>
      <c r="M380">
        <v>128</v>
      </c>
      <c r="N380">
        <v>41.6</v>
      </c>
      <c r="O380">
        <v>81.2</v>
      </c>
      <c r="P380">
        <v>4.8099999999999996</v>
      </c>
      <c r="Q380">
        <v>3.8</v>
      </c>
      <c r="R380" t="s">
        <v>128</v>
      </c>
      <c r="S380" t="s">
        <v>47</v>
      </c>
      <c r="T380" t="s">
        <v>30</v>
      </c>
    </row>
    <row r="381" spans="1:20" x14ac:dyDescent="0.3">
      <c r="A381">
        <v>11259</v>
      </c>
      <c r="B381" s="2">
        <v>45675</v>
      </c>
      <c r="C381" t="s">
        <v>31</v>
      </c>
      <c r="D381" t="s">
        <v>59</v>
      </c>
      <c r="E381" t="s">
        <v>40</v>
      </c>
      <c r="F381" t="s">
        <v>81</v>
      </c>
      <c r="G381" t="s">
        <v>24</v>
      </c>
      <c r="H381" t="s">
        <v>190</v>
      </c>
      <c r="I381" t="s">
        <v>304</v>
      </c>
      <c r="J381">
        <v>826</v>
      </c>
      <c r="K381">
        <v>28</v>
      </c>
      <c r="L381" t="s">
        <v>68</v>
      </c>
      <c r="M381">
        <v>145</v>
      </c>
      <c r="N381">
        <v>32</v>
      </c>
      <c r="O381">
        <v>69.3</v>
      </c>
      <c r="P381">
        <v>5.34</v>
      </c>
      <c r="Q381">
        <v>2.77</v>
      </c>
      <c r="R381" t="s">
        <v>243</v>
      </c>
      <c r="S381" t="s">
        <v>29</v>
      </c>
      <c r="T381" t="s">
        <v>48</v>
      </c>
    </row>
    <row r="382" spans="1:20" x14ac:dyDescent="0.3">
      <c r="A382">
        <v>11064</v>
      </c>
      <c r="B382" s="2">
        <v>45707</v>
      </c>
      <c r="C382" t="s">
        <v>49</v>
      </c>
      <c r="D382" t="s">
        <v>32</v>
      </c>
      <c r="E382" t="s">
        <v>22</v>
      </c>
      <c r="F382" t="s">
        <v>41</v>
      </c>
      <c r="G382" t="s">
        <v>113</v>
      </c>
      <c r="H382" t="s">
        <v>205</v>
      </c>
      <c r="I382" t="s">
        <v>67</v>
      </c>
      <c r="J382">
        <v>1054</v>
      </c>
      <c r="K382">
        <v>12</v>
      </c>
      <c r="L382" t="s">
        <v>37</v>
      </c>
      <c r="M382">
        <v>25</v>
      </c>
      <c r="N382">
        <v>39.4</v>
      </c>
      <c r="O382">
        <v>61.8</v>
      </c>
      <c r="P382">
        <v>5.35</v>
      </c>
      <c r="Q382">
        <v>1.19</v>
      </c>
      <c r="R382" t="s">
        <v>164</v>
      </c>
      <c r="S382" t="s">
        <v>73</v>
      </c>
      <c r="T382" t="s">
        <v>30</v>
      </c>
    </row>
    <row r="383" spans="1:20" x14ac:dyDescent="0.3">
      <c r="A383">
        <v>10817</v>
      </c>
      <c r="B383" s="2">
        <v>45845</v>
      </c>
      <c r="C383" t="s">
        <v>20</v>
      </c>
      <c r="D383" t="s">
        <v>59</v>
      </c>
      <c r="E383" t="s">
        <v>40</v>
      </c>
      <c r="F383" t="s">
        <v>23</v>
      </c>
      <c r="G383" t="s">
        <v>74</v>
      </c>
      <c r="H383" t="s">
        <v>123</v>
      </c>
      <c r="I383" t="s">
        <v>67</v>
      </c>
      <c r="J383">
        <v>659</v>
      </c>
      <c r="K383">
        <v>10</v>
      </c>
      <c r="L383" t="s">
        <v>57</v>
      </c>
      <c r="M383">
        <v>145</v>
      </c>
      <c r="N383">
        <v>40.6</v>
      </c>
      <c r="O383">
        <v>70.2</v>
      </c>
      <c r="P383">
        <v>5.01</v>
      </c>
      <c r="Q383">
        <v>2.6</v>
      </c>
      <c r="R383" t="s">
        <v>209</v>
      </c>
      <c r="S383" t="s">
        <v>29</v>
      </c>
      <c r="T383" t="s">
        <v>30</v>
      </c>
    </row>
    <row r="384" spans="1:20" x14ac:dyDescent="0.3">
      <c r="A384">
        <v>11240</v>
      </c>
      <c r="B384" s="2">
        <v>45804</v>
      </c>
      <c r="C384" t="s">
        <v>20</v>
      </c>
      <c r="D384" t="s">
        <v>21</v>
      </c>
      <c r="E384" t="s">
        <v>33</v>
      </c>
      <c r="F384" t="s">
        <v>41</v>
      </c>
      <c r="G384" t="s">
        <v>42</v>
      </c>
      <c r="H384" t="s">
        <v>51</v>
      </c>
      <c r="I384" t="s">
        <v>188</v>
      </c>
      <c r="J384">
        <v>1462</v>
      </c>
      <c r="K384">
        <v>32</v>
      </c>
      <c r="L384" t="s">
        <v>71</v>
      </c>
      <c r="M384">
        <v>135</v>
      </c>
      <c r="N384">
        <v>45.2</v>
      </c>
      <c r="O384">
        <v>73</v>
      </c>
      <c r="P384">
        <v>5.16</v>
      </c>
      <c r="Q384">
        <v>2.44</v>
      </c>
      <c r="R384" t="s">
        <v>245</v>
      </c>
      <c r="S384" t="s">
        <v>29</v>
      </c>
      <c r="T384" t="s">
        <v>30</v>
      </c>
    </row>
    <row r="385" spans="1:20" x14ac:dyDescent="0.3">
      <c r="A385">
        <v>11493</v>
      </c>
      <c r="B385" s="2">
        <v>45692</v>
      </c>
      <c r="C385" t="s">
        <v>49</v>
      </c>
      <c r="D385" t="s">
        <v>59</v>
      </c>
      <c r="E385" t="s">
        <v>107</v>
      </c>
      <c r="F385" t="s">
        <v>81</v>
      </c>
      <c r="G385" t="s">
        <v>74</v>
      </c>
      <c r="H385" t="s">
        <v>25</v>
      </c>
      <c r="I385" t="s">
        <v>332</v>
      </c>
      <c r="J385">
        <v>630</v>
      </c>
      <c r="K385">
        <v>5</v>
      </c>
      <c r="L385" t="s">
        <v>37</v>
      </c>
      <c r="M385">
        <v>27</v>
      </c>
      <c r="N385">
        <v>46.4</v>
      </c>
      <c r="O385">
        <v>65.5</v>
      </c>
      <c r="P385">
        <v>5.16</v>
      </c>
      <c r="Q385">
        <v>1.1200000000000001</v>
      </c>
      <c r="R385" t="s">
        <v>227</v>
      </c>
      <c r="S385" t="s">
        <v>47</v>
      </c>
      <c r="T385" t="s">
        <v>30</v>
      </c>
    </row>
    <row r="386" spans="1:20" x14ac:dyDescent="0.3">
      <c r="A386">
        <v>10716</v>
      </c>
      <c r="B386" s="2">
        <v>45820</v>
      </c>
      <c r="C386" t="s">
        <v>31</v>
      </c>
      <c r="D386" t="s">
        <v>64</v>
      </c>
      <c r="E386" t="s">
        <v>22</v>
      </c>
      <c r="F386" t="s">
        <v>65</v>
      </c>
      <c r="G386" t="s">
        <v>109</v>
      </c>
      <c r="H386" t="s">
        <v>82</v>
      </c>
      <c r="I386" t="s">
        <v>310</v>
      </c>
      <c r="J386">
        <v>1416</v>
      </c>
      <c r="K386">
        <v>6</v>
      </c>
      <c r="L386" t="s">
        <v>68</v>
      </c>
      <c r="M386">
        <v>33</v>
      </c>
      <c r="N386">
        <v>37.4</v>
      </c>
      <c r="O386">
        <v>63.4</v>
      </c>
      <c r="P386">
        <v>5.49</v>
      </c>
      <c r="Q386">
        <v>1.66</v>
      </c>
      <c r="R386" t="s">
        <v>167</v>
      </c>
      <c r="S386" t="s">
        <v>73</v>
      </c>
      <c r="T386" t="s">
        <v>30</v>
      </c>
    </row>
    <row r="387" spans="1:20" x14ac:dyDescent="0.3">
      <c r="A387">
        <v>10180</v>
      </c>
      <c r="B387" s="2">
        <v>45680</v>
      </c>
      <c r="C387" t="s">
        <v>20</v>
      </c>
      <c r="D387" t="s">
        <v>64</v>
      </c>
      <c r="E387" t="s">
        <v>22</v>
      </c>
      <c r="F387" t="s">
        <v>23</v>
      </c>
      <c r="G387" t="s">
        <v>34</v>
      </c>
      <c r="H387" t="s">
        <v>180</v>
      </c>
      <c r="I387" t="s">
        <v>76</v>
      </c>
      <c r="J387">
        <v>1252</v>
      </c>
      <c r="K387">
        <v>16</v>
      </c>
      <c r="L387" t="s">
        <v>37</v>
      </c>
      <c r="M387">
        <v>59</v>
      </c>
      <c r="N387">
        <v>46.3</v>
      </c>
      <c r="O387">
        <v>67.5</v>
      </c>
      <c r="P387">
        <v>5.66</v>
      </c>
      <c r="Q387">
        <v>4.16</v>
      </c>
      <c r="R387" t="s">
        <v>240</v>
      </c>
      <c r="S387" t="s">
        <v>29</v>
      </c>
      <c r="T387" t="s">
        <v>30</v>
      </c>
    </row>
    <row r="388" spans="1:20" x14ac:dyDescent="0.3">
      <c r="A388">
        <v>10536</v>
      </c>
      <c r="B388" s="2">
        <v>45763</v>
      </c>
      <c r="C388" t="s">
        <v>31</v>
      </c>
      <c r="D388" t="s">
        <v>32</v>
      </c>
      <c r="E388" t="s">
        <v>22</v>
      </c>
      <c r="F388" t="s">
        <v>81</v>
      </c>
      <c r="G388" t="s">
        <v>42</v>
      </c>
      <c r="H388" t="s">
        <v>138</v>
      </c>
      <c r="I388" t="s">
        <v>354</v>
      </c>
      <c r="J388">
        <v>824</v>
      </c>
      <c r="K388">
        <v>10</v>
      </c>
      <c r="L388" t="s">
        <v>57</v>
      </c>
      <c r="M388">
        <v>130</v>
      </c>
      <c r="N388">
        <v>49.4</v>
      </c>
      <c r="O388">
        <v>75.8</v>
      </c>
      <c r="P388">
        <v>5.21</v>
      </c>
      <c r="Q388">
        <v>1.72</v>
      </c>
      <c r="R388" t="s">
        <v>189</v>
      </c>
      <c r="S388" t="s">
        <v>29</v>
      </c>
      <c r="T388" t="s">
        <v>30</v>
      </c>
    </row>
    <row r="389" spans="1:20" x14ac:dyDescent="0.3">
      <c r="A389">
        <v>11334</v>
      </c>
      <c r="B389" s="2">
        <v>45774</v>
      </c>
      <c r="C389" t="s">
        <v>20</v>
      </c>
      <c r="D389" t="s">
        <v>64</v>
      </c>
      <c r="E389" t="s">
        <v>40</v>
      </c>
      <c r="F389" t="s">
        <v>41</v>
      </c>
      <c r="G389" t="s">
        <v>42</v>
      </c>
      <c r="H389" t="s">
        <v>180</v>
      </c>
      <c r="I389" t="s">
        <v>268</v>
      </c>
      <c r="J389">
        <v>1478</v>
      </c>
      <c r="K389">
        <v>13</v>
      </c>
      <c r="L389" t="s">
        <v>71</v>
      </c>
      <c r="M389">
        <v>16</v>
      </c>
      <c r="N389">
        <v>38.799999999999997</v>
      </c>
      <c r="O389">
        <v>82</v>
      </c>
      <c r="P389">
        <v>4.75</v>
      </c>
      <c r="Q389">
        <v>2.5099999999999998</v>
      </c>
      <c r="R389" t="s">
        <v>202</v>
      </c>
      <c r="S389" t="s">
        <v>29</v>
      </c>
      <c r="T389" t="s">
        <v>30</v>
      </c>
    </row>
    <row r="390" spans="1:20" x14ac:dyDescent="0.3">
      <c r="A390">
        <v>11354</v>
      </c>
      <c r="B390" s="2">
        <v>45868</v>
      </c>
      <c r="C390" t="s">
        <v>49</v>
      </c>
      <c r="D390" t="s">
        <v>64</v>
      </c>
      <c r="E390" t="s">
        <v>33</v>
      </c>
      <c r="F390" t="s">
        <v>41</v>
      </c>
      <c r="G390" t="s">
        <v>109</v>
      </c>
      <c r="H390" t="s">
        <v>123</v>
      </c>
      <c r="I390" t="s">
        <v>233</v>
      </c>
      <c r="J390">
        <v>1034</v>
      </c>
      <c r="K390">
        <v>39</v>
      </c>
      <c r="L390" t="s">
        <v>45</v>
      </c>
      <c r="M390">
        <v>41</v>
      </c>
      <c r="N390">
        <v>39.700000000000003</v>
      </c>
      <c r="O390">
        <v>71.599999999999994</v>
      </c>
      <c r="P390">
        <v>5.42</v>
      </c>
      <c r="Q390">
        <v>2.82</v>
      </c>
      <c r="R390" t="s">
        <v>80</v>
      </c>
      <c r="S390" t="s">
        <v>47</v>
      </c>
      <c r="T390" t="s">
        <v>48</v>
      </c>
    </row>
    <row r="391" spans="1:20" x14ac:dyDescent="0.3">
      <c r="A391">
        <v>11478</v>
      </c>
      <c r="B391" s="2">
        <v>45943</v>
      </c>
      <c r="C391" t="s">
        <v>31</v>
      </c>
      <c r="D391" t="s">
        <v>59</v>
      </c>
      <c r="E391" t="s">
        <v>107</v>
      </c>
      <c r="F391" t="s">
        <v>41</v>
      </c>
      <c r="G391" t="s">
        <v>134</v>
      </c>
      <c r="H391" t="s">
        <v>161</v>
      </c>
      <c r="I391" t="s">
        <v>221</v>
      </c>
      <c r="J391">
        <v>1069</v>
      </c>
      <c r="K391">
        <v>15</v>
      </c>
      <c r="L391" t="s">
        <v>68</v>
      </c>
      <c r="M391">
        <v>41</v>
      </c>
      <c r="N391">
        <v>47.8</v>
      </c>
      <c r="O391">
        <v>66.3</v>
      </c>
      <c r="P391">
        <v>5.57</v>
      </c>
      <c r="Q391">
        <v>3.36</v>
      </c>
      <c r="R391" t="s">
        <v>87</v>
      </c>
      <c r="S391" t="s">
        <v>73</v>
      </c>
      <c r="T391" t="s">
        <v>30</v>
      </c>
    </row>
    <row r="392" spans="1:20" x14ac:dyDescent="0.3">
      <c r="A392">
        <v>11048</v>
      </c>
      <c r="B392" s="2">
        <v>45948</v>
      </c>
      <c r="C392" t="s">
        <v>31</v>
      </c>
      <c r="D392" t="s">
        <v>64</v>
      </c>
      <c r="E392" t="s">
        <v>33</v>
      </c>
      <c r="F392" t="s">
        <v>41</v>
      </c>
      <c r="G392" t="s">
        <v>34</v>
      </c>
      <c r="H392" t="s">
        <v>90</v>
      </c>
      <c r="I392" t="s">
        <v>355</v>
      </c>
      <c r="J392">
        <v>1248</v>
      </c>
      <c r="K392">
        <v>69</v>
      </c>
      <c r="L392" t="s">
        <v>27</v>
      </c>
      <c r="M392">
        <v>180</v>
      </c>
      <c r="N392">
        <v>50.4</v>
      </c>
      <c r="O392">
        <v>73.2</v>
      </c>
      <c r="P392">
        <v>4.7699999999999996</v>
      </c>
      <c r="Q392">
        <v>2.83</v>
      </c>
      <c r="R392" t="s">
        <v>195</v>
      </c>
      <c r="S392" t="s">
        <v>39</v>
      </c>
      <c r="T392" t="s">
        <v>48</v>
      </c>
    </row>
    <row r="393" spans="1:20" x14ac:dyDescent="0.3">
      <c r="A393">
        <v>10364</v>
      </c>
      <c r="B393" s="2">
        <v>45846</v>
      </c>
      <c r="C393" t="s">
        <v>31</v>
      </c>
      <c r="D393" t="s">
        <v>32</v>
      </c>
      <c r="E393" t="s">
        <v>33</v>
      </c>
      <c r="F393" t="s">
        <v>41</v>
      </c>
      <c r="G393" t="s">
        <v>89</v>
      </c>
      <c r="H393" t="s">
        <v>169</v>
      </c>
      <c r="I393" t="s">
        <v>335</v>
      </c>
      <c r="J393">
        <v>1339</v>
      </c>
      <c r="K393">
        <v>10</v>
      </c>
      <c r="L393" t="s">
        <v>45</v>
      </c>
      <c r="M393">
        <v>112</v>
      </c>
      <c r="N393">
        <v>55.3</v>
      </c>
      <c r="O393">
        <v>71</v>
      </c>
      <c r="P393">
        <v>4.88</v>
      </c>
      <c r="Q393">
        <v>3.87</v>
      </c>
      <c r="R393" t="s">
        <v>240</v>
      </c>
      <c r="S393" t="s">
        <v>47</v>
      </c>
      <c r="T393" t="s">
        <v>30</v>
      </c>
    </row>
    <row r="394" spans="1:20" x14ac:dyDescent="0.3">
      <c r="A394">
        <v>11379</v>
      </c>
      <c r="B394" s="2">
        <v>45828</v>
      </c>
      <c r="C394" t="s">
        <v>49</v>
      </c>
      <c r="D394" t="s">
        <v>21</v>
      </c>
      <c r="E394" t="s">
        <v>22</v>
      </c>
      <c r="F394" t="s">
        <v>41</v>
      </c>
      <c r="G394" t="s">
        <v>134</v>
      </c>
      <c r="H394" t="s">
        <v>193</v>
      </c>
      <c r="I394" t="s">
        <v>187</v>
      </c>
      <c r="J394">
        <v>1225</v>
      </c>
      <c r="K394">
        <v>33</v>
      </c>
      <c r="L394" t="s">
        <v>68</v>
      </c>
      <c r="M394">
        <v>67</v>
      </c>
      <c r="N394">
        <v>34.200000000000003</v>
      </c>
      <c r="O394">
        <v>72.8</v>
      </c>
      <c r="P394">
        <v>6.09</v>
      </c>
      <c r="Q394">
        <v>3.48</v>
      </c>
      <c r="R394" t="s">
        <v>153</v>
      </c>
      <c r="S394" t="s">
        <v>47</v>
      </c>
      <c r="T394" t="s">
        <v>30</v>
      </c>
    </row>
    <row r="395" spans="1:20" x14ac:dyDescent="0.3">
      <c r="A395">
        <v>11209</v>
      </c>
      <c r="B395" s="2">
        <v>45998</v>
      </c>
      <c r="C395" t="s">
        <v>20</v>
      </c>
      <c r="D395" t="s">
        <v>21</v>
      </c>
      <c r="E395" t="s">
        <v>22</v>
      </c>
      <c r="F395" t="s">
        <v>23</v>
      </c>
      <c r="G395" t="s">
        <v>134</v>
      </c>
      <c r="H395" t="s">
        <v>123</v>
      </c>
      <c r="I395" t="s">
        <v>272</v>
      </c>
      <c r="J395">
        <v>506</v>
      </c>
      <c r="K395">
        <v>9</v>
      </c>
      <c r="L395" t="s">
        <v>27</v>
      </c>
      <c r="M395">
        <v>142</v>
      </c>
      <c r="N395">
        <v>46</v>
      </c>
      <c r="O395">
        <v>62.6</v>
      </c>
      <c r="P395">
        <v>6.19</v>
      </c>
      <c r="Q395">
        <v>3.34</v>
      </c>
      <c r="R395" t="s">
        <v>72</v>
      </c>
      <c r="S395" t="s">
        <v>47</v>
      </c>
      <c r="T395" t="s">
        <v>30</v>
      </c>
    </row>
    <row r="396" spans="1:20" x14ac:dyDescent="0.3">
      <c r="A396">
        <v>10347</v>
      </c>
      <c r="B396" s="2">
        <v>45848</v>
      </c>
      <c r="C396" t="s">
        <v>31</v>
      </c>
      <c r="D396" t="s">
        <v>64</v>
      </c>
      <c r="E396" t="s">
        <v>40</v>
      </c>
      <c r="F396" t="s">
        <v>23</v>
      </c>
      <c r="G396" t="s">
        <v>54</v>
      </c>
      <c r="H396" t="s">
        <v>351</v>
      </c>
      <c r="I396" t="s">
        <v>308</v>
      </c>
      <c r="J396">
        <v>888</v>
      </c>
      <c r="K396">
        <v>57</v>
      </c>
      <c r="L396" t="s">
        <v>71</v>
      </c>
      <c r="M396">
        <v>29</v>
      </c>
      <c r="N396">
        <v>48.1</v>
      </c>
      <c r="O396">
        <v>79.599999999999994</v>
      </c>
      <c r="P396">
        <v>5.3</v>
      </c>
      <c r="Q396">
        <v>2.64</v>
      </c>
      <c r="R396" t="s">
        <v>133</v>
      </c>
      <c r="S396" t="s">
        <v>47</v>
      </c>
      <c r="T396" t="s">
        <v>48</v>
      </c>
    </row>
    <row r="397" spans="1:20" x14ac:dyDescent="0.3">
      <c r="A397">
        <v>10781</v>
      </c>
      <c r="B397" s="2">
        <v>45779</v>
      </c>
      <c r="C397" t="s">
        <v>31</v>
      </c>
      <c r="D397" t="s">
        <v>21</v>
      </c>
      <c r="E397" t="s">
        <v>22</v>
      </c>
      <c r="F397" t="s">
        <v>23</v>
      </c>
      <c r="G397" t="s">
        <v>74</v>
      </c>
      <c r="H397" t="s">
        <v>161</v>
      </c>
      <c r="I397" t="s">
        <v>171</v>
      </c>
      <c r="J397">
        <v>1441</v>
      </c>
      <c r="K397">
        <v>48</v>
      </c>
      <c r="L397" t="s">
        <v>57</v>
      </c>
      <c r="M397">
        <v>102</v>
      </c>
      <c r="N397">
        <v>45.9</v>
      </c>
      <c r="O397">
        <v>64.099999999999994</v>
      </c>
      <c r="P397">
        <v>4.88</v>
      </c>
      <c r="Q397">
        <v>4.45</v>
      </c>
      <c r="R397" t="s">
        <v>184</v>
      </c>
      <c r="S397" t="s">
        <v>73</v>
      </c>
      <c r="T397" t="s">
        <v>48</v>
      </c>
    </row>
    <row r="398" spans="1:20" x14ac:dyDescent="0.3">
      <c r="A398">
        <v>10523</v>
      </c>
      <c r="B398" s="2">
        <v>45847</v>
      </c>
      <c r="C398" t="s">
        <v>49</v>
      </c>
      <c r="D398" t="s">
        <v>59</v>
      </c>
      <c r="E398" t="s">
        <v>107</v>
      </c>
      <c r="F398" t="s">
        <v>81</v>
      </c>
      <c r="G398" t="s">
        <v>50</v>
      </c>
      <c r="H398" t="s">
        <v>69</v>
      </c>
      <c r="I398" t="s">
        <v>306</v>
      </c>
      <c r="J398">
        <v>1378</v>
      </c>
      <c r="K398">
        <v>8</v>
      </c>
      <c r="L398" t="s">
        <v>27</v>
      </c>
      <c r="M398">
        <v>132</v>
      </c>
      <c r="N398">
        <v>51.2</v>
      </c>
      <c r="O398">
        <v>64.5</v>
      </c>
      <c r="P398">
        <v>5.92</v>
      </c>
      <c r="Q398">
        <v>2.93</v>
      </c>
      <c r="R398" t="s">
        <v>119</v>
      </c>
      <c r="S398" t="s">
        <v>73</v>
      </c>
      <c r="T398" t="s">
        <v>30</v>
      </c>
    </row>
    <row r="399" spans="1:20" x14ac:dyDescent="0.3">
      <c r="A399">
        <v>10666</v>
      </c>
      <c r="B399" s="2">
        <v>46010</v>
      </c>
      <c r="C399" t="s">
        <v>31</v>
      </c>
      <c r="D399" t="s">
        <v>21</v>
      </c>
      <c r="E399" t="s">
        <v>22</v>
      </c>
      <c r="F399" t="s">
        <v>23</v>
      </c>
      <c r="G399" t="s">
        <v>34</v>
      </c>
      <c r="H399" t="s">
        <v>161</v>
      </c>
      <c r="I399" t="s">
        <v>356</v>
      </c>
      <c r="J399">
        <v>1105</v>
      </c>
      <c r="K399">
        <v>26</v>
      </c>
      <c r="L399" t="s">
        <v>68</v>
      </c>
      <c r="M399">
        <v>8</v>
      </c>
      <c r="N399">
        <v>37.9</v>
      </c>
      <c r="O399">
        <v>74.599999999999994</v>
      </c>
      <c r="P399">
        <v>4.55</v>
      </c>
      <c r="Q399">
        <v>1.67</v>
      </c>
      <c r="R399" t="s">
        <v>80</v>
      </c>
      <c r="S399" t="s">
        <v>29</v>
      </c>
      <c r="T399" t="s">
        <v>30</v>
      </c>
    </row>
    <row r="400" spans="1:20" x14ac:dyDescent="0.3">
      <c r="A400">
        <v>10951</v>
      </c>
      <c r="B400" s="2">
        <v>45787</v>
      </c>
      <c r="C400" t="s">
        <v>20</v>
      </c>
      <c r="D400" t="s">
        <v>59</v>
      </c>
      <c r="E400" t="s">
        <v>40</v>
      </c>
      <c r="F400" t="s">
        <v>23</v>
      </c>
      <c r="G400" t="s">
        <v>74</v>
      </c>
      <c r="H400" t="s">
        <v>190</v>
      </c>
      <c r="I400" t="s">
        <v>334</v>
      </c>
      <c r="J400">
        <v>741</v>
      </c>
      <c r="K400">
        <v>9</v>
      </c>
      <c r="L400" t="s">
        <v>37</v>
      </c>
      <c r="M400">
        <v>102</v>
      </c>
      <c r="N400">
        <v>46.1</v>
      </c>
      <c r="O400">
        <v>82.7</v>
      </c>
      <c r="P400">
        <v>5.5</v>
      </c>
      <c r="Q400">
        <v>4.13</v>
      </c>
      <c r="R400" t="s">
        <v>105</v>
      </c>
      <c r="S400" t="s">
        <v>39</v>
      </c>
      <c r="T400" t="s">
        <v>30</v>
      </c>
    </row>
    <row r="401" spans="1:20" x14ac:dyDescent="0.3">
      <c r="A401">
        <v>11028</v>
      </c>
      <c r="B401" s="2">
        <v>45943</v>
      </c>
      <c r="C401" t="s">
        <v>49</v>
      </c>
      <c r="D401" t="s">
        <v>32</v>
      </c>
      <c r="E401" t="s">
        <v>22</v>
      </c>
      <c r="F401" t="s">
        <v>81</v>
      </c>
      <c r="G401" t="s">
        <v>113</v>
      </c>
      <c r="H401" t="s">
        <v>180</v>
      </c>
      <c r="I401" t="s">
        <v>91</v>
      </c>
      <c r="J401">
        <v>1006</v>
      </c>
      <c r="K401">
        <v>13</v>
      </c>
      <c r="L401" t="s">
        <v>27</v>
      </c>
      <c r="M401">
        <v>173</v>
      </c>
      <c r="N401">
        <v>34.1</v>
      </c>
      <c r="O401">
        <v>76</v>
      </c>
      <c r="P401">
        <v>5.31</v>
      </c>
      <c r="Q401">
        <v>2.66</v>
      </c>
      <c r="R401" t="s">
        <v>87</v>
      </c>
      <c r="S401" t="s">
        <v>39</v>
      </c>
      <c r="T401" t="s">
        <v>30</v>
      </c>
    </row>
    <row r="402" spans="1:20" x14ac:dyDescent="0.3">
      <c r="A402">
        <v>11152</v>
      </c>
      <c r="B402" s="2">
        <v>45890</v>
      </c>
      <c r="C402" t="s">
        <v>49</v>
      </c>
      <c r="D402" t="s">
        <v>64</v>
      </c>
      <c r="E402" t="s">
        <v>22</v>
      </c>
      <c r="F402" t="s">
        <v>41</v>
      </c>
      <c r="G402" t="s">
        <v>54</v>
      </c>
      <c r="H402" t="s">
        <v>43</v>
      </c>
      <c r="I402" t="s">
        <v>115</v>
      </c>
      <c r="J402">
        <v>769</v>
      </c>
      <c r="K402">
        <v>19</v>
      </c>
      <c r="L402" t="s">
        <v>68</v>
      </c>
      <c r="M402">
        <v>84</v>
      </c>
      <c r="N402">
        <v>46.2</v>
      </c>
      <c r="O402">
        <v>75.400000000000006</v>
      </c>
      <c r="P402">
        <v>5.6</v>
      </c>
      <c r="Q402">
        <v>1.84</v>
      </c>
      <c r="R402" t="s">
        <v>186</v>
      </c>
      <c r="S402" t="s">
        <v>39</v>
      </c>
      <c r="T402" t="s">
        <v>30</v>
      </c>
    </row>
    <row r="403" spans="1:20" x14ac:dyDescent="0.3">
      <c r="A403">
        <v>11233</v>
      </c>
      <c r="B403" s="2">
        <v>45670</v>
      </c>
      <c r="C403" t="s">
        <v>49</v>
      </c>
      <c r="D403" t="s">
        <v>21</v>
      </c>
      <c r="E403" t="s">
        <v>22</v>
      </c>
      <c r="F403" t="s">
        <v>23</v>
      </c>
      <c r="G403" t="s">
        <v>34</v>
      </c>
      <c r="H403" t="s">
        <v>51</v>
      </c>
      <c r="I403" t="s">
        <v>244</v>
      </c>
      <c r="J403">
        <v>958</v>
      </c>
      <c r="K403">
        <v>17</v>
      </c>
      <c r="L403" t="s">
        <v>57</v>
      </c>
      <c r="M403">
        <v>118</v>
      </c>
      <c r="N403">
        <v>46.7</v>
      </c>
      <c r="O403">
        <v>70.400000000000006</v>
      </c>
      <c r="P403">
        <v>4.7300000000000004</v>
      </c>
      <c r="Q403">
        <v>2.62</v>
      </c>
      <c r="R403" t="s">
        <v>130</v>
      </c>
      <c r="S403" t="s">
        <v>29</v>
      </c>
      <c r="T403" t="s">
        <v>30</v>
      </c>
    </row>
    <row r="404" spans="1:20" x14ac:dyDescent="0.3">
      <c r="A404">
        <v>10244</v>
      </c>
      <c r="B404" s="2">
        <v>45857</v>
      </c>
      <c r="C404" t="s">
        <v>49</v>
      </c>
      <c r="D404" t="s">
        <v>32</v>
      </c>
      <c r="E404" t="s">
        <v>22</v>
      </c>
      <c r="F404" t="s">
        <v>41</v>
      </c>
      <c r="G404" t="s">
        <v>109</v>
      </c>
      <c r="H404" t="s">
        <v>55</v>
      </c>
      <c r="I404" t="s">
        <v>357</v>
      </c>
      <c r="J404">
        <v>706</v>
      </c>
      <c r="K404">
        <v>4</v>
      </c>
      <c r="L404" t="s">
        <v>68</v>
      </c>
      <c r="M404">
        <v>37</v>
      </c>
      <c r="N404">
        <v>44.8</v>
      </c>
      <c r="O404">
        <v>68.099999999999994</v>
      </c>
      <c r="P404">
        <v>3.96</v>
      </c>
      <c r="Q404">
        <v>4.07</v>
      </c>
      <c r="R404" t="s">
        <v>105</v>
      </c>
      <c r="S404" t="s">
        <v>47</v>
      </c>
      <c r="T404" t="s">
        <v>30</v>
      </c>
    </row>
    <row r="405" spans="1:20" x14ac:dyDescent="0.3">
      <c r="A405">
        <v>10814</v>
      </c>
      <c r="B405" s="2">
        <v>45775</v>
      </c>
      <c r="C405" t="s">
        <v>20</v>
      </c>
      <c r="D405" t="s">
        <v>21</v>
      </c>
      <c r="E405" t="s">
        <v>40</v>
      </c>
      <c r="F405" t="s">
        <v>23</v>
      </c>
      <c r="G405" t="s">
        <v>24</v>
      </c>
      <c r="H405" t="s">
        <v>196</v>
      </c>
      <c r="I405" t="s">
        <v>110</v>
      </c>
      <c r="J405">
        <v>1309</v>
      </c>
      <c r="K405">
        <v>11</v>
      </c>
      <c r="L405" t="s">
        <v>57</v>
      </c>
      <c r="M405">
        <v>120</v>
      </c>
      <c r="N405">
        <v>30.2</v>
      </c>
      <c r="O405">
        <v>62.3</v>
      </c>
      <c r="P405">
        <v>5.05</v>
      </c>
      <c r="Q405">
        <v>4.2</v>
      </c>
      <c r="R405" t="s">
        <v>105</v>
      </c>
      <c r="S405" t="s">
        <v>39</v>
      </c>
      <c r="T405" t="s">
        <v>30</v>
      </c>
    </row>
    <row r="406" spans="1:20" x14ac:dyDescent="0.3">
      <c r="A406">
        <v>10545</v>
      </c>
      <c r="B406" s="2">
        <v>45773</v>
      </c>
      <c r="C406" t="s">
        <v>31</v>
      </c>
      <c r="D406" t="s">
        <v>32</v>
      </c>
      <c r="E406" t="s">
        <v>22</v>
      </c>
      <c r="F406" t="s">
        <v>41</v>
      </c>
      <c r="G406" t="s">
        <v>54</v>
      </c>
      <c r="H406" t="s">
        <v>35</v>
      </c>
      <c r="I406" t="s">
        <v>358</v>
      </c>
      <c r="J406">
        <v>1140</v>
      </c>
      <c r="K406">
        <v>38</v>
      </c>
      <c r="L406" t="s">
        <v>45</v>
      </c>
      <c r="M406">
        <v>156</v>
      </c>
      <c r="N406">
        <v>32.700000000000003</v>
      </c>
      <c r="O406">
        <v>73.900000000000006</v>
      </c>
      <c r="P406">
        <v>4.8600000000000003</v>
      </c>
      <c r="Q406">
        <v>3.49</v>
      </c>
      <c r="R406" t="s">
        <v>222</v>
      </c>
      <c r="S406" t="s">
        <v>29</v>
      </c>
      <c r="T406" t="s">
        <v>48</v>
      </c>
    </row>
    <row r="407" spans="1:20" x14ac:dyDescent="0.3">
      <c r="A407">
        <v>11134</v>
      </c>
      <c r="B407" s="2">
        <v>45955</v>
      </c>
      <c r="C407" t="s">
        <v>20</v>
      </c>
      <c r="D407" t="s">
        <v>64</v>
      </c>
      <c r="E407" t="s">
        <v>22</v>
      </c>
      <c r="F407" t="s">
        <v>23</v>
      </c>
      <c r="G407" t="s">
        <v>50</v>
      </c>
      <c r="H407" t="s">
        <v>116</v>
      </c>
      <c r="I407" t="s">
        <v>359</v>
      </c>
      <c r="J407">
        <v>1341</v>
      </c>
      <c r="K407">
        <v>50</v>
      </c>
      <c r="L407" t="s">
        <v>71</v>
      </c>
      <c r="M407">
        <v>132</v>
      </c>
      <c r="N407">
        <v>31.2</v>
      </c>
      <c r="O407">
        <v>71.2</v>
      </c>
      <c r="P407">
        <v>6.07</v>
      </c>
      <c r="Q407">
        <v>2.5099999999999998</v>
      </c>
      <c r="R407" t="s">
        <v>183</v>
      </c>
      <c r="S407" t="s">
        <v>29</v>
      </c>
      <c r="T407" t="s">
        <v>48</v>
      </c>
    </row>
    <row r="408" spans="1:20" x14ac:dyDescent="0.3">
      <c r="A408">
        <v>10902</v>
      </c>
      <c r="B408" s="2">
        <v>46005</v>
      </c>
      <c r="C408" t="s">
        <v>20</v>
      </c>
      <c r="D408" t="s">
        <v>21</v>
      </c>
      <c r="E408" t="s">
        <v>22</v>
      </c>
      <c r="F408" t="s">
        <v>81</v>
      </c>
      <c r="G408" t="s">
        <v>60</v>
      </c>
      <c r="H408" t="s">
        <v>43</v>
      </c>
      <c r="I408" t="s">
        <v>296</v>
      </c>
      <c r="J408">
        <v>1474</v>
      </c>
      <c r="K408">
        <v>18</v>
      </c>
      <c r="L408" t="s">
        <v>68</v>
      </c>
      <c r="M408">
        <v>65</v>
      </c>
      <c r="N408">
        <v>56.3</v>
      </c>
      <c r="O408">
        <v>79.5</v>
      </c>
      <c r="P408">
        <v>5.15</v>
      </c>
      <c r="Q408">
        <v>2.91</v>
      </c>
      <c r="R408" t="s">
        <v>28</v>
      </c>
      <c r="S408" t="s">
        <v>29</v>
      </c>
      <c r="T408" t="s">
        <v>30</v>
      </c>
    </row>
    <row r="409" spans="1:20" x14ac:dyDescent="0.3">
      <c r="A409">
        <v>11051</v>
      </c>
      <c r="B409" s="2">
        <v>46018</v>
      </c>
      <c r="C409" t="s">
        <v>31</v>
      </c>
      <c r="D409" t="s">
        <v>59</v>
      </c>
      <c r="E409" t="s">
        <v>40</v>
      </c>
      <c r="F409" t="s">
        <v>247</v>
      </c>
      <c r="G409" t="s">
        <v>60</v>
      </c>
      <c r="H409" t="s">
        <v>172</v>
      </c>
      <c r="I409" t="s">
        <v>204</v>
      </c>
      <c r="J409">
        <v>1431</v>
      </c>
      <c r="K409">
        <v>41</v>
      </c>
      <c r="L409" t="s">
        <v>68</v>
      </c>
      <c r="M409">
        <v>25</v>
      </c>
      <c r="N409">
        <v>44.1</v>
      </c>
      <c r="O409">
        <v>86.5</v>
      </c>
      <c r="P409">
        <v>5.0999999999999996</v>
      </c>
      <c r="Q409">
        <v>2.6</v>
      </c>
      <c r="R409" t="s">
        <v>153</v>
      </c>
      <c r="S409" t="s">
        <v>73</v>
      </c>
      <c r="T409" t="s">
        <v>30</v>
      </c>
    </row>
    <row r="410" spans="1:20" x14ac:dyDescent="0.3">
      <c r="A410">
        <v>11433</v>
      </c>
      <c r="B410" s="2">
        <v>46005</v>
      </c>
      <c r="C410" t="s">
        <v>20</v>
      </c>
      <c r="D410" t="s">
        <v>32</v>
      </c>
      <c r="E410" t="s">
        <v>33</v>
      </c>
      <c r="F410" t="s">
        <v>23</v>
      </c>
      <c r="G410" t="s">
        <v>60</v>
      </c>
      <c r="H410" t="s">
        <v>123</v>
      </c>
      <c r="I410" t="s">
        <v>354</v>
      </c>
      <c r="J410">
        <v>1449</v>
      </c>
      <c r="K410">
        <v>20</v>
      </c>
      <c r="L410" t="s">
        <v>57</v>
      </c>
      <c r="M410">
        <v>68</v>
      </c>
      <c r="N410">
        <v>44.1</v>
      </c>
      <c r="O410">
        <v>70.3</v>
      </c>
      <c r="P410">
        <v>5.45</v>
      </c>
      <c r="Q410">
        <v>1.82</v>
      </c>
      <c r="R410" t="s">
        <v>125</v>
      </c>
      <c r="S410" t="s">
        <v>39</v>
      </c>
      <c r="T410" t="s">
        <v>30</v>
      </c>
    </row>
    <row r="411" spans="1:20" x14ac:dyDescent="0.3">
      <c r="A411">
        <v>10553</v>
      </c>
      <c r="B411" s="2">
        <v>45973</v>
      </c>
      <c r="C411" t="s">
        <v>360</v>
      </c>
      <c r="D411" t="s">
        <v>64</v>
      </c>
      <c r="E411" t="s">
        <v>22</v>
      </c>
      <c r="F411" t="s">
        <v>23</v>
      </c>
      <c r="G411" t="s">
        <v>50</v>
      </c>
      <c r="H411" t="s">
        <v>138</v>
      </c>
      <c r="I411" t="s">
        <v>52</v>
      </c>
      <c r="J411">
        <v>1505</v>
      </c>
      <c r="K411">
        <v>52</v>
      </c>
      <c r="L411" t="s">
        <v>68</v>
      </c>
      <c r="M411">
        <v>90</v>
      </c>
      <c r="N411">
        <v>54</v>
      </c>
      <c r="O411">
        <v>73.599999999999994</v>
      </c>
      <c r="P411">
        <v>5.16</v>
      </c>
      <c r="Q411">
        <v>4.01</v>
      </c>
      <c r="R411" t="s">
        <v>87</v>
      </c>
      <c r="S411" t="s">
        <v>39</v>
      </c>
      <c r="T411" t="s">
        <v>48</v>
      </c>
    </row>
    <row r="412" spans="1:20" x14ac:dyDescent="0.3">
      <c r="A412">
        <v>10309</v>
      </c>
      <c r="B412" s="2">
        <v>45838</v>
      </c>
      <c r="C412" t="s">
        <v>20</v>
      </c>
      <c r="D412" t="s">
        <v>21</v>
      </c>
      <c r="E412" t="s">
        <v>22</v>
      </c>
      <c r="F412" t="s">
        <v>81</v>
      </c>
      <c r="G412" t="s">
        <v>89</v>
      </c>
      <c r="H412" t="s">
        <v>205</v>
      </c>
      <c r="I412" t="s">
        <v>110</v>
      </c>
      <c r="J412">
        <v>891</v>
      </c>
      <c r="K412">
        <v>13</v>
      </c>
      <c r="L412" t="s">
        <v>45</v>
      </c>
      <c r="M412">
        <v>84</v>
      </c>
      <c r="N412">
        <v>42.9</v>
      </c>
      <c r="O412">
        <v>58.3</v>
      </c>
      <c r="P412">
        <v>4.5599999999999996</v>
      </c>
      <c r="Q412">
        <v>3.4</v>
      </c>
      <c r="R412" t="s">
        <v>179</v>
      </c>
      <c r="S412" t="s">
        <v>29</v>
      </c>
      <c r="T412" t="s">
        <v>30</v>
      </c>
    </row>
    <row r="413" spans="1:20" x14ac:dyDescent="0.3">
      <c r="A413">
        <v>10893</v>
      </c>
      <c r="B413" s="2">
        <v>45782</v>
      </c>
      <c r="C413" t="s">
        <v>20</v>
      </c>
      <c r="D413" t="s">
        <v>21</v>
      </c>
      <c r="E413" t="s">
        <v>33</v>
      </c>
      <c r="F413" t="s">
        <v>41</v>
      </c>
      <c r="G413" t="s">
        <v>54</v>
      </c>
      <c r="H413" t="s">
        <v>126</v>
      </c>
      <c r="I413" t="s">
        <v>295</v>
      </c>
      <c r="J413">
        <v>734</v>
      </c>
      <c r="K413">
        <v>5</v>
      </c>
      <c r="L413" t="s">
        <v>27</v>
      </c>
      <c r="M413">
        <v>110</v>
      </c>
      <c r="N413">
        <v>36.6</v>
      </c>
      <c r="O413">
        <v>65</v>
      </c>
      <c r="P413">
        <v>4.68</v>
      </c>
      <c r="Q413">
        <v>2.15</v>
      </c>
      <c r="R413" t="s">
        <v>202</v>
      </c>
      <c r="S413" t="s">
        <v>73</v>
      </c>
      <c r="T413" t="s">
        <v>30</v>
      </c>
    </row>
    <row r="414" spans="1:20" x14ac:dyDescent="0.3">
      <c r="A414">
        <v>10399</v>
      </c>
      <c r="B414" s="2">
        <v>46019</v>
      </c>
      <c r="C414" t="s">
        <v>20</v>
      </c>
      <c r="D414" t="s">
        <v>64</v>
      </c>
      <c r="E414" t="s">
        <v>107</v>
      </c>
      <c r="F414" t="s">
        <v>41</v>
      </c>
      <c r="G414" t="s">
        <v>89</v>
      </c>
      <c r="H414" t="s">
        <v>35</v>
      </c>
      <c r="I414" t="s">
        <v>293</v>
      </c>
      <c r="J414">
        <v>523</v>
      </c>
      <c r="K414">
        <v>2</v>
      </c>
      <c r="L414" t="s">
        <v>27</v>
      </c>
      <c r="M414">
        <v>85</v>
      </c>
      <c r="N414">
        <v>35</v>
      </c>
      <c r="O414">
        <v>53.4</v>
      </c>
      <c r="P414">
        <v>5.74</v>
      </c>
      <c r="Q414">
        <v>5.55</v>
      </c>
      <c r="R414" t="s">
        <v>58</v>
      </c>
      <c r="S414" t="s">
        <v>39</v>
      </c>
      <c r="T414" t="s">
        <v>30</v>
      </c>
    </row>
    <row r="415" spans="1:20" x14ac:dyDescent="0.3">
      <c r="A415">
        <v>10371</v>
      </c>
      <c r="B415" s="2">
        <v>45932</v>
      </c>
      <c r="C415" t="s">
        <v>20</v>
      </c>
      <c r="D415" t="s">
        <v>59</v>
      </c>
      <c r="E415" t="s">
        <v>40</v>
      </c>
      <c r="F415" t="s">
        <v>81</v>
      </c>
      <c r="G415" t="s">
        <v>60</v>
      </c>
      <c r="H415" t="s">
        <v>88</v>
      </c>
      <c r="I415" t="s">
        <v>151</v>
      </c>
      <c r="J415">
        <v>1519</v>
      </c>
      <c r="K415">
        <v>17</v>
      </c>
      <c r="L415" t="s">
        <v>71</v>
      </c>
      <c r="M415">
        <v>50</v>
      </c>
      <c r="N415">
        <v>50.8</v>
      </c>
      <c r="O415">
        <v>64.599999999999994</v>
      </c>
      <c r="P415">
        <v>4.41</v>
      </c>
      <c r="Q415">
        <v>1.88</v>
      </c>
      <c r="R415" t="s">
        <v>216</v>
      </c>
      <c r="S415" t="s">
        <v>47</v>
      </c>
      <c r="T415" t="s">
        <v>30</v>
      </c>
    </row>
    <row r="416" spans="1:20" x14ac:dyDescent="0.3">
      <c r="A416">
        <v>10055</v>
      </c>
      <c r="B416" s="2">
        <v>45821</v>
      </c>
      <c r="C416" t="s">
        <v>20</v>
      </c>
      <c r="D416" t="s">
        <v>32</v>
      </c>
      <c r="E416" t="s">
        <v>40</v>
      </c>
      <c r="F416" t="s">
        <v>41</v>
      </c>
      <c r="G416" t="s">
        <v>74</v>
      </c>
      <c r="H416" t="s">
        <v>172</v>
      </c>
      <c r="I416" t="s">
        <v>281</v>
      </c>
      <c r="J416">
        <v>1268</v>
      </c>
      <c r="K416">
        <v>43</v>
      </c>
      <c r="L416" t="s">
        <v>71</v>
      </c>
      <c r="M416">
        <v>115</v>
      </c>
      <c r="N416">
        <v>29.7</v>
      </c>
      <c r="O416">
        <v>71</v>
      </c>
      <c r="P416">
        <v>4.21</v>
      </c>
      <c r="Q416">
        <v>2.96</v>
      </c>
      <c r="R416" t="s">
        <v>242</v>
      </c>
      <c r="S416" t="s">
        <v>73</v>
      </c>
      <c r="T416" t="s">
        <v>48</v>
      </c>
    </row>
    <row r="417" spans="1:20" x14ac:dyDescent="0.3">
      <c r="A417">
        <v>11475</v>
      </c>
      <c r="B417" s="2">
        <v>45704</v>
      </c>
      <c r="C417" t="s">
        <v>49</v>
      </c>
      <c r="D417" t="s">
        <v>64</v>
      </c>
      <c r="E417" t="s">
        <v>33</v>
      </c>
      <c r="F417" t="s">
        <v>81</v>
      </c>
      <c r="G417" t="s">
        <v>113</v>
      </c>
      <c r="H417" t="s">
        <v>116</v>
      </c>
      <c r="I417" t="s">
        <v>181</v>
      </c>
      <c r="J417">
        <v>739</v>
      </c>
      <c r="K417">
        <v>5</v>
      </c>
      <c r="L417" t="s">
        <v>45</v>
      </c>
      <c r="M417">
        <v>117</v>
      </c>
      <c r="N417">
        <v>41.5</v>
      </c>
      <c r="O417">
        <v>63.7</v>
      </c>
      <c r="P417">
        <v>6.44</v>
      </c>
      <c r="Q417">
        <v>2.0299999999999998</v>
      </c>
      <c r="R417" t="s">
        <v>28</v>
      </c>
      <c r="S417" t="s">
        <v>73</v>
      </c>
      <c r="T417" t="s">
        <v>30</v>
      </c>
    </row>
    <row r="418" spans="1:20" x14ac:dyDescent="0.3">
      <c r="A418">
        <v>10576</v>
      </c>
      <c r="B418" s="2">
        <v>46013</v>
      </c>
      <c r="C418" t="s">
        <v>20</v>
      </c>
      <c r="D418" t="s">
        <v>32</v>
      </c>
      <c r="E418" t="s">
        <v>107</v>
      </c>
      <c r="F418" t="s">
        <v>41</v>
      </c>
      <c r="G418" t="s">
        <v>89</v>
      </c>
      <c r="H418" t="s">
        <v>351</v>
      </c>
      <c r="I418" t="s">
        <v>361</v>
      </c>
      <c r="J418">
        <v>835</v>
      </c>
      <c r="K418">
        <v>4</v>
      </c>
      <c r="L418" t="s">
        <v>45</v>
      </c>
      <c r="M418">
        <v>152</v>
      </c>
      <c r="N418">
        <v>41.7</v>
      </c>
      <c r="O418">
        <v>67.3</v>
      </c>
      <c r="P418">
        <v>3.91</v>
      </c>
      <c r="Q418">
        <v>1.84</v>
      </c>
      <c r="R418" t="s">
        <v>153</v>
      </c>
      <c r="S418" t="s">
        <v>47</v>
      </c>
      <c r="T418" t="s">
        <v>30</v>
      </c>
    </row>
    <row r="419" spans="1:20" x14ac:dyDescent="0.3">
      <c r="A419">
        <v>10313</v>
      </c>
      <c r="B419" s="2">
        <v>45883</v>
      </c>
      <c r="C419" t="s">
        <v>20</v>
      </c>
      <c r="D419" t="s">
        <v>32</v>
      </c>
      <c r="E419" t="s">
        <v>107</v>
      </c>
      <c r="F419" t="s">
        <v>41</v>
      </c>
      <c r="G419" t="s">
        <v>95</v>
      </c>
      <c r="H419" t="s">
        <v>126</v>
      </c>
      <c r="I419" t="s">
        <v>168</v>
      </c>
      <c r="J419">
        <v>577</v>
      </c>
      <c r="K419">
        <v>4</v>
      </c>
      <c r="L419" t="s">
        <v>68</v>
      </c>
      <c r="M419">
        <v>97</v>
      </c>
      <c r="N419">
        <v>40.4</v>
      </c>
      <c r="O419">
        <v>73.900000000000006</v>
      </c>
      <c r="P419">
        <v>4.0999999999999996</v>
      </c>
      <c r="Q419">
        <v>0.15</v>
      </c>
      <c r="R419" t="s">
        <v>167</v>
      </c>
      <c r="S419" t="s">
        <v>47</v>
      </c>
      <c r="T419" t="s">
        <v>30</v>
      </c>
    </row>
    <row r="420" spans="1:20" x14ac:dyDescent="0.3">
      <c r="A420">
        <v>10933</v>
      </c>
      <c r="B420" s="2">
        <v>45890</v>
      </c>
      <c r="C420" t="s">
        <v>49</v>
      </c>
      <c r="D420" t="s">
        <v>32</v>
      </c>
      <c r="E420" t="s">
        <v>107</v>
      </c>
      <c r="F420" t="s">
        <v>23</v>
      </c>
      <c r="G420" t="s">
        <v>109</v>
      </c>
      <c r="H420" t="s">
        <v>90</v>
      </c>
      <c r="I420" t="s">
        <v>304</v>
      </c>
      <c r="J420">
        <v>1442</v>
      </c>
      <c r="K420">
        <v>11</v>
      </c>
      <c r="L420" t="s">
        <v>27</v>
      </c>
      <c r="M420">
        <v>71</v>
      </c>
      <c r="N420">
        <v>41.7</v>
      </c>
      <c r="O420">
        <v>79.400000000000006</v>
      </c>
      <c r="P420">
        <v>4.96</v>
      </c>
      <c r="Q420">
        <v>5.82</v>
      </c>
      <c r="R420" t="s">
        <v>245</v>
      </c>
      <c r="S420" t="s">
        <v>29</v>
      </c>
      <c r="T420" t="s">
        <v>30</v>
      </c>
    </row>
    <row r="421" spans="1:20" x14ac:dyDescent="0.3">
      <c r="A421">
        <v>10110</v>
      </c>
      <c r="B421" s="2">
        <v>45908</v>
      </c>
      <c r="C421" t="s">
        <v>150</v>
      </c>
      <c r="D421" t="s">
        <v>32</v>
      </c>
      <c r="E421" t="s">
        <v>40</v>
      </c>
      <c r="F421" t="s">
        <v>41</v>
      </c>
      <c r="G421" t="s">
        <v>74</v>
      </c>
      <c r="H421" t="s">
        <v>90</v>
      </c>
      <c r="I421" t="s">
        <v>319</v>
      </c>
      <c r="J421">
        <v>1189</v>
      </c>
      <c r="K421">
        <v>4</v>
      </c>
      <c r="L421" t="s">
        <v>45</v>
      </c>
      <c r="M421">
        <v>149</v>
      </c>
      <c r="N421">
        <v>41.6</v>
      </c>
      <c r="O421">
        <v>90.2</v>
      </c>
      <c r="P421">
        <v>5.64</v>
      </c>
      <c r="Q421">
        <v>1.76</v>
      </c>
      <c r="R421" t="s">
        <v>229</v>
      </c>
      <c r="S421" t="s">
        <v>29</v>
      </c>
      <c r="T421" t="s">
        <v>30</v>
      </c>
    </row>
    <row r="422" spans="1:20" x14ac:dyDescent="0.3">
      <c r="A422">
        <v>10788</v>
      </c>
      <c r="B422" s="2">
        <v>45690</v>
      </c>
      <c r="C422" t="s">
        <v>31</v>
      </c>
      <c r="D422" t="s">
        <v>32</v>
      </c>
      <c r="E422" t="s">
        <v>33</v>
      </c>
      <c r="F422" t="s">
        <v>81</v>
      </c>
      <c r="G422" t="s">
        <v>109</v>
      </c>
      <c r="H422" t="s">
        <v>200</v>
      </c>
      <c r="I422" t="s">
        <v>70</v>
      </c>
      <c r="J422">
        <v>984</v>
      </c>
      <c r="K422">
        <v>11</v>
      </c>
      <c r="L422" t="s">
        <v>45</v>
      </c>
      <c r="M422">
        <v>60</v>
      </c>
      <c r="N422">
        <v>42.1</v>
      </c>
      <c r="O422">
        <v>76.2</v>
      </c>
      <c r="P422">
        <v>6.5</v>
      </c>
      <c r="Q422">
        <v>2.62</v>
      </c>
      <c r="R422" t="s">
        <v>183</v>
      </c>
      <c r="S422" t="s">
        <v>47</v>
      </c>
      <c r="T422" t="s">
        <v>30</v>
      </c>
    </row>
    <row r="423" spans="1:20" x14ac:dyDescent="0.3">
      <c r="A423">
        <v>11360</v>
      </c>
      <c r="B423" s="2">
        <v>45730</v>
      </c>
      <c r="C423" t="s">
        <v>31</v>
      </c>
      <c r="D423" t="s">
        <v>59</v>
      </c>
      <c r="E423" t="s">
        <v>107</v>
      </c>
      <c r="F423" t="s">
        <v>23</v>
      </c>
      <c r="G423" t="s">
        <v>42</v>
      </c>
      <c r="H423" t="s">
        <v>131</v>
      </c>
      <c r="I423" t="s">
        <v>118</v>
      </c>
      <c r="J423">
        <v>1479</v>
      </c>
      <c r="K423">
        <v>20</v>
      </c>
      <c r="L423" t="s">
        <v>37</v>
      </c>
      <c r="M423">
        <v>55</v>
      </c>
      <c r="N423">
        <v>43</v>
      </c>
      <c r="O423">
        <v>75.5</v>
      </c>
      <c r="P423">
        <v>3.82</v>
      </c>
      <c r="Q423">
        <v>0.13</v>
      </c>
      <c r="R423" t="s">
        <v>186</v>
      </c>
      <c r="S423" t="s">
        <v>47</v>
      </c>
      <c r="T423" t="s">
        <v>30</v>
      </c>
    </row>
    <row r="424" spans="1:20" x14ac:dyDescent="0.3">
      <c r="A424">
        <v>10101</v>
      </c>
      <c r="B424" s="2">
        <v>45665</v>
      </c>
      <c r="C424" t="s">
        <v>20</v>
      </c>
      <c r="D424" t="s">
        <v>21</v>
      </c>
      <c r="E424" t="s">
        <v>22</v>
      </c>
      <c r="F424" t="s">
        <v>41</v>
      </c>
      <c r="G424" t="s">
        <v>89</v>
      </c>
      <c r="H424" t="s">
        <v>90</v>
      </c>
      <c r="I424" t="s">
        <v>268</v>
      </c>
      <c r="J424">
        <v>1405</v>
      </c>
      <c r="K424">
        <v>65</v>
      </c>
      <c r="L424" t="s">
        <v>27</v>
      </c>
      <c r="M424">
        <v>156</v>
      </c>
      <c r="N424">
        <v>25</v>
      </c>
      <c r="O424">
        <v>73.5</v>
      </c>
      <c r="P424">
        <v>5.39</v>
      </c>
      <c r="Q424">
        <v>2.78</v>
      </c>
      <c r="R424" t="s">
        <v>122</v>
      </c>
      <c r="S424" t="s">
        <v>39</v>
      </c>
      <c r="T424" t="s">
        <v>48</v>
      </c>
    </row>
    <row r="425" spans="1:20" x14ac:dyDescent="0.3">
      <c r="A425">
        <v>10916</v>
      </c>
      <c r="B425" s="2">
        <v>45961</v>
      </c>
      <c r="C425" t="s">
        <v>31</v>
      </c>
      <c r="D425" t="s">
        <v>32</v>
      </c>
      <c r="E425" t="s">
        <v>33</v>
      </c>
      <c r="F425" t="s">
        <v>23</v>
      </c>
      <c r="G425" t="s">
        <v>50</v>
      </c>
      <c r="H425" t="s">
        <v>75</v>
      </c>
      <c r="I425" t="s">
        <v>295</v>
      </c>
      <c r="J425">
        <v>1237</v>
      </c>
      <c r="K425">
        <v>2</v>
      </c>
      <c r="L425" t="s">
        <v>37</v>
      </c>
      <c r="M425">
        <v>68</v>
      </c>
      <c r="N425">
        <v>42.1</v>
      </c>
      <c r="O425">
        <v>60.8</v>
      </c>
      <c r="P425">
        <v>6.51</v>
      </c>
      <c r="Q425">
        <v>2.25</v>
      </c>
      <c r="R425" t="s">
        <v>183</v>
      </c>
      <c r="S425" t="s">
        <v>39</v>
      </c>
      <c r="T425" t="s">
        <v>30</v>
      </c>
    </row>
    <row r="426" spans="1:20" x14ac:dyDescent="0.3">
      <c r="A426">
        <v>10678</v>
      </c>
      <c r="B426" s="2">
        <v>45682</v>
      </c>
      <c r="C426" t="s">
        <v>31</v>
      </c>
      <c r="D426" t="s">
        <v>59</v>
      </c>
      <c r="E426" t="s">
        <v>22</v>
      </c>
      <c r="F426" t="s">
        <v>41</v>
      </c>
      <c r="G426" t="s">
        <v>109</v>
      </c>
      <c r="H426" t="s">
        <v>88</v>
      </c>
      <c r="I426" t="s">
        <v>337</v>
      </c>
      <c r="J426">
        <v>1223</v>
      </c>
      <c r="K426">
        <v>28</v>
      </c>
      <c r="L426" t="s">
        <v>27</v>
      </c>
      <c r="M426">
        <v>150</v>
      </c>
      <c r="N426">
        <v>47.7</v>
      </c>
      <c r="O426">
        <v>68.3</v>
      </c>
      <c r="P426">
        <v>4.5599999999999996</v>
      </c>
      <c r="Q426">
        <v>3.92</v>
      </c>
      <c r="R426" t="s">
        <v>105</v>
      </c>
      <c r="S426" t="s">
        <v>29</v>
      </c>
      <c r="T426" t="s">
        <v>30</v>
      </c>
    </row>
    <row r="427" spans="1:20" x14ac:dyDescent="0.3">
      <c r="A427">
        <v>11388</v>
      </c>
      <c r="B427" s="2">
        <v>46009</v>
      </c>
      <c r="C427" t="s">
        <v>20</v>
      </c>
      <c r="D427" t="s">
        <v>21</v>
      </c>
      <c r="E427" t="s">
        <v>33</v>
      </c>
      <c r="F427" t="s">
        <v>23</v>
      </c>
      <c r="G427" t="s">
        <v>42</v>
      </c>
      <c r="H427" t="s">
        <v>66</v>
      </c>
      <c r="I427" t="s">
        <v>307</v>
      </c>
      <c r="J427">
        <v>882</v>
      </c>
      <c r="K427">
        <v>7</v>
      </c>
      <c r="L427" t="s">
        <v>45</v>
      </c>
      <c r="M427">
        <v>156</v>
      </c>
      <c r="N427">
        <v>36.799999999999997</v>
      </c>
      <c r="O427">
        <v>71.400000000000006</v>
      </c>
      <c r="P427">
        <v>3.99</v>
      </c>
      <c r="Q427">
        <v>4.51</v>
      </c>
      <c r="R427" t="s">
        <v>243</v>
      </c>
      <c r="S427" t="s">
        <v>29</v>
      </c>
      <c r="T427" t="s">
        <v>30</v>
      </c>
    </row>
    <row r="428" spans="1:20" x14ac:dyDescent="0.3">
      <c r="A428">
        <v>10267</v>
      </c>
      <c r="B428" s="2">
        <v>45805</v>
      </c>
      <c r="C428" t="s">
        <v>31</v>
      </c>
      <c r="D428" t="s">
        <v>64</v>
      </c>
      <c r="E428" t="s">
        <v>22</v>
      </c>
      <c r="F428" t="s">
        <v>23</v>
      </c>
      <c r="G428" t="s">
        <v>109</v>
      </c>
      <c r="H428" t="s">
        <v>43</v>
      </c>
      <c r="I428" t="s">
        <v>362</v>
      </c>
      <c r="J428">
        <v>1046</v>
      </c>
      <c r="K428">
        <v>35</v>
      </c>
      <c r="L428" t="s">
        <v>27</v>
      </c>
      <c r="M428">
        <v>70</v>
      </c>
      <c r="N428">
        <v>45.4</v>
      </c>
      <c r="O428">
        <v>77.400000000000006</v>
      </c>
      <c r="P428">
        <v>5.32</v>
      </c>
      <c r="Q428">
        <v>2.48</v>
      </c>
      <c r="R428" t="s">
        <v>38</v>
      </c>
      <c r="S428" t="s">
        <v>39</v>
      </c>
      <c r="T428" t="s">
        <v>48</v>
      </c>
    </row>
    <row r="429" spans="1:20" x14ac:dyDescent="0.3">
      <c r="A429">
        <v>11472</v>
      </c>
      <c r="B429" s="2">
        <v>45848</v>
      </c>
      <c r="C429" t="s">
        <v>31</v>
      </c>
      <c r="D429" t="s">
        <v>21</v>
      </c>
      <c r="E429" t="s">
        <v>33</v>
      </c>
      <c r="F429" t="s">
        <v>23</v>
      </c>
      <c r="G429" t="s">
        <v>42</v>
      </c>
      <c r="H429" t="s">
        <v>101</v>
      </c>
      <c r="I429" t="s">
        <v>236</v>
      </c>
      <c r="J429">
        <v>531</v>
      </c>
      <c r="K429">
        <v>2</v>
      </c>
      <c r="L429" t="s">
        <v>71</v>
      </c>
      <c r="M429">
        <v>110</v>
      </c>
      <c r="N429">
        <v>49</v>
      </c>
      <c r="O429">
        <v>78</v>
      </c>
      <c r="P429">
        <v>6.5</v>
      </c>
      <c r="Q429">
        <v>1.63</v>
      </c>
      <c r="R429" t="s">
        <v>174</v>
      </c>
      <c r="S429" t="s">
        <v>29</v>
      </c>
      <c r="T429" t="s">
        <v>30</v>
      </c>
    </row>
    <row r="430" spans="1:20" x14ac:dyDescent="0.3">
      <c r="A430">
        <v>10297</v>
      </c>
      <c r="B430" s="2">
        <v>46013</v>
      </c>
      <c r="C430" t="s">
        <v>31</v>
      </c>
      <c r="D430" t="s">
        <v>64</v>
      </c>
      <c r="E430" t="s">
        <v>107</v>
      </c>
      <c r="F430" t="s">
        <v>23</v>
      </c>
      <c r="G430" t="s">
        <v>54</v>
      </c>
      <c r="H430" t="s">
        <v>190</v>
      </c>
      <c r="I430" t="s">
        <v>317</v>
      </c>
      <c r="J430">
        <v>1459</v>
      </c>
      <c r="K430">
        <v>19</v>
      </c>
      <c r="L430" t="s">
        <v>68</v>
      </c>
      <c r="M430">
        <v>73</v>
      </c>
      <c r="N430">
        <v>41.9</v>
      </c>
      <c r="O430">
        <v>70.400000000000006</v>
      </c>
      <c r="P430">
        <v>4.8899999999999997</v>
      </c>
      <c r="Q430">
        <v>2.64</v>
      </c>
      <c r="R430" t="s">
        <v>179</v>
      </c>
      <c r="S430" t="s">
        <v>29</v>
      </c>
      <c r="T430" t="s">
        <v>30</v>
      </c>
    </row>
    <row r="431" spans="1:20" x14ac:dyDescent="0.3">
      <c r="A431">
        <v>10535</v>
      </c>
      <c r="B431" s="2">
        <v>45659</v>
      </c>
      <c r="C431" t="s">
        <v>20</v>
      </c>
      <c r="D431" t="s">
        <v>64</v>
      </c>
      <c r="E431" t="s">
        <v>22</v>
      </c>
      <c r="F431" t="s">
        <v>41</v>
      </c>
      <c r="G431" t="s">
        <v>60</v>
      </c>
      <c r="H431" t="s">
        <v>90</v>
      </c>
      <c r="I431" t="s">
        <v>194</v>
      </c>
      <c r="J431">
        <v>1409</v>
      </c>
      <c r="K431">
        <v>24</v>
      </c>
      <c r="L431" t="s">
        <v>68</v>
      </c>
      <c r="M431">
        <v>39</v>
      </c>
      <c r="N431">
        <v>53.4</v>
      </c>
      <c r="O431">
        <v>80</v>
      </c>
      <c r="P431">
        <v>4.6500000000000004</v>
      </c>
      <c r="Q431">
        <v>2.98</v>
      </c>
      <c r="R431" t="s">
        <v>167</v>
      </c>
      <c r="S431" t="s">
        <v>39</v>
      </c>
      <c r="T431" t="s">
        <v>30</v>
      </c>
    </row>
    <row r="432" spans="1:20" x14ac:dyDescent="0.3">
      <c r="A432">
        <v>11449</v>
      </c>
      <c r="B432" s="2">
        <v>45897</v>
      </c>
      <c r="C432" t="s">
        <v>49</v>
      </c>
      <c r="D432" t="s">
        <v>21</v>
      </c>
      <c r="E432" t="s">
        <v>22</v>
      </c>
      <c r="F432" t="s">
        <v>41</v>
      </c>
      <c r="G432" t="s">
        <v>34</v>
      </c>
      <c r="H432" t="s">
        <v>25</v>
      </c>
      <c r="I432" t="s">
        <v>254</v>
      </c>
      <c r="J432">
        <v>1574</v>
      </c>
      <c r="K432">
        <v>20</v>
      </c>
      <c r="L432" t="s">
        <v>68</v>
      </c>
      <c r="M432">
        <v>75</v>
      </c>
      <c r="N432">
        <v>49.5</v>
      </c>
      <c r="O432">
        <v>81.400000000000006</v>
      </c>
      <c r="P432">
        <v>6.54</v>
      </c>
      <c r="Q432">
        <v>2.61</v>
      </c>
      <c r="R432" t="s">
        <v>147</v>
      </c>
      <c r="S432" t="s">
        <v>47</v>
      </c>
      <c r="T432" t="s">
        <v>30</v>
      </c>
    </row>
    <row r="433" spans="1:20" x14ac:dyDescent="0.3">
      <c r="A433">
        <v>10707</v>
      </c>
      <c r="B433" s="2">
        <v>45729</v>
      </c>
      <c r="C433" t="s">
        <v>31</v>
      </c>
      <c r="D433" t="s">
        <v>59</v>
      </c>
      <c r="E433" t="s">
        <v>40</v>
      </c>
      <c r="F433" t="s">
        <v>23</v>
      </c>
      <c r="G433" t="s">
        <v>60</v>
      </c>
      <c r="H433" t="s">
        <v>88</v>
      </c>
      <c r="I433" t="s">
        <v>276</v>
      </c>
      <c r="J433">
        <v>1569</v>
      </c>
      <c r="K433">
        <v>16</v>
      </c>
      <c r="L433" t="s">
        <v>27</v>
      </c>
      <c r="M433">
        <v>61</v>
      </c>
      <c r="N433">
        <v>40.6</v>
      </c>
      <c r="O433">
        <v>57.9</v>
      </c>
      <c r="P433">
        <v>5.73</v>
      </c>
      <c r="Q433">
        <v>3.47</v>
      </c>
      <c r="R433" t="s">
        <v>111</v>
      </c>
      <c r="S433" t="s">
        <v>47</v>
      </c>
      <c r="T433" t="s">
        <v>30</v>
      </c>
    </row>
    <row r="434" spans="1:20" x14ac:dyDescent="0.3">
      <c r="A434">
        <v>11180</v>
      </c>
      <c r="B434" s="2">
        <v>45744</v>
      </c>
      <c r="C434" t="s">
        <v>49</v>
      </c>
      <c r="D434" t="s">
        <v>64</v>
      </c>
      <c r="E434" t="s">
        <v>107</v>
      </c>
      <c r="F434" t="s">
        <v>23</v>
      </c>
      <c r="G434" t="s">
        <v>109</v>
      </c>
      <c r="H434" t="s">
        <v>141</v>
      </c>
      <c r="I434" t="s">
        <v>142</v>
      </c>
      <c r="J434" t="s">
        <v>363</v>
      </c>
      <c r="K434">
        <v>7</v>
      </c>
      <c r="L434" t="s">
        <v>27</v>
      </c>
      <c r="M434">
        <v>43</v>
      </c>
      <c r="N434">
        <v>41.2</v>
      </c>
      <c r="O434">
        <v>84.4</v>
      </c>
      <c r="P434">
        <v>5.38</v>
      </c>
      <c r="Q434">
        <v>1.31</v>
      </c>
      <c r="R434" t="s">
        <v>159</v>
      </c>
      <c r="S434" t="s">
        <v>73</v>
      </c>
      <c r="T434" t="s">
        <v>30</v>
      </c>
    </row>
    <row r="435" spans="1:20" x14ac:dyDescent="0.3">
      <c r="A435">
        <v>10378</v>
      </c>
      <c r="B435" s="2">
        <v>45762</v>
      </c>
      <c r="C435" t="s">
        <v>49</v>
      </c>
      <c r="D435" t="s">
        <v>59</v>
      </c>
      <c r="E435" t="s">
        <v>107</v>
      </c>
      <c r="F435" t="s">
        <v>23</v>
      </c>
      <c r="G435" t="s">
        <v>50</v>
      </c>
      <c r="H435" t="s">
        <v>126</v>
      </c>
      <c r="I435" t="s">
        <v>118</v>
      </c>
      <c r="J435">
        <v>1034</v>
      </c>
      <c r="K435">
        <v>6</v>
      </c>
      <c r="L435" t="s">
        <v>45</v>
      </c>
      <c r="M435">
        <v>52</v>
      </c>
      <c r="N435">
        <v>31.5</v>
      </c>
      <c r="O435">
        <v>69.2</v>
      </c>
      <c r="P435">
        <v>5.98</v>
      </c>
      <c r="Q435">
        <v>1.98</v>
      </c>
      <c r="R435" t="s">
        <v>159</v>
      </c>
      <c r="S435" t="s">
        <v>39</v>
      </c>
      <c r="T435" t="s">
        <v>30</v>
      </c>
    </row>
    <row r="436" spans="1:20" x14ac:dyDescent="0.3">
      <c r="A436">
        <v>10287</v>
      </c>
      <c r="B436" s="2">
        <v>45988</v>
      </c>
      <c r="C436" t="s">
        <v>31</v>
      </c>
      <c r="D436" t="s">
        <v>59</v>
      </c>
      <c r="E436" t="s">
        <v>22</v>
      </c>
      <c r="F436" t="s">
        <v>23</v>
      </c>
      <c r="G436" t="s">
        <v>50</v>
      </c>
      <c r="H436" t="s">
        <v>148</v>
      </c>
      <c r="I436" t="s">
        <v>97</v>
      </c>
      <c r="J436">
        <v>732</v>
      </c>
      <c r="K436">
        <v>46</v>
      </c>
      <c r="L436" t="s">
        <v>45</v>
      </c>
      <c r="M436">
        <v>68</v>
      </c>
      <c r="N436">
        <v>46.7</v>
      </c>
      <c r="O436">
        <v>72.599999999999994</v>
      </c>
      <c r="Q436">
        <v>2.5099999999999998</v>
      </c>
      <c r="R436" t="s">
        <v>159</v>
      </c>
      <c r="S436" t="s">
        <v>29</v>
      </c>
      <c r="T436" t="s">
        <v>48</v>
      </c>
    </row>
    <row r="437" spans="1:20" x14ac:dyDescent="0.3">
      <c r="A437">
        <v>11451</v>
      </c>
      <c r="B437" s="2">
        <v>45875</v>
      </c>
      <c r="C437" t="s">
        <v>31</v>
      </c>
      <c r="D437" t="s">
        <v>59</v>
      </c>
      <c r="E437" t="s">
        <v>107</v>
      </c>
      <c r="F437" t="s">
        <v>81</v>
      </c>
      <c r="G437" t="s">
        <v>109</v>
      </c>
      <c r="H437" t="s">
        <v>120</v>
      </c>
      <c r="I437" t="s">
        <v>239</v>
      </c>
      <c r="J437">
        <v>850</v>
      </c>
      <c r="K437">
        <v>13</v>
      </c>
      <c r="L437" t="s">
        <v>45</v>
      </c>
      <c r="M437">
        <v>50</v>
      </c>
      <c r="N437">
        <v>46.2</v>
      </c>
      <c r="O437">
        <v>74.900000000000006</v>
      </c>
      <c r="P437">
        <v>4.78</v>
      </c>
      <c r="Q437">
        <v>3.57</v>
      </c>
      <c r="R437" t="s">
        <v>209</v>
      </c>
      <c r="S437" t="s">
        <v>73</v>
      </c>
      <c r="T437" t="s">
        <v>30</v>
      </c>
    </row>
    <row r="438" spans="1:20" x14ac:dyDescent="0.3">
      <c r="A438">
        <v>11371</v>
      </c>
      <c r="B438" s="2">
        <v>45968</v>
      </c>
      <c r="C438" t="s">
        <v>31</v>
      </c>
      <c r="D438" t="s">
        <v>21</v>
      </c>
      <c r="E438" t="s">
        <v>33</v>
      </c>
      <c r="F438" t="s">
        <v>81</v>
      </c>
      <c r="G438" t="s">
        <v>34</v>
      </c>
      <c r="H438" t="s">
        <v>205</v>
      </c>
      <c r="I438" t="s">
        <v>310</v>
      </c>
      <c r="J438">
        <v>903</v>
      </c>
      <c r="K438">
        <v>11</v>
      </c>
      <c r="L438" t="s">
        <v>71</v>
      </c>
      <c r="M438">
        <v>44</v>
      </c>
      <c r="N438">
        <v>37</v>
      </c>
      <c r="O438">
        <v>67.3</v>
      </c>
      <c r="P438">
        <v>5.53</v>
      </c>
      <c r="Q438">
        <v>3.53</v>
      </c>
      <c r="R438" t="s">
        <v>202</v>
      </c>
      <c r="S438" t="s">
        <v>73</v>
      </c>
      <c r="T438" t="s">
        <v>30</v>
      </c>
    </row>
    <row r="439" spans="1:20" x14ac:dyDescent="0.3">
      <c r="A439">
        <v>10127</v>
      </c>
      <c r="B439" s="2">
        <v>45961</v>
      </c>
      <c r="C439" t="s">
        <v>20</v>
      </c>
      <c r="D439" t="s">
        <v>32</v>
      </c>
      <c r="E439" t="s">
        <v>107</v>
      </c>
      <c r="F439" t="s">
        <v>23</v>
      </c>
      <c r="G439" t="s">
        <v>24</v>
      </c>
      <c r="H439" t="s">
        <v>126</v>
      </c>
      <c r="I439" t="s">
        <v>306</v>
      </c>
      <c r="J439">
        <v>717</v>
      </c>
      <c r="K439">
        <v>7</v>
      </c>
      <c r="L439" t="s">
        <v>27</v>
      </c>
      <c r="M439">
        <v>39</v>
      </c>
      <c r="N439">
        <v>46.6</v>
      </c>
      <c r="O439">
        <v>93.5</v>
      </c>
      <c r="P439">
        <v>3.75</v>
      </c>
      <c r="Q439">
        <v>2.04</v>
      </c>
      <c r="R439" t="s">
        <v>28</v>
      </c>
      <c r="S439" t="s">
        <v>29</v>
      </c>
      <c r="T439" t="s">
        <v>30</v>
      </c>
    </row>
    <row r="440" spans="1:20" x14ac:dyDescent="0.3">
      <c r="A440">
        <v>10328</v>
      </c>
      <c r="B440" s="2">
        <v>45829</v>
      </c>
      <c r="C440" t="s">
        <v>31</v>
      </c>
      <c r="D440" t="s">
        <v>21</v>
      </c>
      <c r="E440" t="s">
        <v>40</v>
      </c>
      <c r="F440" t="s">
        <v>81</v>
      </c>
      <c r="G440" t="s">
        <v>42</v>
      </c>
      <c r="H440" t="s">
        <v>196</v>
      </c>
      <c r="I440" t="s">
        <v>330</v>
      </c>
      <c r="J440">
        <v>1192</v>
      </c>
      <c r="K440">
        <v>18</v>
      </c>
      <c r="L440" t="s">
        <v>45</v>
      </c>
      <c r="M440">
        <v>73</v>
      </c>
      <c r="N440">
        <v>54.4</v>
      </c>
      <c r="O440">
        <v>68.3</v>
      </c>
      <c r="P440">
        <v>4.58</v>
      </c>
      <c r="Q440">
        <v>3.4</v>
      </c>
      <c r="R440" t="s">
        <v>195</v>
      </c>
      <c r="S440" t="s">
        <v>29</v>
      </c>
      <c r="T440" t="s">
        <v>30</v>
      </c>
    </row>
    <row r="441" spans="1:20" x14ac:dyDescent="0.3">
      <c r="A441">
        <v>10293</v>
      </c>
      <c r="B441" s="2">
        <v>45918</v>
      </c>
      <c r="C441" t="s">
        <v>20</v>
      </c>
      <c r="D441" t="s">
        <v>32</v>
      </c>
      <c r="E441" t="s">
        <v>33</v>
      </c>
      <c r="F441" t="s">
        <v>23</v>
      </c>
      <c r="G441" t="s">
        <v>54</v>
      </c>
      <c r="H441" t="s">
        <v>190</v>
      </c>
      <c r="I441" t="s">
        <v>324</v>
      </c>
      <c r="J441">
        <v>1578</v>
      </c>
      <c r="K441">
        <v>60</v>
      </c>
      <c r="L441" t="s">
        <v>57</v>
      </c>
      <c r="M441">
        <v>150</v>
      </c>
      <c r="N441">
        <v>41.1</v>
      </c>
      <c r="O441">
        <v>69</v>
      </c>
      <c r="P441">
        <v>4.05</v>
      </c>
      <c r="Q441">
        <v>2.2200000000000002</v>
      </c>
      <c r="R441" t="s">
        <v>159</v>
      </c>
      <c r="S441" t="s">
        <v>39</v>
      </c>
      <c r="T441" t="s">
        <v>48</v>
      </c>
    </row>
    <row r="442" spans="1:20" x14ac:dyDescent="0.3">
      <c r="A442">
        <v>10555</v>
      </c>
      <c r="B442" s="2">
        <v>45761</v>
      </c>
      <c r="C442" t="s">
        <v>106</v>
      </c>
      <c r="D442" t="s">
        <v>59</v>
      </c>
      <c r="E442" t="s">
        <v>40</v>
      </c>
      <c r="F442" t="s">
        <v>65</v>
      </c>
      <c r="G442" t="s">
        <v>134</v>
      </c>
      <c r="H442" t="s">
        <v>144</v>
      </c>
      <c r="I442" t="s">
        <v>355</v>
      </c>
      <c r="J442">
        <v>664</v>
      </c>
      <c r="K442">
        <v>2</v>
      </c>
      <c r="L442" t="s">
        <v>45</v>
      </c>
      <c r="M442">
        <v>35</v>
      </c>
      <c r="N442">
        <v>38.299999999999997</v>
      </c>
      <c r="O442">
        <v>76</v>
      </c>
      <c r="P442">
        <v>6.04</v>
      </c>
      <c r="Q442">
        <v>1.72</v>
      </c>
      <c r="R442" t="s">
        <v>216</v>
      </c>
      <c r="S442" t="s">
        <v>47</v>
      </c>
      <c r="T442" t="s">
        <v>30</v>
      </c>
    </row>
    <row r="443" spans="1:20" x14ac:dyDescent="0.3">
      <c r="A443">
        <v>10866</v>
      </c>
      <c r="B443" s="2">
        <v>46018</v>
      </c>
      <c r="C443" t="s">
        <v>20</v>
      </c>
      <c r="D443" t="s">
        <v>21</v>
      </c>
      <c r="E443" t="s">
        <v>107</v>
      </c>
      <c r="F443" t="s">
        <v>41</v>
      </c>
      <c r="G443" t="s">
        <v>95</v>
      </c>
      <c r="H443" t="s">
        <v>144</v>
      </c>
      <c r="I443" t="s">
        <v>364</v>
      </c>
      <c r="J443">
        <v>1265</v>
      </c>
      <c r="K443">
        <v>10</v>
      </c>
      <c r="L443" t="s">
        <v>27</v>
      </c>
      <c r="M443">
        <v>114</v>
      </c>
      <c r="N443">
        <v>41.5</v>
      </c>
      <c r="O443">
        <v>72.599999999999994</v>
      </c>
      <c r="P443">
        <v>7.22</v>
      </c>
      <c r="Q443">
        <v>3.21</v>
      </c>
      <c r="R443" t="s">
        <v>128</v>
      </c>
      <c r="S443" t="s">
        <v>39</v>
      </c>
      <c r="T443" t="s">
        <v>30</v>
      </c>
    </row>
    <row r="444" spans="1:20" x14ac:dyDescent="0.3">
      <c r="A444">
        <v>10742</v>
      </c>
      <c r="B444" s="2">
        <v>45699</v>
      </c>
      <c r="C444" t="s">
        <v>49</v>
      </c>
      <c r="D444" t="s">
        <v>32</v>
      </c>
      <c r="E444" t="s">
        <v>107</v>
      </c>
      <c r="F444" t="s">
        <v>23</v>
      </c>
      <c r="G444" t="s">
        <v>42</v>
      </c>
      <c r="H444" t="s">
        <v>43</v>
      </c>
      <c r="I444" t="s">
        <v>249</v>
      </c>
      <c r="J444">
        <v>1203</v>
      </c>
      <c r="K444">
        <v>16</v>
      </c>
      <c r="L444" t="s">
        <v>71</v>
      </c>
      <c r="M444">
        <v>34</v>
      </c>
      <c r="N444">
        <v>49.4</v>
      </c>
      <c r="O444">
        <v>79.599999999999994</v>
      </c>
      <c r="P444">
        <v>4.26</v>
      </c>
      <c r="Q444">
        <v>4.18</v>
      </c>
      <c r="R444" t="s">
        <v>128</v>
      </c>
      <c r="S444" t="s">
        <v>47</v>
      </c>
      <c r="T444" t="s">
        <v>30</v>
      </c>
    </row>
    <row r="445" spans="1:20" x14ac:dyDescent="0.3">
      <c r="A445">
        <v>10356</v>
      </c>
      <c r="B445" s="2">
        <v>45965</v>
      </c>
      <c r="C445" t="s">
        <v>49</v>
      </c>
      <c r="D445" t="s">
        <v>21</v>
      </c>
      <c r="E445" t="s">
        <v>22</v>
      </c>
      <c r="F445" t="s">
        <v>23</v>
      </c>
      <c r="G445" t="s">
        <v>54</v>
      </c>
      <c r="H445" t="s">
        <v>35</v>
      </c>
      <c r="I445" t="s">
        <v>365</v>
      </c>
      <c r="J445">
        <v>797</v>
      </c>
      <c r="K445">
        <v>5</v>
      </c>
      <c r="L445" t="s">
        <v>57</v>
      </c>
      <c r="M445">
        <v>89</v>
      </c>
      <c r="N445">
        <v>43.7</v>
      </c>
      <c r="O445">
        <v>67.5</v>
      </c>
      <c r="P445">
        <v>4.46</v>
      </c>
      <c r="Q445">
        <v>4.32</v>
      </c>
      <c r="R445" t="s">
        <v>164</v>
      </c>
      <c r="S445" t="s">
        <v>73</v>
      </c>
      <c r="T445" t="s">
        <v>30</v>
      </c>
    </row>
    <row r="446" spans="1:20" x14ac:dyDescent="0.3">
      <c r="A446">
        <v>10171</v>
      </c>
      <c r="B446" s="2">
        <v>45946</v>
      </c>
      <c r="C446" t="s">
        <v>20</v>
      </c>
      <c r="D446" t="s">
        <v>21</v>
      </c>
      <c r="E446" t="s">
        <v>33</v>
      </c>
      <c r="F446" t="s">
        <v>41</v>
      </c>
      <c r="G446" t="s">
        <v>50</v>
      </c>
      <c r="H446" t="s">
        <v>82</v>
      </c>
      <c r="I446" t="s">
        <v>91</v>
      </c>
      <c r="J446">
        <v>499</v>
      </c>
      <c r="K446">
        <v>4</v>
      </c>
      <c r="L446" t="s">
        <v>68</v>
      </c>
      <c r="M446">
        <v>132</v>
      </c>
      <c r="N446">
        <v>39.1</v>
      </c>
      <c r="O446">
        <v>74.099999999999994</v>
      </c>
      <c r="P446">
        <v>4.43</v>
      </c>
      <c r="Q446">
        <v>1.75</v>
      </c>
      <c r="R446" t="s">
        <v>179</v>
      </c>
      <c r="S446" t="s">
        <v>73</v>
      </c>
      <c r="T446" t="s">
        <v>30</v>
      </c>
    </row>
    <row r="447" spans="1:20" x14ac:dyDescent="0.3">
      <c r="A447">
        <v>10853</v>
      </c>
      <c r="B447" s="2">
        <v>46016</v>
      </c>
      <c r="C447" t="s">
        <v>150</v>
      </c>
      <c r="D447" t="s">
        <v>32</v>
      </c>
      <c r="E447" t="s">
        <v>22</v>
      </c>
      <c r="F447" t="s">
        <v>41</v>
      </c>
      <c r="G447" t="s">
        <v>24</v>
      </c>
      <c r="H447" t="s">
        <v>126</v>
      </c>
      <c r="I447" t="s">
        <v>366</v>
      </c>
      <c r="J447">
        <v>1345</v>
      </c>
      <c r="K447">
        <v>9</v>
      </c>
      <c r="L447" t="s">
        <v>37</v>
      </c>
      <c r="M447">
        <v>89</v>
      </c>
      <c r="N447">
        <v>43.3</v>
      </c>
      <c r="O447">
        <v>61.6</v>
      </c>
      <c r="P447">
        <v>5.74</v>
      </c>
      <c r="Q447">
        <v>2.39</v>
      </c>
      <c r="R447" t="s">
        <v>103</v>
      </c>
      <c r="S447" t="s">
        <v>73</v>
      </c>
      <c r="T447" t="s">
        <v>30</v>
      </c>
    </row>
    <row r="448" spans="1:20" x14ac:dyDescent="0.3">
      <c r="A448">
        <v>10925</v>
      </c>
      <c r="B448" s="2">
        <v>45739</v>
      </c>
      <c r="C448" t="s">
        <v>49</v>
      </c>
      <c r="D448" t="s">
        <v>59</v>
      </c>
      <c r="E448" t="s">
        <v>40</v>
      </c>
      <c r="F448" t="s">
        <v>23</v>
      </c>
      <c r="G448" t="s">
        <v>95</v>
      </c>
      <c r="H448" t="s">
        <v>35</v>
      </c>
      <c r="I448" t="s">
        <v>110</v>
      </c>
      <c r="J448">
        <v>1318</v>
      </c>
      <c r="K448">
        <v>37</v>
      </c>
      <c r="L448" t="s">
        <v>57</v>
      </c>
      <c r="M448">
        <v>138</v>
      </c>
      <c r="N448">
        <v>50.7</v>
      </c>
      <c r="O448">
        <v>67.599999999999994</v>
      </c>
      <c r="P448">
        <v>5.14</v>
      </c>
      <c r="Q448">
        <v>2.2200000000000002</v>
      </c>
      <c r="R448" t="s">
        <v>179</v>
      </c>
      <c r="S448" t="s">
        <v>29</v>
      </c>
      <c r="T448" t="s">
        <v>30</v>
      </c>
    </row>
    <row r="449" spans="1:20" x14ac:dyDescent="0.3">
      <c r="A449">
        <v>10923</v>
      </c>
      <c r="B449" s="2">
        <v>45681</v>
      </c>
      <c r="C449" t="s">
        <v>20</v>
      </c>
      <c r="D449" t="s">
        <v>32</v>
      </c>
      <c r="E449" t="s">
        <v>33</v>
      </c>
      <c r="F449" t="s">
        <v>41</v>
      </c>
      <c r="G449" t="s">
        <v>50</v>
      </c>
      <c r="H449" t="s">
        <v>96</v>
      </c>
      <c r="I449" t="s">
        <v>102</v>
      </c>
      <c r="J449">
        <v>1389</v>
      </c>
      <c r="K449">
        <v>10</v>
      </c>
      <c r="L449" t="s">
        <v>27</v>
      </c>
      <c r="M449">
        <v>120</v>
      </c>
      <c r="N449">
        <v>42</v>
      </c>
      <c r="O449">
        <v>65.7</v>
      </c>
      <c r="P449">
        <v>4.9000000000000004</v>
      </c>
      <c r="Q449">
        <v>3.68</v>
      </c>
      <c r="R449" t="s">
        <v>72</v>
      </c>
      <c r="S449" t="s">
        <v>73</v>
      </c>
      <c r="T449" t="s">
        <v>30</v>
      </c>
    </row>
    <row r="450" spans="1:20" x14ac:dyDescent="0.3">
      <c r="A450">
        <v>10210</v>
      </c>
      <c r="B450" s="2">
        <v>45941</v>
      </c>
      <c r="C450" t="s">
        <v>20</v>
      </c>
      <c r="D450" t="s">
        <v>59</v>
      </c>
      <c r="E450" t="s">
        <v>33</v>
      </c>
      <c r="F450" t="s">
        <v>81</v>
      </c>
      <c r="G450" t="s">
        <v>89</v>
      </c>
      <c r="H450" t="s">
        <v>265</v>
      </c>
      <c r="I450" t="s">
        <v>367</v>
      </c>
      <c r="J450">
        <v>1149</v>
      </c>
      <c r="K450">
        <v>17</v>
      </c>
      <c r="L450" t="s">
        <v>71</v>
      </c>
      <c r="M450">
        <v>118</v>
      </c>
      <c r="N450">
        <v>34.299999999999997</v>
      </c>
      <c r="O450">
        <v>74.400000000000006</v>
      </c>
      <c r="P450">
        <v>5.16</v>
      </c>
      <c r="Q450">
        <v>3.33</v>
      </c>
      <c r="R450" t="s">
        <v>147</v>
      </c>
      <c r="S450" t="s">
        <v>39</v>
      </c>
      <c r="T450" t="s">
        <v>30</v>
      </c>
    </row>
    <row r="451" spans="1:20" x14ac:dyDescent="0.3">
      <c r="A451">
        <v>11462</v>
      </c>
      <c r="B451" s="2">
        <v>45951</v>
      </c>
      <c r="C451" t="s">
        <v>31</v>
      </c>
      <c r="D451" t="s">
        <v>59</v>
      </c>
      <c r="E451" t="s">
        <v>40</v>
      </c>
      <c r="F451" t="s">
        <v>23</v>
      </c>
      <c r="G451" t="s">
        <v>54</v>
      </c>
      <c r="H451" t="s">
        <v>25</v>
      </c>
      <c r="I451" t="s">
        <v>344</v>
      </c>
      <c r="J451">
        <v>463</v>
      </c>
      <c r="K451">
        <v>1</v>
      </c>
      <c r="L451" t="s">
        <v>45</v>
      </c>
      <c r="M451">
        <v>133</v>
      </c>
      <c r="N451">
        <v>35.200000000000003</v>
      </c>
      <c r="O451">
        <v>84.5</v>
      </c>
      <c r="P451">
        <v>5.68</v>
      </c>
      <c r="Q451">
        <v>5.21</v>
      </c>
      <c r="R451" t="s">
        <v>72</v>
      </c>
      <c r="S451" t="s">
        <v>29</v>
      </c>
      <c r="T451" t="s">
        <v>30</v>
      </c>
    </row>
    <row r="452" spans="1:20" x14ac:dyDescent="0.3">
      <c r="A452">
        <v>10533</v>
      </c>
      <c r="B452" s="2">
        <v>45933</v>
      </c>
      <c r="C452" t="s">
        <v>31</v>
      </c>
      <c r="D452" t="s">
        <v>64</v>
      </c>
      <c r="E452" t="s">
        <v>22</v>
      </c>
      <c r="F452" t="s">
        <v>23</v>
      </c>
      <c r="G452" t="s">
        <v>113</v>
      </c>
      <c r="H452" t="s">
        <v>131</v>
      </c>
      <c r="I452" t="s">
        <v>269</v>
      </c>
      <c r="J452">
        <v>887</v>
      </c>
      <c r="K452">
        <v>9</v>
      </c>
      <c r="L452" t="s">
        <v>68</v>
      </c>
      <c r="M452">
        <v>43</v>
      </c>
      <c r="N452">
        <v>58</v>
      </c>
      <c r="O452">
        <v>66.400000000000006</v>
      </c>
      <c r="P452">
        <v>5.23</v>
      </c>
      <c r="Q452">
        <v>3.21</v>
      </c>
      <c r="R452" t="s">
        <v>243</v>
      </c>
      <c r="S452" t="s">
        <v>29</v>
      </c>
      <c r="T452" t="s">
        <v>30</v>
      </c>
    </row>
    <row r="453" spans="1:20" x14ac:dyDescent="0.3">
      <c r="A453">
        <v>10141</v>
      </c>
      <c r="B453" s="2">
        <v>45873</v>
      </c>
      <c r="C453" t="s">
        <v>31</v>
      </c>
      <c r="D453" t="s">
        <v>32</v>
      </c>
      <c r="E453" t="s">
        <v>40</v>
      </c>
      <c r="F453" t="s">
        <v>41</v>
      </c>
      <c r="G453" t="s">
        <v>24</v>
      </c>
      <c r="H453" t="s">
        <v>138</v>
      </c>
      <c r="I453" t="s">
        <v>268</v>
      </c>
      <c r="J453">
        <v>1269</v>
      </c>
      <c r="K453">
        <v>17</v>
      </c>
      <c r="L453" t="s">
        <v>45</v>
      </c>
      <c r="M453">
        <v>86</v>
      </c>
      <c r="N453">
        <v>56.8</v>
      </c>
      <c r="O453">
        <v>62.7</v>
      </c>
      <c r="P453">
        <v>6.22</v>
      </c>
      <c r="Q453">
        <v>3.22</v>
      </c>
      <c r="R453" t="s">
        <v>130</v>
      </c>
      <c r="S453" t="s">
        <v>47</v>
      </c>
      <c r="T453" t="s">
        <v>30</v>
      </c>
    </row>
    <row r="454" spans="1:20" x14ac:dyDescent="0.3">
      <c r="A454">
        <v>11090</v>
      </c>
      <c r="B454" s="2">
        <v>45853</v>
      </c>
      <c r="C454" t="s">
        <v>49</v>
      </c>
      <c r="D454" t="s">
        <v>59</v>
      </c>
      <c r="E454" t="s">
        <v>40</v>
      </c>
      <c r="F454" t="s">
        <v>81</v>
      </c>
      <c r="G454" t="s">
        <v>24</v>
      </c>
      <c r="H454" t="s">
        <v>278</v>
      </c>
      <c r="I454" t="s">
        <v>365</v>
      </c>
      <c r="J454">
        <v>1175</v>
      </c>
      <c r="K454">
        <v>6</v>
      </c>
      <c r="L454" t="s">
        <v>71</v>
      </c>
      <c r="M454">
        <v>131</v>
      </c>
      <c r="N454">
        <v>64.5</v>
      </c>
      <c r="O454">
        <v>65</v>
      </c>
      <c r="P454">
        <v>5.62</v>
      </c>
      <c r="Q454">
        <v>3.24</v>
      </c>
      <c r="R454" t="s">
        <v>155</v>
      </c>
      <c r="S454" t="s">
        <v>73</v>
      </c>
      <c r="T454" t="s">
        <v>30</v>
      </c>
    </row>
    <row r="455" spans="1:20" x14ac:dyDescent="0.3">
      <c r="A455">
        <v>11002</v>
      </c>
      <c r="B455" s="2">
        <v>45961</v>
      </c>
      <c r="C455" t="s">
        <v>150</v>
      </c>
      <c r="D455" t="s">
        <v>32</v>
      </c>
      <c r="E455" t="s">
        <v>107</v>
      </c>
      <c r="F455" t="s">
        <v>23</v>
      </c>
      <c r="G455" t="s">
        <v>60</v>
      </c>
      <c r="H455" t="s">
        <v>82</v>
      </c>
      <c r="I455" t="s">
        <v>262</v>
      </c>
      <c r="J455">
        <v>664</v>
      </c>
      <c r="K455">
        <v>2</v>
      </c>
      <c r="L455" t="s">
        <v>37</v>
      </c>
      <c r="M455">
        <v>143</v>
      </c>
      <c r="N455">
        <v>51.8</v>
      </c>
      <c r="O455">
        <v>69.2</v>
      </c>
      <c r="P455">
        <v>5.77</v>
      </c>
      <c r="Q455">
        <v>3.27</v>
      </c>
      <c r="R455" t="s">
        <v>184</v>
      </c>
      <c r="S455" t="s">
        <v>29</v>
      </c>
      <c r="T455" t="s">
        <v>30</v>
      </c>
    </row>
    <row r="456" spans="1:20" x14ac:dyDescent="0.3">
      <c r="A456">
        <v>10415</v>
      </c>
      <c r="B456" s="2">
        <v>45846</v>
      </c>
      <c r="C456" t="s">
        <v>31</v>
      </c>
      <c r="D456" t="s">
        <v>59</v>
      </c>
      <c r="E456" t="s">
        <v>33</v>
      </c>
      <c r="F456" t="s">
        <v>41</v>
      </c>
      <c r="G456" t="s">
        <v>113</v>
      </c>
      <c r="H456" t="s">
        <v>43</v>
      </c>
      <c r="I456" t="s">
        <v>364</v>
      </c>
      <c r="J456">
        <v>1317</v>
      </c>
      <c r="K456">
        <v>9</v>
      </c>
      <c r="L456" t="s">
        <v>45</v>
      </c>
      <c r="M456">
        <v>85</v>
      </c>
      <c r="N456">
        <v>42.4</v>
      </c>
      <c r="O456">
        <v>65.400000000000006</v>
      </c>
      <c r="P456">
        <v>6.45</v>
      </c>
      <c r="Q456">
        <v>0.92</v>
      </c>
      <c r="R456" t="s">
        <v>53</v>
      </c>
      <c r="S456" t="s">
        <v>39</v>
      </c>
      <c r="T456" t="s">
        <v>30</v>
      </c>
    </row>
    <row r="457" spans="1:20" x14ac:dyDescent="0.3">
      <c r="A457">
        <v>11199</v>
      </c>
      <c r="B457" s="2">
        <v>45927</v>
      </c>
      <c r="C457" t="s">
        <v>31</v>
      </c>
      <c r="D457" t="s">
        <v>21</v>
      </c>
      <c r="E457" t="s">
        <v>33</v>
      </c>
      <c r="F457" t="s">
        <v>41</v>
      </c>
      <c r="G457" t="s">
        <v>89</v>
      </c>
      <c r="H457" t="s">
        <v>120</v>
      </c>
      <c r="I457" t="s">
        <v>321</v>
      </c>
      <c r="J457">
        <v>610</v>
      </c>
      <c r="K457">
        <v>6</v>
      </c>
      <c r="L457" t="s">
        <v>71</v>
      </c>
      <c r="M457">
        <v>68</v>
      </c>
      <c r="N457">
        <v>48.8</v>
      </c>
      <c r="O457">
        <v>73.3</v>
      </c>
      <c r="P457">
        <v>4.29</v>
      </c>
      <c r="Q457">
        <v>1.92</v>
      </c>
      <c r="R457" t="s">
        <v>105</v>
      </c>
      <c r="S457" t="s">
        <v>73</v>
      </c>
      <c r="T457" t="s">
        <v>30</v>
      </c>
    </row>
    <row r="458" spans="1:20" x14ac:dyDescent="0.3">
      <c r="A458">
        <v>10695</v>
      </c>
      <c r="B458" s="2">
        <v>45669</v>
      </c>
      <c r="C458" t="s">
        <v>31</v>
      </c>
      <c r="D458" t="s">
        <v>21</v>
      </c>
      <c r="E458" t="s">
        <v>22</v>
      </c>
      <c r="F458" t="s">
        <v>23</v>
      </c>
      <c r="G458" t="s">
        <v>42</v>
      </c>
      <c r="H458" t="s">
        <v>192</v>
      </c>
      <c r="I458" t="s">
        <v>348</v>
      </c>
      <c r="J458">
        <v>1012</v>
      </c>
      <c r="K458">
        <v>32</v>
      </c>
      <c r="L458" t="s">
        <v>27</v>
      </c>
      <c r="M458">
        <v>39</v>
      </c>
      <c r="N458">
        <v>32.200000000000003</v>
      </c>
      <c r="O458">
        <v>79.900000000000006</v>
      </c>
      <c r="P458">
        <v>4.1100000000000003</v>
      </c>
      <c r="Q458">
        <v>3</v>
      </c>
      <c r="R458" t="s">
        <v>155</v>
      </c>
      <c r="S458" t="s">
        <v>39</v>
      </c>
      <c r="T458" t="s">
        <v>48</v>
      </c>
    </row>
    <row r="459" spans="1:20" x14ac:dyDescent="0.3">
      <c r="A459">
        <v>11415</v>
      </c>
      <c r="B459" s="2">
        <v>45890</v>
      </c>
      <c r="C459" t="s">
        <v>31</v>
      </c>
      <c r="D459" t="s">
        <v>64</v>
      </c>
      <c r="E459" t="s">
        <v>22</v>
      </c>
      <c r="F459" t="s">
        <v>23</v>
      </c>
      <c r="G459" t="s">
        <v>60</v>
      </c>
      <c r="H459" t="s">
        <v>192</v>
      </c>
      <c r="I459" t="s">
        <v>282</v>
      </c>
      <c r="J459">
        <v>838</v>
      </c>
      <c r="K459">
        <v>5</v>
      </c>
      <c r="L459" t="s">
        <v>57</v>
      </c>
      <c r="M459">
        <v>42</v>
      </c>
      <c r="N459">
        <v>50.8</v>
      </c>
      <c r="O459">
        <v>77.8</v>
      </c>
      <c r="P459">
        <v>5.1100000000000003</v>
      </c>
      <c r="Q459">
        <v>0.56999999999999995</v>
      </c>
      <c r="R459" t="s">
        <v>143</v>
      </c>
      <c r="S459" t="s">
        <v>29</v>
      </c>
      <c r="T459" t="s">
        <v>30</v>
      </c>
    </row>
    <row r="460" spans="1:20" x14ac:dyDescent="0.3">
      <c r="A460">
        <v>11189</v>
      </c>
      <c r="B460" s="2">
        <v>45873</v>
      </c>
      <c r="C460" t="s">
        <v>20</v>
      </c>
      <c r="D460" t="s">
        <v>59</v>
      </c>
      <c r="E460" t="s">
        <v>22</v>
      </c>
      <c r="F460" t="s">
        <v>23</v>
      </c>
      <c r="G460" t="s">
        <v>50</v>
      </c>
      <c r="H460" t="s">
        <v>141</v>
      </c>
      <c r="I460" t="s">
        <v>136</v>
      </c>
      <c r="J460">
        <v>758</v>
      </c>
      <c r="K460">
        <v>6</v>
      </c>
      <c r="L460" t="s">
        <v>45</v>
      </c>
      <c r="M460">
        <v>19</v>
      </c>
      <c r="N460">
        <v>29.3</v>
      </c>
      <c r="P460">
        <v>5.18</v>
      </c>
      <c r="Q460">
        <v>1.52</v>
      </c>
      <c r="R460" t="s">
        <v>53</v>
      </c>
      <c r="S460" t="s">
        <v>29</v>
      </c>
      <c r="T460" t="s">
        <v>30</v>
      </c>
    </row>
    <row r="461" spans="1:20" x14ac:dyDescent="0.3">
      <c r="A461">
        <v>10200</v>
      </c>
      <c r="B461" s="2">
        <v>45706</v>
      </c>
      <c r="C461" t="s">
        <v>20</v>
      </c>
      <c r="D461" t="s">
        <v>64</v>
      </c>
      <c r="E461" t="s">
        <v>107</v>
      </c>
      <c r="F461" t="s">
        <v>81</v>
      </c>
      <c r="G461" t="s">
        <v>60</v>
      </c>
      <c r="H461" t="s">
        <v>96</v>
      </c>
      <c r="I461" t="s">
        <v>56</v>
      </c>
      <c r="J461">
        <v>559</v>
      </c>
      <c r="K461">
        <v>11</v>
      </c>
      <c r="L461" t="s">
        <v>68</v>
      </c>
      <c r="M461">
        <v>86</v>
      </c>
      <c r="N461">
        <v>48.2</v>
      </c>
      <c r="O461">
        <v>69</v>
      </c>
      <c r="P461">
        <v>3.67</v>
      </c>
      <c r="Q461">
        <v>2.63</v>
      </c>
      <c r="R461" t="s">
        <v>72</v>
      </c>
      <c r="S461" t="s">
        <v>29</v>
      </c>
      <c r="T461" t="s">
        <v>30</v>
      </c>
    </row>
    <row r="462" spans="1:20" x14ac:dyDescent="0.3">
      <c r="A462">
        <v>10901</v>
      </c>
      <c r="B462" s="2">
        <v>45877</v>
      </c>
      <c r="C462" t="s">
        <v>156</v>
      </c>
      <c r="D462" t="s">
        <v>59</v>
      </c>
      <c r="E462" t="s">
        <v>40</v>
      </c>
      <c r="F462" t="s">
        <v>81</v>
      </c>
      <c r="G462" t="s">
        <v>34</v>
      </c>
      <c r="H462" t="s">
        <v>82</v>
      </c>
      <c r="I462" t="s">
        <v>208</v>
      </c>
      <c r="J462">
        <v>925</v>
      </c>
      <c r="K462">
        <v>11</v>
      </c>
      <c r="L462" t="s">
        <v>37</v>
      </c>
      <c r="M462">
        <v>93</v>
      </c>
      <c r="N462">
        <v>34.5</v>
      </c>
      <c r="O462">
        <v>78.8</v>
      </c>
      <c r="P462">
        <v>4.7300000000000004</v>
      </c>
      <c r="Q462">
        <v>4.0199999999999996</v>
      </c>
      <c r="R462" t="s">
        <v>184</v>
      </c>
      <c r="S462" t="s">
        <v>73</v>
      </c>
      <c r="T462" t="s">
        <v>30</v>
      </c>
    </row>
    <row r="463" spans="1:20" x14ac:dyDescent="0.3">
      <c r="A463">
        <v>11297</v>
      </c>
      <c r="B463" s="2">
        <v>45758</v>
      </c>
      <c r="C463" t="s">
        <v>49</v>
      </c>
      <c r="D463" t="s">
        <v>59</v>
      </c>
      <c r="E463" t="s">
        <v>40</v>
      </c>
      <c r="F463" t="s">
        <v>41</v>
      </c>
      <c r="G463" t="s">
        <v>134</v>
      </c>
      <c r="H463" t="s">
        <v>35</v>
      </c>
      <c r="I463" t="s">
        <v>160</v>
      </c>
      <c r="J463">
        <v>752</v>
      </c>
      <c r="K463">
        <v>4</v>
      </c>
      <c r="L463" t="s">
        <v>71</v>
      </c>
      <c r="M463">
        <v>39</v>
      </c>
      <c r="N463">
        <v>53.5</v>
      </c>
      <c r="O463">
        <v>63.2</v>
      </c>
      <c r="P463">
        <v>5.58</v>
      </c>
      <c r="Q463">
        <v>3.39</v>
      </c>
      <c r="R463" t="s">
        <v>128</v>
      </c>
      <c r="S463" t="s">
        <v>39</v>
      </c>
      <c r="T463" t="s">
        <v>30</v>
      </c>
    </row>
    <row r="464" spans="1:20" x14ac:dyDescent="0.3">
      <c r="A464">
        <v>10865</v>
      </c>
      <c r="B464" s="2">
        <v>45699</v>
      </c>
      <c r="C464" t="s">
        <v>49</v>
      </c>
      <c r="D464" t="s">
        <v>21</v>
      </c>
      <c r="E464" t="s">
        <v>33</v>
      </c>
      <c r="F464" t="s">
        <v>81</v>
      </c>
      <c r="G464" t="s">
        <v>89</v>
      </c>
      <c r="H464" t="s">
        <v>138</v>
      </c>
      <c r="I464" t="s">
        <v>354</v>
      </c>
      <c r="J464">
        <v>1119</v>
      </c>
      <c r="K464">
        <v>3</v>
      </c>
      <c r="L464" t="s">
        <v>57</v>
      </c>
      <c r="M464">
        <v>43</v>
      </c>
      <c r="N464">
        <v>42.7</v>
      </c>
      <c r="O464">
        <v>77.7</v>
      </c>
      <c r="P464">
        <v>4.67</v>
      </c>
      <c r="Q464">
        <v>2.99</v>
      </c>
      <c r="R464" t="s">
        <v>77</v>
      </c>
      <c r="S464" t="s">
        <v>29</v>
      </c>
      <c r="T464" t="s">
        <v>30</v>
      </c>
    </row>
    <row r="465" spans="1:20" x14ac:dyDescent="0.3">
      <c r="A465">
        <v>11202</v>
      </c>
      <c r="B465" s="2">
        <v>45744</v>
      </c>
      <c r="C465" t="s">
        <v>31</v>
      </c>
      <c r="D465" t="s">
        <v>59</v>
      </c>
      <c r="E465" t="s">
        <v>22</v>
      </c>
      <c r="F465" t="s">
        <v>41</v>
      </c>
      <c r="G465" t="s">
        <v>89</v>
      </c>
      <c r="H465" t="s">
        <v>278</v>
      </c>
      <c r="I465" t="s">
        <v>194</v>
      </c>
      <c r="J465">
        <v>1234</v>
      </c>
      <c r="K465">
        <v>16</v>
      </c>
      <c r="L465" t="s">
        <v>27</v>
      </c>
      <c r="M465">
        <v>133</v>
      </c>
      <c r="N465">
        <v>45.1</v>
      </c>
      <c r="O465">
        <v>77.3</v>
      </c>
      <c r="P465">
        <v>5.05</v>
      </c>
      <c r="Q465">
        <v>3.4</v>
      </c>
      <c r="R465" t="s">
        <v>130</v>
      </c>
      <c r="S465" t="s">
        <v>39</v>
      </c>
      <c r="T465" t="s">
        <v>30</v>
      </c>
    </row>
    <row r="466" spans="1:20" x14ac:dyDescent="0.3">
      <c r="A466">
        <v>10870</v>
      </c>
      <c r="B466" s="2">
        <v>45976</v>
      </c>
      <c r="C466" t="s">
        <v>31</v>
      </c>
      <c r="D466" t="s">
        <v>64</v>
      </c>
      <c r="E466" t="s">
        <v>40</v>
      </c>
      <c r="F466" t="s">
        <v>41</v>
      </c>
      <c r="G466" t="s">
        <v>95</v>
      </c>
      <c r="H466" t="s">
        <v>263</v>
      </c>
      <c r="I466" t="s">
        <v>226</v>
      </c>
      <c r="J466">
        <v>1592</v>
      </c>
      <c r="K466">
        <v>13</v>
      </c>
      <c r="L466" t="s">
        <v>27</v>
      </c>
      <c r="M466">
        <v>98</v>
      </c>
      <c r="N466">
        <v>48.6</v>
      </c>
      <c r="O466">
        <v>75.599999999999994</v>
      </c>
      <c r="P466">
        <v>4.71</v>
      </c>
      <c r="Q466">
        <v>4.2699999999999996</v>
      </c>
      <c r="R466" t="s">
        <v>280</v>
      </c>
      <c r="S466" t="s">
        <v>73</v>
      </c>
      <c r="T466" t="s">
        <v>30</v>
      </c>
    </row>
    <row r="467" spans="1:20" x14ac:dyDescent="0.3">
      <c r="A467">
        <v>10011</v>
      </c>
      <c r="B467" s="2">
        <v>45961</v>
      </c>
      <c r="C467" t="s">
        <v>49</v>
      </c>
      <c r="D467" t="s">
        <v>21</v>
      </c>
      <c r="E467" t="s">
        <v>22</v>
      </c>
      <c r="F467" t="s">
        <v>81</v>
      </c>
      <c r="G467" t="s">
        <v>113</v>
      </c>
      <c r="H467" t="s">
        <v>126</v>
      </c>
      <c r="I467" t="s">
        <v>248</v>
      </c>
      <c r="J467">
        <v>712</v>
      </c>
      <c r="K467">
        <v>8</v>
      </c>
      <c r="L467" t="s">
        <v>37</v>
      </c>
      <c r="M467">
        <v>151</v>
      </c>
      <c r="N467">
        <v>45.7</v>
      </c>
      <c r="O467">
        <v>74.400000000000006</v>
      </c>
      <c r="P467">
        <v>5.4</v>
      </c>
      <c r="Q467">
        <v>3.18</v>
      </c>
      <c r="R467" t="s">
        <v>119</v>
      </c>
      <c r="S467" t="s">
        <v>47</v>
      </c>
      <c r="T467" t="s">
        <v>30</v>
      </c>
    </row>
    <row r="468" spans="1:20" x14ac:dyDescent="0.3">
      <c r="A468">
        <v>10148</v>
      </c>
      <c r="B468" s="2">
        <v>45764</v>
      </c>
      <c r="C468" t="s">
        <v>31</v>
      </c>
      <c r="D468" t="s">
        <v>64</v>
      </c>
      <c r="E468" t="s">
        <v>40</v>
      </c>
      <c r="F468" t="s">
        <v>81</v>
      </c>
      <c r="G468" t="s">
        <v>34</v>
      </c>
      <c r="H468" t="s">
        <v>120</v>
      </c>
      <c r="I468" t="s">
        <v>276</v>
      </c>
      <c r="J468">
        <v>839</v>
      </c>
      <c r="K468">
        <v>4</v>
      </c>
      <c r="L468" t="s">
        <v>45</v>
      </c>
      <c r="M468">
        <v>147</v>
      </c>
      <c r="N468">
        <v>41.2</v>
      </c>
      <c r="O468">
        <v>77.099999999999994</v>
      </c>
      <c r="P468">
        <v>5.68</v>
      </c>
      <c r="Q468">
        <v>2.61</v>
      </c>
      <c r="R468" t="s">
        <v>186</v>
      </c>
      <c r="S468" t="s">
        <v>73</v>
      </c>
      <c r="T468" t="s">
        <v>30</v>
      </c>
    </row>
    <row r="469" spans="1:20" x14ac:dyDescent="0.3">
      <c r="A469">
        <v>11313</v>
      </c>
      <c r="B469" s="2">
        <v>45973</v>
      </c>
      <c r="C469" t="s">
        <v>49</v>
      </c>
      <c r="D469" t="s">
        <v>59</v>
      </c>
      <c r="E469" t="s">
        <v>107</v>
      </c>
      <c r="F469" t="s">
        <v>81</v>
      </c>
      <c r="G469" t="s">
        <v>60</v>
      </c>
      <c r="H469" t="s">
        <v>265</v>
      </c>
      <c r="I469" t="s">
        <v>253</v>
      </c>
      <c r="J469">
        <v>690</v>
      </c>
      <c r="K469">
        <v>11</v>
      </c>
      <c r="L469" t="s">
        <v>27</v>
      </c>
      <c r="M469">
        <v>154</v>
      </c>
      <c r="N469">
        <v>41.9</v>
      </c>
      <c r="O469">
        <v>74.5</v>
      </c>
      <c r="P469">
        <v>5.81</v>
      </c>
      <c r="Q469">
        <v>1.98</v>
      </c>
      <c r="R469" t="s">
        <v>222</v>
      </c>
      <c r="S469" t="s">
        <v>39</v>
      </c>
      <c r="T469" t="s">
        <v>30</v>
      </c>
    </row>
    <row r="470" spans="1:20" x14ac:dyDescent="0.3">
      <c r="A470">
        <v>10283</v>
      </c>
      <c r="B470" s="2">
        <v>45674</v>
      </c>
      <c r="C470" t="s">
        <v>49</v>
      </c>
      <c r="D470" t="s">
        <v>64</v>
      </c>
      <c r="E470" t="s">
        <v>107</v>
      </c>
      <c r="F470" t="s">
        <v>23</v>
      </c>
      <c r="G470" t="s">
        <v>113</v>
      </c>
      <c r="H470" t="s">
        <v>165</v>
      </c>
      <c r="I470" t="s">
        <v>368</v>
      </c>
      <c r="J470">
        <v>827</v>
      </c>
      <c r="K470">
        <v>10</v>
      </c>
      <c r="L470" t="s">
        <v>57</v>
      </c>
      <c r="M470">
        <v>110</v>
      </c>
      <c r="N470">
        <v>36.9</v>
      </c>
      <c r="O470">
        <v>87.1</v>
      </c>
      <c r="P470">
        <v>5.24</v>
      </c>
      <c r="Q470">
        <v>3.65</v>
      </c>
      <c r="R470" t="s">
        <v>243</v>
      </c>
      <c r="S470" t="s">
        <v>29</v>
      </c>
      <c r="T470" t="s">
        <v>30</v>
      </c>
    </row>
    <row r="471" spans="1:20" x14ac:dyDescent="0.3">
      <c r="A471">
        <v>10299</v>
      </c>
      <c r="B471" s="2">
        <v>45839</v>
      </c>
      <c r="C471" t="s">
        <v>20</v>
      </c>
      <c r="D471" t="s">
        <v>21</v>
      </c>
      <c r="E471" t="s">
        <v>22</v>
      </c>
      <c r="F471" t="s">
        <v>23</v>
      </c>
      <c r="G471" t="s">
        <v>42</v>
      </c>
      <c r="H471" t="s">
        <v>66</v>
      </c>
      <c r="I471" t="s">
        <v>256</v>
      </c>
      <c r="J471">
        <v>544</v>
      </c>
      <c r="K471">
        <v>7</v>
      </c>
      <c r="L471" t="s">
        <v>57</v>
      </c>
      <c r="M471">
        <v>61</v>
      </c>
      <c r="N471">
        <v>37.299999999999997</v>
      </c>
      <c r="O471">
        <v>59.4</v>
      </c>
      <c r="P471">
        <v>4.5599999999999996</v>
      </c>
      <c r="Q471">
        <v>2.96</v>
      </c>
      <c r="R471" t="s">
        <v>46</v>
      </c>
      <c r="S471" t="s">
        <v>73</v>
      </c>
      <c r="T471" t="s">
        <v>30</v>
      </c>
    </row>
    <row r="472" spans="1:20" x14ac:dyDescent="0.3">
      <c r="A472">
        <v>10621</v>
      </c>
      <c r="B472" s="2">
        <v>45922</v>
      </c>
      <c r="C472" t="s">
        <v>31</v>
      </c>
      <c r="D472" t="s">
        <v>59</v>
      </c>
      <c r="E472" t="s">
        <v>22</v>
      </c>
      <c r="F472" t="s">
        <v>81</v>
      </c>
      <c r="G472" t="s">
        <v>54</v>
      </c>
      <c r="H472" t="s">
        <v>61</v>
      </c>
      <c r="I472" t="s">
        <v>355</v>
      </c>
      <c r="J472">
        <v>532</v>
      </c>
      <c r="K472">
        <v>8</v>
      </c>
      <c r="L472" t="s">
        <v>71</v>
      </c>
      <c r="M472">
        <v>178</v>
      </c>
      <c r="N472">
        <v>25.3</v>
      </c>
      <c r="O472">
        <v>73</v>
      </c>
      <c r="P472">
        <v>4.1900000000000004</v>
      </c>
      <c r="Q472">
        <v>0.01</v>
      </c>
      <c r="R472" t="s">
        <v>46</v>
      </c>
      <c r="S472" t="s">
        <v>29</v>
      </c>
      <c r="T472" t="s">
        <v>30</v>
      </c>
    </row>
    <row r="473" spans="1:20" x14ac:dyDescent="0.3">
      <c r="A473">
        <v>10292</v>
      </c>
      <c r="B473" s="2">
        <v>45877</v>
      </c>
      <c r="C473" t="s">
        <v>20</v>
      </c>
      <c r="D473" t="s">
        <v>21</v>
      </c>
      <c r="E473" t="s">
        <v>22</v>
      </c>
      <c r="F473" t="s">
        <v>81</v>
      </c>
      <c r="G473" t="s">
        <v>74</v>
      </c>
      <c r="H473" t="s">
        <v>25</v>
      </c>
      <c r="I473" t="s">
        <v>257</v>
      </c>
      <c r="J473">
        <v>785</v>
      </c>
      <c r="K473">
        <v>10</v>
      </c>
      <c r="L473" t="s">
        <v>45</v>
      </c>
      <c r="M473">
        <v>103</v>
      </c>
      <c r="N473">
        <v>34.299999999999997</v>
      </c>
      <c r="O473">
        <v>83.4</v>
      </c>
      <c r="P473">
        <v>5.1100000000000003</v>
      </c>
      <c r="Q473">
        <v>3.04</v>
      </c>
      <c r="R473" t="s">
        <v>111</v>
      </c>
      <c r="S473" t="s">
        <v>39</v>
      </c>
      <c r="T473" t="s">
        <v>30</v>
      </c>
    </row>
    <row r="474" spans="1:20" x14ac:dyDescent="0.3">
      <c r="A474">
        <v>10515</v>
      </c>
      <c r="B474" s="2">
        <v>45988</v>
      </c>
      <c r="C474" t="s">
        <v>20</v>
      </c>
      <c r="D474" t="s">
        <v>59</v>
      </c>
      <c r="E474" t="s">
        <v>40</v>
      </c>
      <c r="F474" t="s">
        <v>41</v>
      </c>
      <c r="G474" t="s">
        <v>89</v>
      </c>
      <c r="H474" t="s">
        <v>193</v>
      </c>
      <c r="I474" t="s">
        <v>234</v>
      </c>
      <c r="J474">
        <v>1448</v>
      </c>
      <c r="K474">
        <v>13</v>
      </c>
      <c r="L474" t="s">
        <v>27</v>
      </c>
      <c r="M474">
        <v>150</v>
      </c>
      <c r="N474" t="s">
        <v>369</v>
      </c>
      <c r="O474">
        <v>76.099999999999994</v>
      </c>
      <c r="P474">
        <v>5.19</v>
      </c>
      <c r="Q474">
        <v>1.1299999999999999</v>
      </c>
      <c r="R474" t="s">
        <v>80</v>
      </c>
      <c r="S474" t="s">
        <v>73</v>
      </c>
      <c r="T474" t="s">
        <v>30</v>
      </c>
    </row>
    <row r="475" spans="1:20" x14ac:dyDescent="0.3">
      <c r="A475">
        <v>11054</v>
      </c>
      <c r="B475" s="2">
        <v>45991</v>
      </c>
      <c r="C475" t="s">
        <v>20</v>
      </c>
      <c r="D475" t="s">
        <v>64</v>
      </c>
      <c r="E475" t="s">
        <v>40</v>
      </c>
      <c r="F475" t="s">
        <v>23</v>
      </c>
      <c r="G475" t="s">
        <v>134</v>
      </c>
      <c r="H475" t="s">
        <v>66</v>
      </c>
      <c r="I475" t="s">
        <v>171</v>
      </c>
      <c r="J475">
        <v>764</v>
      </c>
      <c r="K475">
        <v>67</v>
      </c>
      <c r="L475" t="s">
        <v>71</v>
      </c>
      <c r="M475">
        <v>25</v>
      </c>
      <c r="N475">
        <v>45.6</v>
      </c>
      <c r="O475">
        <v>74.599999999999994</v>
      </c>
      <c r="P475">
        <v>4.45</v>
      </c>
      <c r="Q475">
        <v>3.24</v>
      </c>
      <c r="R475" t="s">
        <v>111</v>
      </c>
      <c r="S475" t="s">
        <v>47</v>
      </c>
      <c r="T475" t="s">
        <v>48</v>
      </c>
    </row>
    <row r="476" spans="1:20" x14ac:dyDescent="0.3">
      <c r="A476">
        <v>11050</v>
      </c>
      <c r="B476" s="2">
        <v>46013</v>
      </c>
      <c r="C476" t="s">
        <v>20</v>
      </c>
      <c r="D476" t="s">
        <v>32</v>
      </c>
      <c r="E476" t="s">
        <v>22</v>
      </c>
      <c r="F476" t="s">
        <v>41</v>
      </c>
      <c r="G476" t="s">
        <v>134</v>
      </c>
      <c r="H476" t="s">
        <v>61</v>
      </c>
      <c r="I476" t="s">
        <v>370</v>
      </c>
      <c r="J476">
        <v>468</v>
      </c>
      <c r="K476">
        <v>5</v>
      </c>
      <c r="L476" t="s">
        <v>68</v>
      </c>
      <c r="M476">
        <v>114</v>
      </c>
      <c r="N476">
        <v>37.1</v>
      </c>
      <c r="O476">
        <v>81.5</v>
      </c>
      <c r="P476">
        <v>5.83</v>
      </c>
      <c r="Q476">
        <v>1.88</v>
      </c>
      <c r="R476" t="s">
        <v>243</v>
      </c>
      <c r="S476" t="s">
        <v>29</v>
      </c>
      <c r="T476" t="s">
        <v>30</v>
      </c>
    </row>
    <row r="477" spans="1:20" x14ac:dyDescent="0.3">
      <c r="A477">
        <v>10577</v>
      </c>
      <c r="B477" s="2">
        <v>45962</v>
      </c>
      <c r="C477" t="s">
        <v>49</v>
      </c>
      <c r="D477" t="s">
        <v>64</v>
      </c>
      <c r="E477" t="s">
        <v>22</v>
      </c>
      <c r="F477" t="s">
        <v>81</v>
      </c>
      <c r="G477" t="s">
        <v>60</v>
      </c>
      <c r="H477" t="s">
        <v>141</v>
      </c>
      <c r="I477" t="s">
        <v>182</v>
      </c>
      <c r="J477">
        <v>1300</v>
      </c>
      <c r="K477">
        <v>19</v>
      </c>
      <c r="L477" t="s">
        <v>68</v>
      </c>
      <c r="M477">
        <v>85</v>
      </c>
      <c r="N477">
        <v>47.6</v>
      </c>
      <c r="O477">
        <v>81.5</v>
      </c>
      <c r="P477">
        <v>4.84</v>
      </c>
      <c r="Q477">
        <v>2.99</v>
      </c>
      <c r="R477" t="s">
        <v>125</v>
      </c>
      <c r="S477" t="s">
        <v>29</v>
      </c>
      <c r="T477" t="s">
        <v>30</v>
      </c>
    </row>
    <row r="478" spans="1:20" x14ac:dyDescent="0.3">
      <c r="A478">
        <v>10571</v>
      </c>
      <c r="B478" s="2">
        <v>45751</v>
      </c>
      <c r="C478" t="s">
        <v>31</v>
      </c>
      <c r="D478" t="s">
        <v>32</v>
      </c>
      <c r="E478" t="s">
        <v>22</v>
      </c>
      <c r="F478" t="s">
        <v>41</v>
      </c>
      <c r="G478" t="s">
        <v>50</v>
      </c>
      <c r="H478" t="s">
        <v>351</v>
      </c>
      <c r="I478" t="s">
        <v>235</v>
      </c>
      <c r="J478">
        <v>1481</v>
      </c>
      <c r="K478">
        <v>12</v>
      </c>
      <c r="L478" t="s">
        <v>57</v>
      </c>
      <c r="M478">
        <v>42</v>
      </c>
      <c r="N478">
        <v>48.4</v>
      </c>
      <c r="O478">
        <v>81.3</v>
      </c>
      <c r="P478">
        <v>3.33</v>
      </c>
      <c r="Q478">
        <v>2.12</v>
      </c>
      <c r="R478" t="s">
        <v>267</v>
      </c>
      <c r="S478" t="s">
        <v>29</v>
      </c>
      <c r="T478" t="s">
        <v>30</v>
      </c>
    </row>
    <row r="479" spans="1:20" x14ac:dyDescent="0.3">
      <c r="A479">
        <v>10130</v>
      </c>
      <c r="B479" s="2">
        <v>45747</v>
      </c>
      <c r="C479" t="s">
        <v>31</v>
      </c>
      <c r="D479" t="s">
        <v>64</v>
      </c>
      <c r="E479" t="s">
        <v>22</v>
      </c>
      <c r="F479" t="s">
        <v>41</v>
      </c>
      <c r="G479" t="s">
        <v>60</v>
      </c>
      <c r="H479" t="s">
        <v>69</v>
      </c>
      <c r="I479" t="s">
        <v>284</v>
      </c>
      <c r="J479">
        <v>1447</v>
      </c>
      <c r="K479">
        <v>23</v>
      </c>
      <c r="L479" t="s">
        <v>45</v>
      </c>
      <c r="M479">
        <v>130</v>
      </c>
      <c r="N479">
        <v>47.8</v>
      </c>
      <c r="O479">
        <v>67.3</v>
      </c>
      <c r="P479">
        <v>5.88</v>
      </c>
      <c r="Q479">
        <v>2.17</v>
      </c>
      <c r="R479" t="s">
        <v>105</v>
      </c>
      <c r="S479" t="s">
        <v>39</v>
      </c>
      <c r="T479" t="s">
        <v>30</v>
      </c>
    </row>
    <row r="480" spans="1:20" x14ac:dyDescent="0.3">
      <c r="A480">
        <v>10586</v>
      </c>
      <c r="B480" s="2">
        <v>45777</v>
      </c>
      <c r="C480" t="s">
        <v>49</v>
      </c>
      <c r="D480" t="s">
        <v>64</v>
      </c>
      <c r="E480" t="s">
        <v>40</v>
      </c>
      <c r="F480" t="s">
        <v>81</v>
      </c>
      <c r="G480" t="s">
        <v>42</v>
      </c>
      <c r="H480" t="s">
        <v>265</v>
      </c>
      <c r="I480" t="s">
        <v>282</v>
      </c>
      <c r="J480">
        <v>545</v>
      </c>
      <c r="K480">
        <v>4</v>
      </c>
      <c r="L480" t="s">
        <v>45</v>
      </c>
      <c r="M480">
        <v>113</v>
      </c>
      <c r="N480">
        <v>39.5</v>
      </c>
      <c r="O480">
        <v>78.2</v>
      </c>
      <c r="P480">
        <v>4.3899999999999997</v>
      </c>
      <c r="Q480">
        <v>1.78</v>
      </c>
      <c r="R480" t="s">
        <v>167</v>
      </c>
      <c r="S480" t="s">
        <v>29</v>
      </c>
      <c r="T480" t="s">
        <v>30</v>
      </c>
    </row>
    <row r="481" spans="1:20" x14ac:dyDescent="0.3">
      <c r="A481">
        <v>10332</v>
      </c>
      <c r="B481" s="2">
        <v>45703</v>
      </c>
      <c r="C481" t="s">
        <v>49</v>
      </c>
      <c r="D481" t="s">
        <v>59</v>
      </c>
      <c r="E481" t="s">
        <v>33</v>
      </c>
      <c r="F481" t="s">
        <v>41</v>
      </c>
      <c r="G481" t="s">
        <v>113</v>
      </c>
      <c r="H481" t="s">
        <v>161</v>
      </c>
      <c r="I481" t="s">
        <v>368</v>
      </c>
      <c r="J481">
        <v>1000</v>
      </c>
      <c r="K481">
        <v>9</v>
      </c>
      <c r="L481" t="s">
        <v>57</v>
      </c>
      <c r="M481">
        <v>78</v>
      </c>
      <c r="N481">
        <v>46.8</v>
      </c>
      <c r="O481">
        <v>67.900000000000006</v>
      </c>
      <c r="P481">
        <v>4.34</v>
      </c>
      <c r="Q481">
        <v>0.51</v>
      </c>
      <c r="R481" t="s">
        <v>28</v>
      </c>
      <c r="S481" t="s">
        <v>39</v>
      </c>
      <c r="T481" t="s">
        <v>30</v>
      </c>
    </row>
    <row r="482" spans="1:20" x14ac:dyDescent="0.3">
      <c r="A482">
        <v>10324</v>
      </c>
      <c r="B482" s="2">
        <v>45716</v>
      </c>
      <c r="C482" t="s">
        <v>20</v>
      </c>
      <c r="D482" t="s">
        <v>32</v>
      </c>
      <c r="E482" t="s">
        <v>33</v>
      </c>
      <c r="F482" t="s">
        <v>41</v>
      </c>
      <c r="G482" t="s">
        <v>95</v>
      </c>
      <c r="H482" t="s">
        <v>278</v>
      </c>
      <c r="I482" t="s">
        <v>371</v>
      </c>
      <c r="J482">
        <v>1546</v>
      </c>
      <c r="K482">
        <v>12</v>
      </c>
      <c r="L482" t="s">
        <v>57</v>
      </c>
      <c r="M482">
        <v>45</v>
      </c>
      <c r="N482">
        <v>42.9</v>
      </c>
      <c r="O482">
        <v>72.7</v>
      </c>
      <c r="P482">
        <v>6.42</v>
      </c>
      <c r="Q482">
        <v>1.3</v>
      </c>
      <c r="R482" t="s">
        <v>267</v>
      </c>
      <c r="S482" t="s">
        <v>29</v>
      </c>
      <c r="T482" t="s">
        <v>30</v>
      </c>
    </row>
    <row r="483" spans="1:20" x14ac:dyDescent="0.3">
      <c r="A483">
        <v>10811</v>
      </c>
      <c r="B483" s="2">
        <v>45782</v>
      </c>
      <c r="C483" t="s">
        <v>49</v>
      </c>
      <c r="D483" t="s">
        <v>32</v>
      </c>
      <c r="E483" t="s">
        <v>107</v>
      </c>
      <c r="F483" t="s">
        <v>23</v>
      </c>
      <c r="G483" t="s">
        <v>50</v>
      </c>
      <c r="H483" t="s">
        <v>148</v>
      </c>
      <c r="I483" t="s">
        <v>297</v>
      </c>
      <c r="J483">
        <v>1365</v>
      </c>
      <c r="K483">
        <v>47</v>
      </c>
      <c r="L483" t="s">
        <v>57</v>
      </c>
      <c r="M483">
        <v>105</v>
      </c>
      <c r="N483">
        <v>32.299999999999997</v>
      </c>
      <c r="O483">
        <v>75.3</v>
      </c>
      <c r="P483">
        <v>5.62</v>
      </c>
      <c r="Q483">
        <v>0.17</v>
      </c>
      <c r="R483" t="s">
        <v>183</v>
      </c>
      <c r="S483" t="s">
        <v>29</v>
      </c>
      <c r="T483" t="s">
        <v>48</v>
      </c>
    </row>
    <row r="484" spans="1:20" x14ac:dyDescent="0.3">
      <c r="A484">
        <v>10486</v>
      </c>
      <c r="B484" s="2">
        <v>45717</v>
      </c>
      <c r="C484" t="s">
        <v>49</v>
      </c>
      <c r="D484" t="s">
        <v>21</v>
      </c>
      <c r="E484" t="s">
        <v>22</v>
      </c>
      <c r="F484" t="s">
        <v>23</v>
      </c>
      <c r="G484" t="s">
        <v>95</v>
      </c>
      <c r="H484" t="s">
        <v>169</v>
      </c>
      <c r="I484" t="s">
        <v>314</v>
      </c>
      <c r="J484">
        <v>1574</v>
      </c>
      <c r="K484">
        <v>14</v>
      </c>
      <c r="L484" t="s">
        <v>45</v>
      </c>
      <c r="M484">
        <v>82</v>
      </c>
      <c r="N484">
        <v>41</v>
      </c>
      <c r="O484">
        <v>64.2</v>
      </c>
      <c r="P484">
        <v>5.97</v>
      </c>
      <c r="Q484">
        <v>2.74</v>
      </c>
      <c r="R484" t="s">
        <v>103</v>
      </c>
      <c r="S484" t="s">
        <v>47</v>
      </c>
      <c r="T484" t="s">
        <v>30</v>
      </c>
    </row>
    <row r="485" spans="1:20" x14ac:dyDescent="0.3">
      <c r="A485">
        <v>10568</v>
      </c>
      <c r="B485" s="2">
        <v>45969</v>
      </c>
      <c r="C485" t="s">
        <v>31</v>
      </c>
      <c r="D485" t="s">
        <v>32</v>
      </c>
      <c r="E485" t="s">
        <v>40</v>
      </c>
      <c r="F485" t="s">
        <v>81</v>
      </c>
      <c r="G485" t="s">
        <v>134</v>
      </c>
      <c r="H485" t="s">
        <v>252</v>
      </c>
      <c r="I485" t="s">
        <v>257</v>
      </c>
      <c r="J485">
        <v>1377</v>
      </c>
      <c r="K485">
        <v>20</v>
      </c>
      <c r="L485" t="s">
        <v>57</v>
      </c>
      <c r="M485">
        <v>32</v>
      </c>
      <c r="N485">
        <v>32.4</v>
      </c>
      <c r="O485">
        <v>69.599999999999994</v>
      </c>
      <c r="P485">
        <v>5.08</v>
      </c>
      <c r="Q485">
        <v>1.76</v>
      </c>
      <c r="R485" t="s">
        <v>232</v>
      </c>
      <c r="S485" t="s">
        <v>47</v>
      </c>
      <c r="T485" t="s">
        <v>30</v>
      </c>
    </row>
    <row r="486" spans="1:20" x14ac:dyDescent="0.3">
      <c r="A486">
        <v>10136</v>
      </c>
      <c r="B486" s="2">
        <v>45951</v>
      </c>
      <c r="C486" t="s">
        <v>20</v>
      </c>
      <c r="D486" t="s">
        <v>21</v>
      </c>
      <c r="E486" t="s">
        <v>33</v>
      </c>
      <c r="F486" t="s">
        <v>81</v>
      </c>
      <c r="G486" t="s">
        <v>134</v>
      </c>
      <c r="H486" t="s">
        <v>265</v>
      </c>
      <c r="I486" t="s">
        <v>301</v>
      </c>
      <c r="J486">
        <v>1363</v>
      </c>
      <c r="K486">
        <v>14</v>
      </c>
      <c r="L486" t="s">
        <v>45</v>
      </c>
      <c r="M486">
        <v>35</v>
      </c>
      <c r="N486">
        <v>36.299999999999997</v>
      </c>
      <c r="O486">
        <v>75.400000000000006</v>
      </c>
      <c r="P486">
        <v>4.82</v>
      </c>
      <c r="Q486">
        <v>2.78</v>
      </c>
      <c r="R486" t="s">
        <v>46</v>
      </c>
      <c r="S486" t="s">
        <v>39</v>
      </c>
      <c r="T486" t="s">
        <v>30</v>
      </c>
    </row>
    <row r="487" spans="1:20" x14ac:dyDescent="0.3">
      <c r="A487">
        <v>10514</v>
      </c>
      <c r="B487" s="2">
        <v>45684</v>
      </c>
      <c r="C487" t="s">
        <v>49</v>
      </c>
      <c r="D487" t="s">
        <v>21</v>
      </c>
      <c r="E487" t="s">
        <v>107</v>
      </c>
      <c r="F487" t="s">
        <v>41</v>
      </c>
      <c r="G487" t="s">
        <v>60</v>
      </c>
      <c r="H487" t="s">
        <v>131</v>
      </c>
      <c r="I487" t="s">
        <v>145</v>
      </c>
      <c r="J487">
        <v>757</v>
      </c>
      <c r="K487">
        <v>4</v>
      </c>
      <c r="L487" t="s">
        <v>27</v>
      </c>
      <c r="M487">
        <v>25</v>
      </c>
      <c r="N487">
        <v>37.9</v>
      </c>
      <c r="O487">
        <v>84.4</v>
      </c>
      <c r="P487">
        <v>4.3099999999999996</v>
      </c>
      <c r="Q487">
        <v>0.89</v>
      </c>
      <c r="R487" t="s">
        <v>137</v>
      </c>
      <c r="S487" t="s">
        <v>29</v>
      </c>
      <c r="T487" t="s">
        <v>30</v>
      </c>
    </row>
    <row r="488" spans="1:20" x14ac:dyDescent="0.3">
      <c r="A488">
        <v>10967</v>
      </c>
      <c r="B488" s="2">
        <v>46021</v>
      </c>
      <c r="C488" t="s">
        <v>150</v>
      </c>
      <c r="D488" t="s">
        <v>21</v>
      </c>
      <c r="E488" t="s">
        <v>107</v>
      </c>
      <c r="F488" t="s">
        <v>41</v>
      </c>
      <c r="G488" t="s">
        <v>42</v>
      </c>
      <c r="H488" t="s">
        <v>123</v>
      </c>
      <c r="I488" t="s">
        <v>334</v>
      </c>
      <c r="J488">
        <v>1524</v>
      </c>
      <c r="K488">
        <v>8</v>
      </c>
      <c r="L488" t="s">
        <v>71</v>
      </c>
      <c r="M488">
        <v>105</v>
      </c>
      <c r="N488">
        <v>43.4</v>
      </c>
      <c r="O488">
        <v>63.4</v>
      </c>
      <c r="P488">
        <v>5.3</v>
      </c>
      <c r="Q488">
        <v>4.37</v>
      </c>
      <c r="R488" t="s">
        <v>159</v>
      </c>
      <c r="S488" t="s">
        <v>39</v>
      </c>
      <c r="T488" t="s">
        <v>30</v>
      </c>
    </row>
    <row r="489" spans="1:20" x14ac:dyDescent="0.3">
      <c r="A489">
        <v>10888</v>
      </c>
      <c r="B489" s="2">
        <v>45931</v>
      </c>
      <c r="C489" t="s">
        <v>291</v>
      </c>
      <c r="D489" t="s">
        <v>32</v>
      </c>
      <c r="E489" t="s">
        <v>107</v>
      </c>
      <c r="F489" t="s">
        <v>41</v>
      </c>
      <c r="G489" t="s">
        <v>89</v>
      </c>
      <c r="H489" t="s">
        <v>175</v>
      </c>
      <c r="I489" t="s">
        <v>157</v>
      </c>
      <c r="J489">
        <v>1151</v>
      </c>
      <c r="K489">
        <v>13</v>
      </c>
      <c r="L489" t="s">
        <v>68</v>
      </c>
      <c r="M489">
        <v>22</v>
      </c>
      <c r="N489">
        <v>47.3</v>
      </c>
      <c r="O489">
        <v>70.3</v>
      </c>
      <c r="P489">
        <v>4.5</v>
      </c>
      <c r="Q489">
        <v>2.0699999999999998</v>
      </c>
      <c r="R489" t="s">
        <v>195</v>
      </c>
      <c r="S489" t="s">
        <v>29</v>
      </c>
      <c r="T489" t="s">
        <v>30</v>
      </c>
    </row>
    <row r="490" spans="1:20" x14ac:dyDescent="0.3">
      <c r="A490">
        <v>10436</v>
      </c>
      <c r="B490" s="2">
        <v>45880</v>
      </c>
      <c r="C490" t="s">
        <v>31</v>
      </c>
      <c r="D490" t="s">
        <v>21</v>
      </c>
      <c r="E490" t="s">
        <v>33</v>
      </c>
      <c r="F490" t="s">
        <v>41</v>
      </c>
      <c r="G490" t="s">
        <v>24</v>
      </c>
      <c r="H490" t="s">
        <v>169</v>
      </c>
      <c r="I490" t="s">
        <v>254</v>
      </c>
      <c r="J490">
        <v>852</v>
      </c>
      <c r="K490">
        <v>9</v>
      </c>
      <c r="L490" t="s">
        <v>37</v>
      </c>
      <c r="M490">
        <v>70</v>
      </c>
      <c r="N490">
        <v>51.2</v>
      </c>
      <c r="O490">
        <v>70.2</v>
      </c>
      <c r="P490">
        <v>5.24</v>
      </c>
      <c r="Q490">
        <v>3.9</v>
      </c>
      <c r="R490" t="s">
        <v>80</v>
      </c>
      <c r="S490" t="s">
        <v>73</v>
      </c>
      <c r="T490" t="s">
        <v>30</v>
      </c>
    </row>
    <row r="491" spans="1:20" x14ac:dyDescent="0.3">
      <c r="A491">
        <v>10712</v>
      </c>
      <c r="B491" s="2">
        <v>45974</v>
      </c>
      <c r="C491" t="s">
        <v>31</v>
      </c>
      <c r="D491" t="s">
        <v>21</v>
      </c>
      <c r="E491" t="s">
        <v>40</v>
      </c>
      <c r="F491" t="s">
        <v>23</v>
      </c>
      <c r="G491" t="s">
        <v>74</v>
      </c>
      <c r="H491" t="s">
        <v>66</v>
      </c>
      <c r="I491" t="s">
        <v>306</v>
      </c>
      <c r="J491">
        <v>973</v>
      </c>
      <c r="K491">
        <v>11</v>
      </c>
      <c r="L491" t="s">
        <v>57</v>
      </c>
      <c r="M491">
        <v>26</v>
      </c>
      <c r="N491">
        <v>34.5</v>
      </c>
      <c r="O491">
        <v>75.7</v>
      </c>
      <c r="P491">
        <v>4.63</v>
      </c>
      <c r="Q491">
        <v>4.7699999999999996</v>
      </c>
      <c r="R491" t="s">
        <v>186</v>
      </c>
      <c r="S491" t="s">
        <v>29</v>
      </c>
      <c r="T491" t="s">
        <v>30</v>
      </c>
    </row>
    <row r="492" spans="1:20" x14ac:dyDescent="0.3">
      <c r="A492">
        <v>10665</v>
      </c>
      <c r="B492" s="2">
        <v>45846</v>
      </c>
      <c r="C492" t="s">
        <v>20</v>
      </c>
      <c r="D492" t="s">
        <v>64</v>
      </c>
      <c r="E492" t="s">
        <v>33</v>
      </c>
      <c r="F492" t="s">
        <v>81</v>
      </c>
      <c r="G492" t="s">
        <v>89</v>
      </c>
      <c r="H492" t="s">
        <v>177</v>
      </c>
      <c r="I492" t="s">
        <v>257</v>
      </c>
      <c r="J492">
        <v>462</v>
      </c>
      <c r="K492">
        <v>3</v>
      </c>
      <c r="L492" t="s">
        <v>45</v>
      </c>
      <c r="M492">
        <v>156</v>
      </c>
      <c r="N492">
        <v>51.3</v>
      </c>
      <c r="O492">
        <v>75.8</v>
      </c>
      <c r="P492">
        <v>5.95</v>
      </c>
      <c r="Q492">
        <v>3.96</v>
      </c>
      <c r="R492" t="s">
        <v>103</v>
      </c>
      <c r="S492" t="s">
        <v>47</v>
      </c>
      <c r="T492" t="s">
        <v>30</v>
      </c>
    </row>
    <row r="493" spans="1:20" x14ac:dyDescent="0.3">
      <c r="A493">
        <v>10632</v>
      </c>
      <c r="B493" s="2">
        <v>45702</v>
      </c>
      <c r="C493" t="s">
        <v>20</v>
      </c>
      <c r="D493" t="s">
        <v>32</v>
      </c>
      <c r="E493" t="s">
        <v>40</v>
      </c>
      <c r="F493" t="s">
        <v>41</v>
      </c>
      <c r="G493" t="s">
        <v>95</v>
      </c>
      <c r="H493" t="s">
        <v>116</v>
      </c>
      <c r="I493" t="s">
        <v>231</v>
      </c>
      <c r="J493">
        <v>488</v>
      </c>
      <c r="K493">
        <v>2</v>
      </c>
      <c r="L493" t="s">
        <v>71</v>
      </c>
      <c r="M493">
        <v>114</v>
      </c>
      <c r="N493">
        <v>45.1</v>
      </c>
      <c r="O493">
        <v>65.5</v>
      </c>
      <c r="P493">
        <v>5.42</v>
      </c>
      <c r="Q493">
        <v>3.7</v>
      </c>
      <c r="R493" t="s">
        <v>202</v>
      </c>
      <c r="S493" t="s">
        <v>29</v>
      </c>
      <c r="T493" t="s">
        <v>30</v>
      </c>
    </row>
    <row r="494" spans="1:20" x14ac:dyDescent="0.3">
      <c r="A494">
        <v>10783</v>
      </c>
      <c r="B494" s="2">
        <v>45669</v>
      </c>
      <c r="C494" t="s">
        <v>20</v>
      </c>
      <c r="D494" t="s">
        <v>59</v>
      </c>
      <c r="E494" t="s">
        <v>107</v>
      </c>
      <c r="F494" t="s">
        <v>41</v>
      </c>
      <c r="G494" t="s">
        <v>74</v>
      </c>
      <c r="H494" t="s">
        <v>287</v>
      </c>
      <c r="I494" t="s">
        <v>298</v>
      </c>
      <c r="J494">
        <v>491</v>
      </c>
      <c r="K494">
        <v>43</v>
      </c>
      <c r="L494" t="s">
        <v>68</v>
      </c>
      <c r="M494">
        <v>73</v>
      </c>
      <c r="N494">
        <v>50.5</v>
      </c>
      <c r="O494">
        <v>65.5</v>
      </c>
      <c r="P494">
        <v>5.77</v>
      </c>
      <c r="Q494">
        <v>4.16</v>
      </c>
      <c r="R494" t="s">
        <v>80</v>
      </c>
      <c r="S494" t="s">
        <v>29</v>
      </c>
      <c r="T494" t="s">
        <v>48</v>
      </c>
    </row>
    <row r="495" spans="1:20" x14ac:dyDescent="0.3">
      <c r="A495">
        <v>10159</v>
      </c>
      <c r="B495" s="2">
        <v>45904</v>
      </c>
      <c r="C495" t="s">
        <v>20</v>
      </c>
      <c r="D495" t="s">
        <v>59</v>
      </c>
      <c r="E495" t="s">
        <v>107</v>
      </c>
      <c r="F495" t="s">
        <v>41</v>
      </c>
      <c r="G495" t="s">
        <v>34</v>
      </c>
      <c r="H495" t="s">
        <v>66</v>
      </c>
      <c r="I495" t="s">
        <v>203</v>
      </c>
      <c r="J495">
        <v>1332</v>
      </c>
      <c r="K495">
        <v>15</v>
      </c>
      <c r="L495" t="s">
        <v>37</v>
      </c>
      <c r="M495">
        <v>69</v>
      </c>
      <c r="N495">
        <v>52.4</v>
      </c>
      <c r="O495">
        <v>70.2</v>
      </c>
      <c r="P495">
        <v>5.44</v>
      </c>
      <c r="Q495">
        <v>3.96</v>
      </c>
      <c r="R495" t="s">
        <v>159</v>
      </c>
      <c r="S495" t="s">
        <v>29</v>
      </c>
      <c r="T495" t="s">
        <v>30</v>
      </c>
    </row>
    <row r="496" spans="1:20" x14ac:dyDescent="0.3">
      <c r="A496">
        <v>11442</v>
      </c>
      <c r="B496" s="2">
        <v>45916</v>
      </c>
      <c r="C496" t="s">
        <v>20</v>
      </c>
      <c r="D496" t="s">
        <v>32</v>
      </c>
      <c r="E496" t="s">
        <v>22</v>
      </c>
      <c r="F496" t="s">
        <v>81</v>
      </c>
      <c r="G496" t="s">
        <v>42</v>
      </c>
      <c r="H496" t="s">
        <v>75</v>
      </c>
      <c r="I496" t="s">
        <v>324</v>
      </c>
      <c r="J496">
        <v>1288</v>
      </c>
      <c r="K496">
        <v>11</v>
      </c>
      <c r="L496" t="s">
        <v>27</v>
      </c>
      <c r="M496">
        <v>51</v>
      </c>
      <c r="N496">
        <v>34.700000000000003</v>
      </c>
      <c r="O496">
        <v>68.900000000000006</v>
      </c>
      <c r="P496">
        <v>5.26</v>
      </c>
      <c r="Q496">
        <v>1.83</v>
      </c>
      <c r="R496" t="s">
        <v>174</v>
      </c>
      <c r="S496" t="s">
        <v>29</v>
      </c>
      <c r="T496" t="s">
        <v>30</v>
      </c>
    </row>
    <row r="497" spans="1:20" x14ac:dyDescent="0.3">
      <c r="A497">
        <v>11305</v>
      </c>
      <c r="B497" s="2">
        <v>45989</v>
      </c>
      <c r="C497" t="s">
        <v>49</v>
      </c>
      <c r="D497" t="s">
        <v>64</v>
      </c>
      <c r="E497" t="s">
        <v>22</v>
      </c>
      <c r="F497" t="s">
        <v>41</v>
      </c>
      <c r="G497" t="s">
        <v>54</v>
      </c>
      <c r="H497" t="s">
        <v>69</v>
      </c>
      <c r="I497" t="s">
        <v>115</v>
      </c>
      <c r="J497">
        <v>1422</v>
      </c>
      <c r="K497">
        <v>21</v>
      </c>
      <c r="L497" t="s">
        <v>68</v>
      </c>
      <c r="M497">
        <v>13</v>
      </c>
      <c r="N497">
        <v>41.5</v>
      </c>
      <c r="O497">
        <v>61.4</v>
      </c>
      <c r="P497">
        <v>4.9800000000000004</v>
      </c>
      <c r="Q497">
        <v>3.49</v>
      </c>
      <c r="R497" t="s">
        <v>184</v>
      </c>
      <c r="S497" t="s">
        <v>29</v>
      </c>
      <c r="T497" t="s">
        <v>30</v>
      </c>
    </row>
    <row r="498" spans="1:20" x14ac:dyDescent="0.3">
      <c r="A498">
        <v>11346</v>
      </c>
      <c r="B498" s="2">
        <v>45693</v>
      </c>
      <c r="C498" t="s">
        <v>20</v>
      </c>
      <c r="D498" t="s">
        <v>64</v>
      </c>
      <c r="E498" t="s">
        <v>107</v>
      </c>
      <c r="F498" t="s">
        <v>98</v>
      </c>
      <c r="G498" t="s">
        <v>24</v>
      </c>
      <c r="H498" t="s">
        <v>215</v>
      </c>
      <c r="I498" t="s">
        <v>313</v>
      </c>
      <c r="J498">
        <v>464</v>
      </c>
      <c r="K498">
        <v>6</v>
      </c>
      <c r="L498" t="s">
        <v>37</v>
      </c>
      <c r="M498">
        <v>134</v>
      </c>
      <c r="N498">
        <v>42.8</v>
      </c>
      <c r="O498">
        <v>68.3</v>
      </c>
      <c r="P498">
        <v>5.87</v>
      </c>
      <c r="Q498">
        <v>3.05</v>
      </c>
      <c r="R498" t="s">
        <v>28</v>
      </c>
      <c r="S498" t="s">
        <v>47</v>
      </c>
      <c r="T498" t="s">
        <v>30</v>
      </c>
    </row>
    <row r="499" spans="1:20" x14ac:dyDescent="0.3">
      <c r="A499">
        <v>10353</v>
      </c>
      <c r="B499" s="2">
        <v>45897</v>
      </c>
      <c r="C499" t="s">
        <v>199</v>
      </c>
      <c r="D499" t="s">
        <v>32</v>
      </c>
      <c r="E499" t="s">
        <v>33</v>
      </c>
      <c r="F499" t="s">
        <v>41</v>
      </c>
      <c r="G499" t="s">
        <v>109</v>
      </c>
      <c r="H499" t="s">
        <v>161</v>
      </c>
      <c r="I499" t="s">
        <v>212</v>
      </c>
      <c r="J499">
        <v>1547</v>
      </c>
      <c r="K499">
        <v>11</v>
      </c>
      <c r="L499" t="s">
        <v>57</v>
      </c>
      <c r="M499">
        <v>6</v>
      </c>
      <c r="N499">
        <v>47.1</v>
      </c>
      <c r="O499">
        <v>69.7</v>
      </c>
      <c r="P499">
        <v>5.34</v>
      </c>
      <c r="Q499">
        <v>3.28</v>
      </c>
      <c r="R499" t="s">
        <v>229</v>
      </c>
      <c r="S499" t="s">
        <v>29</v>
      </c>
      <c r="T499" t="s">
        <v>30</v>
      </c>
    </row>
    <row r="500" spans="1:20" x14ac:dyDescent="0.3">
      <c r="A500">
        <v>11464</v>
      </c>
      <c r="B500" s="2">
        <v>45942</v>
      </c>
      <c r="C500" t="s">
        <v>20</v>
      </c>
      <c r="D500" t="s">
        <v>21</v>
      </c>
      <c r="E500" t="s">
        <v>40</v>
      </c>
      <c r="F500" t="s">
        <v>41</v>
      </c>
      <c r="G500" t="s">
        <v>60</v>
      </c>
      <c r="H500" t="s">
        <v>138</v>
      </c>
      <c r="I500" t="s">
        <v>162</v>
      </c>
      <c r="J500">
        <v>1347</v>
      </c>
      <c r="K500">
        <v>89</v>
      </c>
      <c r="L500" t="s">
        <v>71</v>
      </c>
      <c r="M500">
        <v>143</v>
      </c>
      <c r="N500">
        <v>44.2</v>
      </c>
      <c r="O500">
        <v>76.5</v>
      </c>
      <c r="P500">
        <v>5.63</v>
      </c>
      <c r="Q500">
        <v>3.38</v>
      </c>
      <c r="R500" t="s">
        <v>147</v>
      </c>
      <c r="S500" t="s">
        <v>39</v>
      </c>
      <c r="T500" t="s">
        <v>48</v>
      </c>
    </row>
    <row r="501" spans="1:20" x14ac:dyDescent="0.3">
      <c r="A501">
        <v>11308</v>
      </c>
      <c r="B501" s="2">
        <v>46012</v>
      </c>
      <c r="C501" t="s">
        <v>49</v>
      </c>
      <c r="D501" t="s">
        <v>32</v>
      </c>
      <c r="E501" t="s">
        <v>107</v>
      </c>
      <c r="F501" t="s">
        <v>23</v>
      </c>
      <c r="G501" t="s">
        <v>89</v>
      </c>
      <c r="H501" t="s">
        <v>193</v>
      </c>
      <c r="I501" t="s">
        <v>368</v>
      </c>
      <c r="J501">
        <v>783</v>
      </c>
      <c r="K501">
        <v>11</v>
      </c>
      <c r="L501" t="s">
        <v>45</v>
      </c>
      <c r="M501">
        <v>151</v>
      </c>
      <c r="N501">
        <v>41.8</v>
      </c>
      <c r="O501">
        <v>78.599999999999994</v>
      </c>
      <c r="P501">
        <v>4.5199999999999996</v>
      </c>
      <c r="Q501">
        <v>1.75</v>
      </c>
      <c r="R501" t="s">
        <v>243</v>
      </c>
      <c r="S501" t="s">
        <v>47</v>
      </c>
      <c r="T501" t="s">
        <v>30</v>
      </c>
    </row>
    <row r="502" spans="1:20" x14ac:dyDescent="0.3">
      <c r="A502">
        <v>11437</v>
      </c>
      <c r="B502" s="2">
        <v>45846</v>
      </c>
      <c r="C502" t="s">
        <v>20</v>
      </c>
      <c r="D502" t="s">
        <v>32</v>
      </c>
      <c r="E502" t="s">
        <v>107</v>
      </c>
      <c r="F502" t="s">
        <v>41</v>
      </c>
      <c r="G502" t="s">
        <v>54</v>
      </c>
      <c r="H502" t="s">
        <v>78</v>
      </c>
      <c r="I502" t="s">
        <v>115</v>
      </c>
      <c r="J502">
        <v>1014</v>
      </c>
      <c r="K502">
        <v>7</v>
      </c>
      <c r="L502" t="s">
        <v>57</v>
      </c>
      <c r="M502">
        <v>49</v>
      </c>
      <c r="N502">
        <v>38.9</v>
      </c>
      <c r="O502">
        <v>73.2</v>
      </c>
      <c r="P502">
        <v>5</v>
      </c>
      <c r="Q502">
        <v>2.21</v>
      </c>
      <c r="R502" t="s">
        <v>155</v>
      </c>
      <c r="S502" t="s">
        <v>39</v>
      </c>
      <c r="T502" t="s">
        <v>30</v>
      </c>
    </row>
    <row r="503" spans="1:20" x14ac:dyDescent="0.3">
      <c r="A503">
        <v>11193</v>
      </c>
      <c r="B503" s="2">
        <v>45961</v>
      </c>
      <c r="C503" t="s">
        <v>31</v>
      </c>
      <c r="D503" t="s">
        <v>21</v>
      </c>
      <c r="E503" t="s">
        <v>40</v>
      </c>
      <c r="F503" t="s">
        <v>41</v>
      </c>
      <c r="G503" t="s">
        <v>54</v>
      </c>
      <c r="H503" t="s">
        <v>252</v>
      </c>
      <c r="I503" t="s">
        <v>145</v>
      </c>
      <c r="J503">
        <v>1298</v>
      </c>
      <c r="K503">
        <v>10</v>
      </c>
      <c r="L503" t="s">
        <v>37</v>
      </c>
      <c r="M503">
        <v>22</v>
      </c>
      <c r="N503">
        <v>36.1</v>
      </c>
      <c r="O503">
        <v>59.1</v>
      </c>
      <c r="P503">
        <v>4.91</v>
      </c>
      <c r="Q503">
        <v>4.04</v>
      </c>
      <c r="R503" t="s">
        <v>222</v>
      </c>
      <c r="S503" t="s">
        <v>73</v>
      </c>
      <c r="T503" t="s">
        <v>30</v>
      </c>
    </row>
    <row r="504" spans="1:20" x14ac:dyDescent="0.3">
      <c r="A504">
        <v>10598</v>
      </c>
      <c r="B504" s="2">
        <v>46003</v>
      </c>
      <c r="C504" t="s">
        <v>49</v>
      </c>
      <c r="D504" t="s">
        <v>59</v>
      </c>
      <c r="E504" t="s">
        <v>22</v>
      </c>
      <c r="F504" t="s">
        <v>81</v>
      </c>
      <c r="G504" t="s">
        <v>42</v>
      </c>
      <c r="H504" t="s">
        <v>192</v>
      </c>
      <c r="I504" t="s">
        <v>372</v>
      </c>
      <c r="J504">
        <v>1584</v>
      </c>
      <c r="K504">
        <v>22</v>
      </c>
      <c r="L504" t="s">
        <v>37</v>
      </c>
      <c r="M504">
        <v>75</v>
      </c>
      <c r="N504">
        <v>38</v>
      </c>
      <c r="O504">
        <v>74.400000000000006</v>
      </c>
      <c r="P504">
        <v>5.15</v>
      </c>
      <c r="Q504">
        <v>2.9</v>
      </c>
      <c r="R504" t="s">
        <v>167</v>
      </c>
      <c r="S504" t="s">
        <v>73</v>
      </c>
      <c r="T504" t="s">
        <v>30</v>
      </c>
    </row>
    <row r="505" spans="1:20" x14ac:dyDescent="0.3">
      <c r="A505">
        <v>11466</v>
      </c>
      <c r="B505" s="2">
        <v>45918</v>
      </c>
      <c r="C505" t="s">
        <v>31</v>
      </c>
      <c r="D505" t="s">
        <v>32</v>
      </c>
      <c r="E505" t="s">
        <v>33</v>
      </c>
      <c r="F505" t="s">
        <v>23</v>
      </c>
      <c r="G505" t="s">
        <v>50</v>
      </c>
      <c r="H505" t="s">
        <v>138</v>
      </c>
      <c r="I505" t="s">
        <v>373</v>
      </c>
      <c r="J505">
        <v>647</v>
      </c>
      <c r="K505">
        <v>21</v>
      </c>
      <c r="L505" t="s">
        <v>71</v>
      </c>
      <c r="M505">
        <v>73</v>
      </c>
      <c r="N505">
        <v>48.5</v>
      </c>
      <c r="O505">
        <v>61.4</v>
      </c>
      <c r="P505">
        <v>5.85</v>
      </c>
      <c r="Q505">
        <v>0.57999999999999996</v>
      </c>
      <c r="R505" t="s">
        <v>87</v>
      </c>
      <c r="S505" t="s">
        <v>47</v>
      </c>
      <c r="T505" t="s">
        <v>48</v>
      </c>
    </row>
    <row r="506" spans="1:20" x14ac:dyDescent="0.3">
      <c r="A506">
        <v>10196</v>
      </c>
      <c r="B506" s="2">
        <v>45871</v>
      </c>
      <c r="C506" t="s">
        <v>49</v>
      </c>
      <c r="D506" t="s">
        <v>32</v>
      </c>
      <c r="E506" t="s">
        <v>22</v>
      </c>
      <c r="F506" t="s">
        <v>81</v>
      </c>
      <c r="G506" t="s">
        <v>42</v>
      </c>
      <c r="H506" t="s">
        <v>278</v>
      </c>
      <c r="I506" t="s">
        <v>296</v>
      </c>
      <c r="J506">
        <v>907</v>
      </c>
      <c r="K506">
        <v>8</v>
      </c>
      <c r="L506" t="s">
        <v>68</v>
      </c>
      <c r="M506">
        <v>116</v>
      </c>
      <c r="N506">
        <v>28</v>
      </c>
      <c r="O506">
        <v>55.6</v>
      </c>
      <c r="P506">
        <v>5.67</v>
      </c>
      <c r="Q506">
        <v>3.09</v>
      </c>
      <c r="R506" t="s">
        <v>72</v>
      </c>
      <c r="S506" t="s">
        <v>47</v>
      </c>
      <c r="T506" t="s">
        <v>30</v>
      </c>
    </row>
    <row r="507" spans="1:20" x14ac:dyDescent="0.3">
      <c r="A507">
        <v>11252</v>
      </c>
      <c r="B507" s="2">
        <v>45948</v>
      </c>
      <c r="C507" t="s">
        <v>49</v>
      </c>
      <c r="D507" t="s">
        <v>59</v>
      </c>
      <c r="E507" t="s">
        <v>107</v>
      </c>
      <c r="F507" t="s">
        <v>41</v>
      </c>
      <c r="G507" t="s">
        <v>60</v>
      </c>
      <c r="H507" t="s">
        <v>43</v>
      </c>
      <c r="I507" t="s">
        <v>146</v>
      </c>
      <c r="J507">
        <v>717</v>
      </c>
      <c r="K507">
        <v>21</v>
      </c>
      <c r="L507" t="s">
        <v>37</v>
      </c>
      <c r="M507">
        <v>34</v>
      </c>
      <c r="N507">
        <v>34.4</v>
      </c>
      <c r="O507">
        <v>72</v>
      </c>
      <c r="P507">
        <v>5.87</v>
      </c>
      <c r="Q507">
        <v>3.89</v>
      </c>
      <c r="R507" t="s">
        <v>184</v>
      </c>
      <c r="S507" t="s">
        <v>73</v>
      </c>
      <c r="T507" t="s">
        <v>30</v>
      </c>
    </row>
    <row r="508" spans="1:20" x14ac:dyDescent="0.3">
      <c r="A508">
        <v>10622</v>
      </c>
      <c r="B508" s="2">
        <v>45799</v>
      </c>
      <c r="C508" t="s">
        <v>49</v>
      </c>
      <c r="D508" t="s">
        <v>32</v>
      </c>
      <c r="E508" t="s">
        <v>40</v>
      </c>
      <c r="F508" t="s">
        <v>41</v>
      </c>
      <c r="G508" t="s">
        <v>134</v>
      </c>
      <c r="H508" t="s">
        <v>215</v>
      </c>
      <c r="I508" t="s">
        <v>214</v>
      </c>
      <c r="J508">
        <v>980</v>
      </c>
      <c r="K508">
        <v>31</v>
      </c>
      <c r="L508" t="s">
        <v>27</v>
      </c>
      <c r="M508">
        <v>73</v>
      </c>
      <c r="N508">
        <v>46.3</v>
      </c>
      <c r="O508">
        <v>69</v>
      </c>
      <c r="P508">
        <v>4.68</v>
      </c>
      <c r="Q508">
        <v>4.2</v>
      </c>
      <c r="R508" t="s">
        <v>92</v>
      </c>
      <c r="S508" t="s">
        <v>39</v>
      </c>
      <c r="T508" t="s">
        <v>48</v>
      </c>
    </row>
    <row r="509" spans="1:20" x14ac:dyDescent="0.3">
      <c r="A509">
        <v>10439</v>
      </c>
      <c r="B509" s="2">
        <v>46004</v>
      </c>
      <c r="C509" t="s">
        <v>20</v>
      </c>
      <c r="D509" t="s">
        <v>32</v>
      </c>
      <c r="E509" t="s">
        <v>107</v>
      </c>
      <c r="F509" t="s">
        <v>81</v>
      </c>
      <c r="G509" t="s">
        <v>50</v>
      </c>
      <c r="H509" t="s">
        <v>169</v>
      </c>
      <c r="I509" t="s">
        <v>260</v>
      </c>
      <c r="J509">
        <v>982</v>
      </c>
      <c r="K509">
        <v>9</v>
      </c>
      <c r="L509" t="s">
        <v>71</v>
      </c>
      <c r="M509">
        <v>28</v>
      </c>
      <c r="N509">
        <v>55.8</v>
      </c>
      <c r="O509">
        <v>67.7</v>
      </c>
      <c r="P509">
        <v>4.4000000000000004</v>
      </c>
      <c r="Q509">
        <v>1.1200000000000001</v>
      </c>
      <c r="R509" t="s">
        <v>125</v>
      </c>
      <c r="S509" t="s">
        <v>47</v>
      </c>
      <c r="T509" t="s">
        <v>30</v>
      </c>
    </row>
    <row r="510" spans="1:20" x14ac:dyDescent="0.3">
      <c r="A510">
        <v>10411</v>
      </c>
      <c r="B510" s="2">
        <v>45938</v>
      </c>
      <c r="C510" t="s">
        <v>20</v>
      </c>
      <c r="D510" t="s">
        <v>21</v>
      </c>
      <c r="E510" t="s">
        <v>33</v>
      </c>
      <c r="F510" t="s">
        <v>81</v>
      </c>
      <c r="G510" t="s">
        <v>89</v>
      </c>
      <c r="H510" t="s">
        <v>114</v>
      </c>
      <c r="I510" t="s">
        <v>290</v>
      </c>
      <c r="J510">
        <v>882</v>
      </c>
      <c r="K510">
        <v>13</v>
      </c>
      <c r="L510" t="s">
        <v>45</v>
      </c>
      <c r="M510">
        <v>161</v>
      </c>
      <c r="N510">
        <v>32</v>
      </c>
      <c r="O510">
        <v>79.2</v>
      </c>
      <c r="P510">
        <v>6.39</v>
      </c>
      <c r="Q510">
        <v>1.58</v>
      </c>
      <c r="R510" t="s">
        <v>164</v>
      </c>
      <c r="S510" t="s">
        <v>29</v>
      </c>
      <c r="T510" t="s">
        <v>30</v>
      </c>
    </row>
    <row r="511" spans="1:20" x14ac:dyDescent="0.3">
      <c r="A511">
        <v>10652</v>
      </c>
      <c r="B511" s="2">
        <v>45848</v>
      </c>
      <c r="C511" t="s">
        <v>20</v>
      </c>
      <c r="D511" t="s">
        <v>21</v>
      </c>
      <c r="E511" t="s">
        <v>107</v>
      </c>
      <c r="F511" t="s">
        <v>23</v>
      </c>
      <c r="G511" t="s">
        <v>50</v>
      </c>
      <c r="H511" t="s">
        <v>215</v>
      </c>
      <c r="I511" t="s">
        <v>309</v>
      </c>
      <c r="J511">
        <v>872</v>
      </c>
      <c r="K511">
        <v>5</v>
      </c>
      <c r="L511" t="s">
        <v>45</v>
      </c>
      <c r="M511">
        <v>36</v>
      </c>
      <c r="N511">
        <v>25.5</v>
      </c>
      <c r="O511">
        <v>58.5</v>
      </c>
      <c r="P511">
        <v>3.9</v>
      </c>
      <c r="Q511">
        <v>3.49</v>
      </c>
      <c r="R511" t="s">
        <v>227</v>
      </c>
      <c r="S511" t="s">
        <v>39</v>
      </c>
      <c r="T511" t="s">
        <v>30</v>
      </c>
    </row>
    <row r="512" spans="1:20" x14ac:dyDescent="0.3">
      <c r="A512">
        <v>11448</v>
      </c>
      <c r="B512" s="2">
        <v>45734</v>
      </c>
      <c r="C512" t="s">
        <v>49</v>
      </c>
      <c r="D512" t="s">
        <v>21</v>
      </c>
      <c r="E512" t="s">
        <v>40</v>
      </c>
      <c r="F512" t="s">
        <v>81</v>
      </c>
      <c r="G512" t="s">
        <v>50</v>
      </c>
      <c r="H512" t="s">
        <v>287</v>
      </c>
      <c r="I512" t="s">
        <v>219</v>
      </c>
      <c r="J512">
        <v>923</v>
      </c>
      <c r="K512">
        <v>13</v>
      </c>
      <c r="L512" t="s">
        <v>37</v>
      </c>
      <c r="M512">
        <v>46</v>
      </c>
      <c r="N512">
        <v>47.9</v>
      </c>
      <c r="O512">
        <v>68.3</v>
      </c>
      <c r="P512">
        <v>7.11</v>
      </c>
      <c r="Q512">
        <v>2.92</v>
      </c>
      <c r="R512" t="s">
        <v>122</v>
      </c>
      <c r="S512" t="s">
        <v>73</v>
      </c>
      <c r="T512" t="s">
        <v>30</v>
      </c>
    </row>
    <row r="513" spans="1:20" x14ac:dyDescent="0.3">
      <c r="A513">
        <v>10097</v>
      </c>
      <c r="B513" s="2">
        <v>45740</v>
      </c>
      <c r="C513" t="s">
        <v>20</v>
      </c>
      <c r="D513" t="s">
        <v>32</v>
      </c>
      <c r="E513" t="s">
        <v>22</v>
      </c>
      <c r="F513" t="s">
        <v>23</v>
      </c>
      <c r="G513" t="s">
        <v>95</v>
      </c>
      <c r="H513" t="s">
        <v>116</v>
      </c>
      <c r="I513" t="s">
        <v>191</v>
      </c>
      <c r="J513">
        <v>1227</v>
      </c>
      <c r="K513">
        <v>6</v>
      </c>
      <c r="L513" t="s">
        <v>45</v>
      </c>
      <c r="M513">
        <v>148</v>
      </c>
      <c r="N513">
        <v>42.1</v>
      </c>
      <c r="O513">
        <v>66.2</v>
      </c>
      <c r="P513">
        <v>3.97</v>
      </c>
      <c r="Q513">
        <v>3.8</v>
      </c>
      <c r="R513" t="s">
        <v>77</v>
      </c>
      <c r="S513" t="s">
        <v>47</v>
      </c>
      <c r="T513" t="s">
        <v>30</v>
      </c>
    </row>
    <row r="514" spans="1:20" x14ac:dyDescent="0.3">
      <c r="A514">
        <v>10591</v>
      </c>
      <c r="B514" s="2">
        <v>45678</v>
      </c>
      <c r="C514" t="s">
        <v>20</v>
      </c>
      <c r="D514" t="s">
        <v>64</v>
      </c>
      <c r="E514" t="s">
        <v>40</v>
      </c>
      <c r="F514" t="s">
        <v>81</v>
      </c>
      <c r="G514" t="s">
        <v>50</v>
      </c>
      <c r="H514" t="s">
        <v>193</v>
      </c>
      <c r="I514" t="s">
        <v>290</v>
      </c>
      <c r="J514">
        <v>1511</v>
      </c>
      <c r="K514">
        <v>18</v>
      </c>
      <c r="L514" t="s">
        <v>57</v>
      </c>
      <c r="M514">
        <v>170</v>
      </c>
      <c r="N514">
        <v>38.299999999999997</v>
      </c>
      <c r="O514">
        <v>64.7</v>
      </c>
      <c r="P514">
        <v>6.11</v>
      </c>
      <c r="Q514">
        <v>1.39</v>
      </c>
      <c r="R514" t="s">
        <v>105</v>
      </c>
      <c r="S514" t="s">
        <v>39</v>
      </c>
      <c r="T514" t="s">
        <v>30</v>
      </c>
    </row>
    <row r="515" spans="1:20" x14ac:dyDescent="0.3">
      <c r="A515">
        <v>10157</v>
      </c>
      <c r="B515" s="2">
        <v>45743</v>
      </c>
      <c r="C515" t="s">
        <v>49</v>
      </c>
      <c r="D515" t="s">
        <v>59</v>
      </c>
      <c r="E515" t="s">
        <v>33</v>
      </c>
      <c r="F515" t="s">
        <v>108</v>
      </c>
      <c r="G515" t="s">
        <v>95</v>
      </c>
      <c r="H515" t="s">
        <v>55</v>
      </c>
      <c r="I515" t="s">
        <v>26</v>
      </c>
      <c r="J515">
        <v>464</v>
      </c>
      <c r="K515">
        <v>3</v>
      </c>
      <c r="L515" t="s">
        <v>57</v>
      </c>
      <c r="M515">
        <v>97</v>
      </c>
      <c r="N515">
        <v>48.7</v>
      </c>
      <c r="O515">
        <v>71.599999999999994</v>
      </c>
      <c r="P515">
        <v>4.53</v>
      </c>
      <c r="Q515">
        <v>3.24</v>
      </c>
      <c r="R515" t="s">
        <v>280</v>
      </c>
      <c r="S515" t="s">
        <v>73</v>
      </c>
      <c r="T515" t="s">
        <v>30</v>
      </c>
    </row>
    <row r="516" spans="1:20" x14ac:dyDescent="0.3">
      <c r="A516">
        <v>10420</v>
      </c>
      <c r="B516" s="2">
        <v>45904</v>
      </c>
      <c r="C516" t="s">
        <v>31</v>
      </c>
      <c r="D516" t="s">
        <v>64</v>
      </c>
      <c r="E516" t="s">
        <v>107</v>
      </c>
      <c r="F516" t="s">
        <v>23</v>
      </c>
      <c r="G516" t="s">
        <v>95</v>
      </c>
      <c r="H516" t="s">
        <v>215</v>
      </c>
      <c r="I516" t="s">
        <v>269</v>
      </c>
      <c r="J516">
        <v>662</v>
      </c>
      <c r="K516">
        <v>9</v>
      </c>
      <c r="L516" t="s">
        <v>27</v>
      </c>
      <c r="M516">
        <v>26</v>
      </c>
      <c r="N516">
        <v>47</v>
      </c>
      <c r="O516">
        <v>70.2</v>
      </c>
      <c r="P516">
        <v>4.09</v>
      </c>
      <c r="Q516">
        <v>1.21</v>
      </c>
      <c r="R516" t="s">
        <v>143</v>
      </c>
      <c r="S516" t="s">
        <v>29</v>
      </c>
      <c r="T516" t="s">
        <v>30</v>
      </c>
    </row>
    <row r="517" spans="1:20" x14ac:dyDescent="0.3">
      <c r="A517">
        <v>11318</v>
      </c>
      <c r="B517" s="2">
        <v>45978</v>
      </c>
      <c r="C517" t="s">
        <v>20</v>
      </c>
      <c r="D517" t="s">
        <v>59</v>
      </c>
      <c r="E517" t="s">
        <v>33</v>
      </c>
      <c r="F517" t="s">
        <v>23</v>
      </c>
      <c r="G517" t="s">
        <v>74</v>
      </c>
      <c r="H517" t="s">
        <v>99</v>
      </c>
      <c r="I517" t="s">
        <v>374</v>
      </c>
      <c r="J517">
        <v>909</v>
      </c>
      <c r="K517">
        <v>3</v>
      </c>
      <c r="L517" t="s">
        <v>68</v>
      </c>
      <c r="M517">
        <v>151</v>
      </c>
      <c r="N517">
        <v>54.1</v>
      </c>
      <c r="O517">
        <v>84.6</v>
      </c>
      <c r="P517">
        <v>5.05</v>
      </c>
      <c r="Q517">
        <v>3.21</v>
      </c>
      <c r="R517" t="s">
        <v>72</v>
      </c>
      <c r="S517" t="s">
        <v>39</v>
      </c>
      <c r="T517" t="s">
        <v>30</v>
      </c>
    </row>
    <row r="518" spans="1:20" x14ac:dyDescent="0.3">
      <c r="A518">
        <v>10478</v>
      </c>
      <c r="B518" s="2">
        <v>45916</v>
      </c>
      <c r="C518" t="s">
        <v>31</v>
      </c>
      <c r="D518" t="s">
        <v>32</v>
      </c>
      <c r="E518" t="s">
        <v>40</v>
      </c>
      <c r="F518" t="s">
        <v>23</v>
      </c>
      <c r="G518" t="s">
        <v>60</v>
      </c>
      <c r="H518" t="s">
        <v>148</v>
      </c>
      <c r="I518" t="s">
        <v>353</v>
      </c>
      <c r="J518">
        <v>604</v>
      </c>
      <c r="K518">
        <v>3</v>
      </c>
      <c r="L518" t="s">
        <v>45</v>
      </c>
      <c r="M518">
        <v>10</v>
      </c>
      <c r="N518">
        <v>40.299999999999997</v>
      </c>
      <c r="O518">
        <v>75.7</v>
      </c>
      <c r="P518">
        <v>5.62</v>
      </c>
      <c r="Q518">
        <v>1.61</v>
      </c>
      <c r="R518" t="s">
        <v>267</v>
      </c>
      <c r="S518" t="s">
        <v>29</v>
      </c>
      <c r="T518" t="s">
        <v>30</v>
      </c>
    </row>
    <row r="519" spans="1:20" x14ac:dyDescent="0.3">
      <c r="A519">
        <v>10616</v>
      </c>
      <c r="B519" s="2">
        <v>45843</v>
      </c>
      <c r="C519" t="s">
        <v>20</v>
      </c>
      <c r="D519" t="s">
        <v>64</v>
      </c>
      <c r="E519" t="s">
        <v>22</v>
      </c>
      <c r="F519" t="s">
        <v>81</v>
      </c>
      <c r="G519" t="s">
        <v>95</v>
      </c>
      <c r="H519" t="s">
        <v>287</v>
      </c>
      <c r="I519" t="s">
        <v>214</v>
      </c>
      <c r="J519">
        <v>1281</v>
      </c>
      <c r="K519">
        <v>32</v>
      </c>
      <c r="L519" t="s">
        <v>71</v>
      </c>
      <c r="M519">
        <v>13</v>
      </c>
      <c r="N519">
        <v>44.5</v>
      </c>
      <c r="O519">
        <v>62.4</v>
      </c>
      <c r="P519">
        <v>5.6</v>
      </c>
      <c r="Q519">
        <v>3.52</v>
      </c>
      <c r="R519" t="s">
        <v>186</v>
      </c>
      <c r="S519" t="s">
        <v>39</v>
      </c>
      <c r="T519" t="s">
        <v>30</v>
      </c>
    </row>
    <row r="520" spans="1:20" x14ac:dyDescent="0.3">
      <c r="A520">
        <v>10655</v>
      </c>
      <c r="B520" s="2">
        <v>45741</v>
      </c>
      <c r="C520" t="s">
        <v>20</v>
      </c>
      <c r="D520" t="s">
        <v>64</v>
      </c>
      <c r="E520" t="s">
        <v>40</v>
      </c>
      <c r="F520" t="s">
        <v>41</v>
      </c>
      <c r="G520" t="s">
        <v>60</v>
      </c>
      <c r="H520" t="s">
        <v>169</v>
      </c>
      <c r="I520" t="s">
        <v>347</v>
      </c>
      <c r="J520">
        <v>1315</v>
      </c>
      <c r="K520">
        <v>9</v>
      </c>
      <c r="L520" t="s">
        <v>57</v>
      </c>
      <c r="M520">
        <v>141</v>
      </c>
      <c r="N520">
        <v>50.2</v>
      </c>
      <c r="O520">
        <v>61.5</v>
      </c>
      <c r="P520">
        <v>5.63</v>
      </c>
      <c r="Q520">
        <v>0.96</v>
      </c>
      <c r="R520" t="s">
        <v>28</v>
      </c>
      <c r="S520" t="s">
        <v>47</v>
      </c>
      <c r="T520" t="s">
        <v>30</v>
      </c>
    </row>
    <row r="521" spans="1:20" x14ac:dyDescent="0.3">
      <c r="A521">
        <v>10947</v>
      </c>
      <c r="B521" s="2">
        <v>45715</v>
      </c>
      <c r="C521" t="s">
        <v>31</v>
      </c>
      <c r="D521" t="s">
        <v>32</v>
      </c>
      <c r="E521" t="s">
        <v>40</v>
      </c>
      <c r="F521" t="s">
        <v>41</v>
      </c>
      <c r="G521" t="s">
        <v>50</v>
      </c>
      <c r="H521" t="s">
        <v>78</v>
      </c>
      <c r="I521" t="s">
        <v>171</v>
      </c>
      <c r="J521">
        <v>807</v>
      </c>
      <c r="K521">
        <v>32</v>
      </c>
      <c r="L521" t="s">
        <v>71</v>
      </c>
      <c r="M521">
        <v>116</v>
      </c>
      <c r="N521">
        <v>51.3</v>
      </c>
      <c r="O521">
        <v>74.3</v>
      </c>
      <c r="P521">
        <v>5.76</v>
      </c>
      <c r="Q521">
        <v>2.91</v>
      </c>
      <c r="R521" t="s">
        <v>72</v>
      </c>
      <c r="S521" t="s">
        <v>47</v>
      </c>
      <c r="T521" t="s">
        <v>48</v>
      </c>
    </row>
    <row r="522" spans="1:20" x14ac:dyDescent="0.3">
      <c r="A522">
        <v>10448</v>
      </c>
      <c r="B522" s="2">
        <v>45811</v>
      </c>
      <c r="C522" t="s">
        <v>31</v>
      </c>
      <c r="D522" t="s">
        <v>32</v>
      </c>
      <c r="E522" t="s">
        <v>107</v>
      </c>
      <c r="F522" t="s">
        <v>81</v>
      </c>
      <c r="G522" t="s">
        <v>74</v>
      </c>
      <c r="H522" t="s">
        <v>144</v>
      </c>
      <c r="I522" t="s">
        <v>249</v>
      </c>
      <c r="J522">
        <v>607</v>
      </c>
      <c r="K522">
        <v>9</v>
      </c>
      <c r="L522" t="s">
        <v>71</v>
      </c>
      <c r="M522">
        <v>99</v>
      </c>
      <c r="N522">
        <v>40</v>
      </c>
      <c r="O522">
        <v>74.099999999999994</v>
      </c>
      <c r="P522">
        <v>4.58</v>
      </c>
      <c r="Q522">
        <v>2.38</v>
      </c>
      <c r="R522" t="s">
        <v>63</v>
      </c>
      <c r="S522" t="s">
        <v>47</v>
      </c>
      <c r="T522" t="s">
        <v>30</v>
      </c>
    </row>
    <row r="523" spans="1:20" x14ac:dyDescent="0.3">
      <c r="A523">
        <v>10179</v>
      </c>
      <c r="B523" s="2">
        <v>45864</v>
      </c>
      <c r="C523" t="s">
        <v>20</v>
      </c>
      <c r="D523" t="s">
        <v>32</v>
      </c>
      <c r="E523" t="s">
        <v>40</v>
      </c>
      <c r="F523" t="s">
        <v>23</v>
      </c>
      <c r="G523" t="s">
        <v>42</v>
      </c>
      <c r="H523" t="s">
        <v>99</v>
      </c>
      <c r="I523" t="s">
        <v>239</v>
      </c>
      <c r="J523">
        <v>1221</v>
      </c>
      <c r="K523">
        <v>12</v>
      </c>
      <c r="L523" t="s">
        <v>68</v>
      </c>
      <c r="M523">
        <v>42</v>
      </c>
      <c r="N523">
        <v>42.3</v>
      </c>
      <c r="O523">
        <v>64</v>
      </c>
      <c r="P523">
        <v>5.88</v>
      </c>
      <c r="Q523">
        <v>3.85</v>
      </c>
      <c r="R523" t="s">
        <v>229</v>
      </c>
      <c r="S523" t="s">
        <v>47</v>
      </c>
      <c r="T523" t="s">
        <v>30</v>
      </c>
    </row>
    <row r="524" spans="1:20" x14ac:dyDescent="0.3">
      <c r="A524">
        <v>10391</v>
      </c>
      <c r="B524" s="2">
        <v>45745</v>
      </c>
      <c r="C524" t="s">
        <v>31</v>
      </c>
      <c r="D524" t="s">
        <v>64</v>
      </c>
      <c r="E524" t="s">
        <v>22</v>
      </c>
      <c r="F524" t="s">
        <v>23</v>
      </c>
      <c r="G524" t="s">
        <v>54</v>
      </c>
      <c r="H524" t="s">
        <v>252</v>
      </c>
      <c r="I524" t="s">
        <v>358</v>
      </c>
      <c r="J524">
        <v>1265</v>
      </c>
      <c r="K524">
        <v>13</v>
      </c>
      <c r="M524">
        <v>130</v>
      </c>
      <c r="N524">
        <v>48.7</v>
      </c>
      <c r="O524">
        <v>67.3</v>
      </c>
      <c r="P524">
        <v>5.51</v>
      </c>
      <c r="Q524">
        <v>3.71</v>
      </c>
      <c r="R524" t="s">
        <v>164</v>
      </c>
      <c r="S524" t="s">
        <v>39</v>
      </c>
      <c r="T524" t="s">
        <v>30</v>
      </c>
    </row>
    <row r="525" spans="1:20" x14ac:dyDescent="0.3">
      <c r="A525">
        <v>11302</v>
      </c>
      <c r="B525" s="2">
        <v>45738</v>
      </c>
      <c r="C525" t="s">
        <v>31</v>
      </c>
      <c r="D525" t="s">
        <v>32</v>
      </c>
      <c r="E525" t="s">
        <v>22</v>
      </c>
      <c r="F525" t="s">
        <v>41</v>
      </c>
      <c r="G525" t="s">
        <v>60</v>
      </c>
      <c r="H525" t="s">
        <v>161</v>
      </c>
      <c r="I525" t="s">
        <v>308</v>
      </c>
      <c r="J525">
        <v>478</v>
      </c>
      <c r="K525">
        <v>2</v>
      </c>
      <c r="L525" t="s">
        <v>45</v>
      </c>
      <c r="M525">
        <v>111</v>
      </c>
      <c r="N525">
        <v>35.700000000000003</v>
      </c>
      <c r="O525">
        <v>65.900000000000006</v>
      </c>
      <c r="P525">
        <v>4.0999999999999996</v>
      </c>
      <c r="Q525">
        <v>2.25</v>
      </c>
      <c r="R525" t="s">
        <v>222</v>
      </c>
      <c r="S525" t="s">
        <v>29</v>
      </c>
      <c r="T525" t="s">
        <v>30</v>
      </c>
    </row>
    <row r="526" spans="1:20" x14ac:dyDescent="0.3">
      <c r="A526">
        <v>10650</v>
      </c>
      <c r="B526" s="2">
        <v>45949</v>
      </c>
      <c r="C526" t="s">
        <v>31</v>
      </c>
      <c r="D526" t="s">
        <v>21</v>
      </c>
      <c r="E526" t="s">
        <v>107</v>
      </c>
      <c r="F526" t="s">
        <v>41</v>
      </c>
      <c r="G526" t="s">
        <v>74</v>
      </c>
      <c r="H526" t="s">
        <v>123</v>
      </c>
      <c r="I526" t="s">
        <v>163</v>
      </c>
      <c r="J526">
        <v>1128</v>
      </c>
      <c r="K526">
        <v>13</v>
      </c>
      <c r="L526" t="s">
        <v>27</v>
      </c>
      <c r="M526">
        <v>117</v>
      </c>
      <c r="N526">
        <v>46.1</v>
      </c>
      <c r="O526">
        <v>77.599999999999994</v>
      </c>
      <c r="P526">
        <v>18</v>
      </c>
      <c r="Q526">
        <v>2.29</v>
      </c>
      <c r="R526" t="s">
        <v>153</v>
      </c>
      <c r="S526" t="s">
        <v>39</v>
      </c>
      <c r="T526" t="s">
        <v>30</v>
      </c>
    </row>
    <row r="527" spans="1:20" x14ac:dyDescent="0.3">
      <c r="A527">
        <v>11253</v>
      </c>
      <c r="B527" s="2">
        <v>45965</v>
      </c>
      <c r="C527" t="s">
        <v>49</v>
      </c>
      <c r="D527" t="s">
        <v>32</v>
      </c>
      <c r="E527" t="s">
        <v>40</v>
      </c>
      <c r="F527" t="s">
        <v>81</v>
      </c>
      <c r="G527" t="s">
        <v>60</v>
      </c>
      <c r="H527" t="s">
        <v>99</v>
      </c>
      <c r="I527" t="s">
        <v>191</v>
      </c>
      <c r="J527">
        <v>710</v>
      </c>
      <c r="K527">
        <v>10</v>
      </c>
      <c r="L527" t="s">
        <v>68</v>
      </c>
      <c r="M527">
        <v>180</v>
      </c>
      <c r="N527">
        <v>35.9</v>
      </c>
      <c r="O527">
        <v>87.4</v>
      </c>
      <c r="P527">
        <v>4.4800000000000004</v>
      </c>
      <c r="Q527">
        <v>3.14</v>
      </c>
      <c r="R527" t="s">
        <v>105</v>
      </c>
      <c r="S527" t="s">
        <v>73</v>
      </c>
      <c r="T527" t="s">
        <v>30</v>
      </c>
    </row>
    <row r="528" spans="1:20" x14ac:dyDescent="0.3">
      <c r="A528">
        <v>11347</v>
      </c>
      <c r="B528" s="2">
        <v>45938</v>
      </c>
      <c r="C528" t="s">
        <v>49</v>
      </c>
      <c r="D528" t="s">
        <v>59</v>
      </c>
      <c r="E528" t="s">
        <v>22</v>
      </c>
      <c r="F528" t="s">
        <v>81</v>
      </c>
      <c r="G528" t="s">
        <v>109</v>
      </c>
      <c r="H528" t="s">
        <v>88</v>
      </c>
      <c r="I528" t="s">
        <v>270</v>
      </c>
      <c r="J528">
        <v>806</v>
      </c>
      <c r="K528">
        <v>6</v>
      </c>
      <c r="L528" t="s">
        <v>71</v>
      </c>
      <c r="M528">
        <v>120</v>
      </c>
      <c r="N528">
        <v>37.299999999999997</v>
      </c>
      <c r="O528">
        <v>71.599999999999994</v>
      </c>
      <c r="P528">
        <v>6.77</v>
      </c>
      <c r="Q528">
        <v>1.49</v>
      </c>
      <c r="R528" t="s">
        <v>152</v>
      </c>
      <c r="S528" t="s">
        <v>73</v>
      </c>
      <c r="T528" t="s">
        <v>30</v>
      </c>
    </row>
    <row r="529" spans="1:20" x14ac:dyDescent="0.3">
      <c r="A529">
        <v>11106</v>
      </c>
      <c r="B529" s="2">
        <v>45669</v>
      </c>
      <c r="C529" t="s">
        <v>31</v>
      </c>
      <c r="D529" t="s">
        <v>64</v>
      </c>
      <c r="E529" t="s">
        <v>107</v>
      </c>
      <c r="F529" t="s">
        <v>23</v>
      </c>
      <c r="G529" t="s">
        <v>42</v>
      </c>
      <c r="H529" t="s">
        <v>82</v>
      </c>
      <c r="I529" t="s">
        <v>257</v>
      </c>
      <c r="J529">
        <v>1208</v>
      </c>
      <c r="K529">
        <v>3</v>
      </c>
      <c r="L529" t="s">
        <v>45</v>
      </c>
      <c r="M529">
        <v>151</v>
      </c>
      <c r="N529">
        <v>49.5</v>
      </c>
      <c r="O529">
        <v>62.1</v>
      </c>
      <c r="P529">
        <v>3.38</v>
      </c>
      <c r="Q529">
        <v>3.73</v>
      </c>
      <c r="R529" t="s">
        <v>216</v>
      </c>
      <c r="S529" t="s">
        <v>47</v>
      </c>
      <c r="T529" t="s">
        <v>30</v>
      </c>
    </row>
    <row r="530" spans="1:20" x14ac:dyDescent="0.3">
      <c r="A530">
        <v>11381</v>
      </c>
      <c r="B530" s="2">
        <v>45705</v>
      </c>
      <c r="C530" t="s">
        <v>20</v>
      </c>
      <c r="D530" t="s">
        <v>32</v>
      </c>
      <c r="E530" t="s">
        <v>22</v>
      </c>
      <c r="F530" t="s">
        <v>23</v>
      </c>
      <c r="G530" t="s">
        <v>113</v>
      </c>
      <c r="H530" t="s">
        <v>205</v>
      </c>
      <c r="I530" t="s">
        <v>375</v>
      </c>
      <c r="J530">
        <v>1345</v>
      </c>
      <c r="K530">
        <v>8</v>
      </c>
      <c r="L530" t="s">
        <v>45</v>
      </c>
      <c r="M530">
        <v>41</v>
      </c>
      <c r="N530">
        <v>41.2</v>
      </c>
      <c r="O530">
        <v>79.599999999999994</v>
      </c>
      <c r="P530">
        <v>6</v>
      </c>
      <c r="Q530">
        <v>0.4</v>
      </c>
      <c r="R530" t="s">
        <v>125</v>
      </c>
      <c r="S530" t="s">
        <v>29</v>
      </c>
      <c r="T530" t="s">
        <v>30</v>
      </c>
    </row>
    <row r="531" spans="1:20" x14ac:dyDescent="0.3">
      <c r="A531">
        <v>10934</v>
      </c>
      <c r="B531" s="2">
        <v>45974</v>
      </c>
      <c r="C531" t="s">
        <v>31</v>
      </c>
      <c r="D531" t="s">
        <v>21</v>
      </c>
      <c r="E531" t="s">
        <v>107</v>
      </c>
      <c r="F531" t="s">
        <v>81</v>
      </c>
      <c r="G531" t="s">
        <v>89</v>
      </c>
      <c r="H531" t="s">
        <v>88</v>
      </c>
      <c r="I531" t="s">
        <v>56</v>
      </c>
      <c r="J531">
        <v>869</v>
      </c>
      <c r="K531">
        <v>5</v>
      </c>
      <c r="L531" t="s">
        <v>71</v>
      </c>
      <c r="M531">
        <v>58</v>
      </c>
      <c r="N531">
        <v>45.4</v>
      </c>
      <c r="O531">
        <v>80.5</v>
      </c>
      <c r="P531">
        <v>5.83</v>
      </c>
      <c r="Q531">
        <v>2.27</v>
      </c>
      <c r="R531" t="s">
        <v>80</v>
      </c>
      <c r="S531" t="s">
        <v>73</v>
      </c>
      <c r="T531" t="s">
        <v>30</v>
      </c>
    </row>
    <row r="532" spans="1:20" x14ac:dyDescent="0.3">
      <c r="A532">
        <v>10797</v>
      </c>
      <c r="B532" s="2">
        <v>46020</v>
      </c>
      <c r="C532" t="s">
        <v>49</v>
      </c>
      <c r="D532" t="s">
        <v>64</v>
      </c>
      <c r="E532" t="s">
        <v>107</v>
      </c>
      <c r="F532" t="s">
        <v>81</v>
      </c>
      <c r="G532" t="s">
        <v>113</v>
      </c>
      <c r="H532" t="s">
        <v>165</v>
      </c>
      <c r="I532" t="s">
        <v>217</v>
      </c>
      <c r="J532">
        <v>563</v>
      </c>
      <c r="K532">
        <v>4</v>
      </c>
      <c r="L532" t="s">
        <v>37</v>
      </c>
      <c r="M532">
        <v>152</v>
      </c>
      <c r="N532">
        <v>41.5</v>
      </c>
      <c r="O532">
        <v>58.7</v>
      </c>
      <c r="P532">
        <v>5.89</v>
      </c>
      <c r="Q532">
        <v>0.24</v>
      </c>
      <c r="R532" t="s">
        <v>209</v>
      </c>
      <c r="S532" t="s">
        <v>73</v>
      </c>
      <c r="T532" t="s">
        <v>30</v>
      </c>
    </row>
    <row r="533" spans="1:20" x14ac:dyDescent="0.3">
      <c r="A533">
        <v>10753</v>
      </c>
      <c r="B533" s="2">
        <v>45861</v>
      </c>
      <c r="C533" t="s">
        <v>20</v>
      </c>
      <c r="D533" t="s">
        <v>59</v>
      </c>
      <c r="E533" t="s">
        <v>40</v>
      </c>
      <c r="F533" t="s">
        <v>41</v>
      </c>
      <c r="G533" t="s">
        <v>113</v>
      </c>
      <c r="H533" t="s">
        <v>138</v>
      </c>
      <c r="I533" t="s">
        <v>275</v>
      </c>
      <c r="J533">
        <v>698</v>
      </c>
      <c r="K533">
        <v>27</v>
      </c>
      <c r="L533" t="s">
        <v>27</v>
      </c>
      <c r="M533">
        <v>14</v>
      </c>
      <c r="N533">
        <v>50.3</v>
      </c>
      <c r="O533">
        <v>66.7</v>
      </c>
      <c r="P533">
        <v>4.5199999999999996</v>
      </c>
      <c r="Q533">
        <v>1.5</v>
      </c>
      <c r="R533" t="s">
        <v>58</v>
      </c>
      <c r="S533" t="s">
        <v>47</v>
      </c>
      <c r="T533" t="s">
        <v>48</v>
      </c>
    </row>
    <row r="534" spans="1:20" x14ac:dyDescent="0.3">
      <c r="A534">
        <v>11332</v>
      </c>
      <c r="B534" s="2">
        <v>45696</v>
      </c>
      <c r="C534" t="s">
        <v>150</v>
      </c>
      <c r="D534" t="s">
        <v>32</v>
      </c>
      <c r="E534" t="s">
        <v>107</v>
      </c>
      <c r="F534" t="s">
        <v>112</v>
      </c>
      <c r="G534" t="s">
        <v>74</v>
      </c>
      <c r="H534" t="s">
        <v>131</v>
      </c>
      <c r="I534" t="s">
        <v>166</v>
      </c>
      <c r="J534">
        <v>1006</v>
      </c>
      <c r="K534">
        <v>8</v>
      </c>
      <c r="L534" t="s">
        <v>68</v>
      </c>
      <c r="M534">
        <v>154</v>
      </c>
      <c r="N534">
        <v>39.4</v>
      </c>
      <c r="O534">
        <v>66.400000000000006</v>
      </c>
      <c r="P534">
        <v>4.54</v>
      </c>
      <c r="Q534">
        <v>2.4500000000000002</v>
      </c>
      <c r="R534" t="s">
        <v>232</v>
      </c>
      <c r="S534" t="s">
        <v>47</v>
      </c>
      <c r="T534" t="s">
        <v>30</v>
      </c>
    </row>
    <row r="535" spans="1:20" x14ac:dyDescent="0.3">
      <c r="A535">
        <v>10295</v>
      </c>
      <c r="B535" s="2">
        <v>45981</v>
      </c>
      <c r="C535" t="s">
        <v>31</v>
      </c>
      <c r="D535" t="s">
        <v>32</v>
      </c>
      <c r="E535" t="s">
        <v>33</v>
      </c>
      <c r="F535" t="s">
        <v>81</v>
      </c>
      <c r="G535" t="s">
        <v>134</v>
      </c>
      <c r="H535" t="s">
        <v>85</v>
      </c>
      <c r="I535" t="s">
        <v>294</v>
      </c>
      <c r="J535">
        <v>1563</v>
      </c>
      <c r="K535">
        <v>15</v>
      </c>
      <c r="L535" t="s">
        <v>45</v>
      </c>
      <c r="M535">
        <v>115</v>
      </c>
      <c r="N535">
        <v>41.6</v>
      </c>
      <c r="O535">
        <v>74.7</v>
      </c>
      <c r="P535">
        <v>5.91</v>
      </c>
      <c r="Q535">
        <v>2.8</v>
      </c>
      <c r="R535" t="s">
        <v>103</v>
      </c>
      <c r="S535" t="s">
        <v>47</v>
      </c>
      <c r="T535" t="s">
        <v>30</v>
      </c>
    </row>
    <row r="536" spans="1:20" x14ac:dyDescent="0.3">
      <c r="A536">
        <v>10561</v>
      </c>
      <c r="B536" s="2">
        <v>45930</v>
      </c>
      <c r="C536" t="s">
        <v>20</v>
      </c>
      <c r="D536" t="s">
        <v>59</v>
      </c>
      <c r="E536" t="s">
        <v>107</v>
      </c>
      <c r="F536" t="s">
        <v>41</v>
      </c>
      <c r="G536" t="s">
        <v>24</v>
      </c>
      <c r="H536" t="s">
        <v>193</v>
      </c>
      <c r="I536" t="s">
        <v>254</v>
      </c>
      <c r="J536">
        <v>1409</v>
      </c>
      <c r="K536">
        <v>18</v>
      </c>
      <c r="L536" t="s">
        <v>27</v>
      </c>
      <c r="M536">
        <v>108</v>
      </c>
      <c r="N536">
        <v>49.8</v>
      </c>
      <c r="O536">
        <v>78.8</v>
      </c>
      <c r="P536">
        <v>5.53</v>
      </c>
      <c r="Q536">
        <v>2.61</v>
      </c>
      <c r="R536" t="s">
        <v>155</v>
      </c>
      <c r="S536" t="s">
        <v>47</v>
      </c>
      <c r="T536" t="s">
        <v>30</v>
      </c>
    </row>
    <row r="537" spans="1:20" x14ac:dyDescent="0.3">
      <c r="A537">
        <v>11273</v>
      </c>
      <c r="B537" s="2">
        <v>45980</v>
      </c>
      <c r="C537" t="s">
        <v>20</v>
      </c>
      <c r="D537" t="s">
        <v>32</v>
      </c>
      <c r="E537" t="s">
        <v>40</v>
      </c>
      <c r="F537" t="s">
        <v>81</v>
      </c>
      <c r="G537" t="s">
        <v>95</v>
      </c>
      <c r="H537" t="s">
        <v>51</v>
      </c>
      <c r="I537" t="s">
        <v>330</v>
      </c>
      <c r="J537">
        <v>612</v>
      </c>
      <c r="K537">
        <v>22</v>
      </c>
      <c r="L537" t="s">
        <v>57</v>
      </c>
      <c r="M537">
        <v>171</v>
      </c>
      <c r="N537">
        <v>27.9</v>
      </c>
      <c r="O537">
        <v>82.8</v>
      </c>
      <c r="P537">
        <v>3.42</v>
      </c>
      <c r="Q537">
        <v>2.63</v>
      </c>
      <c r="R537" t="s">
        <v>189</v>
      </c>
      <c r="S537" t="s">
        <v>29</v>
      </c>
      <c r="T537" t="s">
        <v>48</v>
      </c>
    </row>
    <row r="538" spans="1:20" x14ac:dyDescent="0.3">
      <c r="A538">
        <v>10089</v>
      </c>
      <c r="B538" s="2">
        <v>45734</v>
      </c>
      <c r="C538" t="s">
        <v>20</v>
      </c>
      <c r="D538" t="s">
        <v>64</v>
      </c>
      <c r="E538" t="s">
        <v>33</v>
      </c>
      <c r="F538" t="s">
        <v>23</v>
      </c>
      <c r="G538" t="s">
        <v>95</v>
      </c>
      <c r="H538" t="s">
        <v>116</v>
      </c>
      <c r="I538" t="s">
        <v>185</v>
      </c>
      <c r="J538">
        <v>1254</v>
      </c>
      <c r="K538">
        <v>13</v>
      </c>
      <c r="L538" t="s">
        <v>57</v>
      </c>
      <c r="M538">
        <v>150</v>
      </c>
      <c r="N538">
        <v>32</v>
      </c>
      <c r="O538">
        <v>56.7</v>
      </c>
      <c r="P538">
        <v>5.98</v>
      </c>
      <c r="Q538">
        <v>4.01</v>
      </c>
      <c r="R538" t="s">
        <v>209</v>
      </c>
      <c r="S538" t="s">
        <v>47</v>
      </c>
      <c r="T538" t="s">
        <v>30</v>
      </c>
    </row>
    <row r="539" spans="1:20" x14ac:dyDescent="0.3">
      <c r="A539">
        <v>10989</v>
      </c>
      <c r="B539" s="2">
        <v>45718</v>
      </c>
      <c r="C539" t="s">
        <v>49</v>
      </c>
      <c r="D539" t="s">
        <v>59</v>
      </c>
      <c r="E539" t="s">
        <v>33</v>
      </c>
      <c r="F539" t="s">
        <v>23</v>
      </c>
      <c r="G539" t="s">
        <v>24</v>
      </c>
      <c r="H539" t="s">
        <v>175</v>
      </c>
      <c r="I539" t="s">
        <v>67</v>
      </c>
      <c r="J539">
        <v>465</v>
      </c>
      <c r="K539">
        <v>6</v>
      </c>
      <c r="L539" t="s">
        <v>45</v>
      </c>
      <c r="M539">
        <v>16</v>
      </c>
      <c r="N539">
        <v>55</v>
      </c>
      <c r="O539">
        <v>80.900000000000006</v>
      </c>
      <c r="P539">
        <v>6.3</v>
      </c>
      <c r="Q539">
        <v>1.95</v>
      </c>
      <c r="R539" t="s">
        <v>195</v>
      </c>
      <c r="S539" t="s">
        <v>73</v>
      </c>
      <c r="T539" t="s">
        <v>30</v>
      </c>
    </row>
    <row r="540" spans="1:20" x14ac:dyDescent="0.3">
      <c r="A540">
        <v>10941</v>
      </c>
      <c r="B540" s="2">
        <v>45889</v>
      </c>
      <c r="C540" t="s">
        <v>49</v>
      </c>
      <c r="D540" t="s">
        <v>64</v>
      </c>
      <c r="E540" t="s">
        <v>22</v>
      </c>
      <c r="F540" t="s">
        <v>23</v>
      </c>
      <c r="G540" t="s">
        <v>24</v>
      </c>
      <c r="H540" t="s">
        <v>192</v>
      </c>
      <c r="I540" t="s">
        <v>295</v>
      </c>
      <c r="J540">
        <v>1062</v>
      </c>
      <c r="K540">
        <v>16</v>
      </c>
      <c r="L540" t="s">
        <v>57</v>
      </c>
      <c r="M540">
        <v>81</v>
      </c>
      <c r="N540">
        <v>47.5</v>
      </c>
      <c r="O540">
        <v>65.7</v>
      </c>
      <c r="P540">
        <v>6.1</v>
      </c>
      <c r="Q540">
        <v>3.02</v>
      </c>
      <c r="R540" t="s">
        <v>63</v>
      </c>
      <c r="S540" t="s">
        <v>39</v>
      </c>
      <c r="T540" t="s">
        <v>30</v>
      </c>
    </row>
    <row r="541" spans="1:20" x14ac:dyDescent="0.3">
      <c r="A541">
        <v>10583</v>
      </c>
      <c r="B541" s="2">
        <v>45729</v>
      </c>
      <c r="C541" t="s">
        <v>49</v>
      </c>
      <c r="D541" t="s">
        <v>59</v>
      </c>
      <c r="E541" t="s">
        <v>40</v>
      </c>
      <c r="F541" t="s">
        <v>41</v>
      </c>
      <c r="G541" t="s">
        <v>134</v>
      </c>
      <c r="H541" t="s">
        <v>205</v>
      </c>
      <c r="I541" t="s">
        <v>333</v>
      </c>
      <c r="J541">
        <v>1149</v>
      </c>
      <c r="K541">
        <v>24</v>
      </c>
      <c r="L541" t="s">
        <v>27</v>
      </c>
      <c r="M541">
        <v>42</v>
      </c>
      <c r="N541">
        <v>36.700000000000003</v>
      </c>
      <c r="O541">
        <v>68</v>
      </c>
      <c r="P541">
        <v>4.82</v>
      </c>
      <c r="Q541">
        <v>2.02</v>
      </c>
      <c r="R541" t="s">
        <v>58</v>
      </c>
      <c r="S541" t="s">
        <v>39</v>
      </c>
      <c r="T541" t="s">
        <v>30</v>
      </c>
    </row>
    <row r="542" spans="1:20" x14ac:dyDescent="0.3">
      <c r="A542">
        <v>10862</v>
      </c>
      <c r="B542" s="2">
        <v>45983</v>
      </c>
      <c r="C542" t="s">
        <v>20</v>
      </c>
      <c r="D542" t="s">
        <v>59</v>
      </c>
      <c r="E542" t="s">
        <v>40</v>
      </c>
      <c r="F542" t="s">
        <v>23</v>
      </c>
      <c r="G542" t="s">
        <v>95</v>
      </c>
      <c r="H542" t="s">
        <v>88</v>
      </c>
      <c r="I542" t="s">
        <v>220</v>
      </c>
      <c r="J542">
        <v>1253</v>
      </c>
      <c r="K542">
        <v>5</v>
      </c>
      <c r="L542" t="s">
        <v>37</v>
      </c>
      <c r="M542">
        <v>98</v>
      </c>
      <c r="N542">
        <v>37.9</v>
      </c>
      <c r="O542">
        <v>71.900000000000006</v>
      </c>
      <c r="P542">
        <v>5.98</v>
      </c>
      <c r="Q542">
        <v>3.29</v>
      </c>
      <c r="R542" t="s">
        <v>159</v>
      </c>
      <c r="S542" t="s">
        <v>29</v>
      </c>
      <c r="T542" t="s">
        <v>30</v>
      </c>
    </row>
    <row r="543" spans="1:20" x14ac:dyDescent="0.3">
      <c r="A543">
        <v>11400</v>
      </c>
      <c r="B543" s="2">
        <v>45713</v>
      </c>
      <c r="C543" t="s">
        <v>31</v>
      </c>
      <c r="D543" t="s">
        <v>64</v>
      </c>
      <c r="E543" t="s">
        <v>107</v>
      </c>
      <c r="F543" t="s">
        <v>23</v>
      </c>
      <c r="G543" t="s">
        <v>24</v>
      </c>
      <c r="H543" t="s">
        <v>172</v>
      </c>
      <c r="I543" t="s">
        <v>136</v>
      </c>
      <c r="J543">
        <v>1275</v>
      </c>
      <c r="K543">
        <v>7</v>
      </c>
      <c r="L543" t="s">
        <v>71</v>
      </c>
      <c r="M543">
        <v>153</v>
      </c>
      <c r="N543">
        <v>48.2</v>
      </c>
      <c r="O543">
        <v>75.7</v>
      </c>
      <c r="P543">
        <v>6.22</v>
      </c>
      <c r="Q543">
        <v>2.67</v>
      </c>
      <c r="R543" t="s">
        <v>103</v>
      </c>
      <c r="S543" t="s">
        <v>47</v>
      </c>
      <c r="T543" t="s">
        <v>30</v>
      </c>
    </row>
    <row r="544" spans="1:20" x14ac:dyDescent="0.3">
      <c r="A544">
        <v>10705</v>
      </c>
      <c r="B544" s="2">
        <v>45711</v>
      </c>
      <c r="C544" t="s">
        <v>49</v>
      </c>
      <c r="D544" t="s">
        <v>32</v>
      </c>
      <c r="E544" t="s">
        <v>22</v>
      </c>
      <c r="F544" t="s">
        <v>41</v>
      </c>
      <c r="G544" t="s">
        <v>113</v>
      </c>
      <c r="H544" t="s">
        <v>287</v>
      </c>
      <c r="I544" t="s">
        <v>203</v>
      </c>
      <c r="J544">
        <v>1208</v>
      </c>
      <c r="K544">
        <v>10</v>
      </c>
      <c r="L544" t="s">
        <v>37</v>
      </c>
      <c r="M544">
        <v>87</v>
      </c>
      <c r="N544">
        <v>37</v>
      </c>
      <c r="O544">
        <v>78.400000000000006</v>
      </c>
      <c r="P544">
        <v>5.72</v>
      </c>
      <c r="Q544">
        <v>3.12</v>
      </c>
      <c r="R544" t="s">
        <v>72</v>
      </c>
      <c r="S544" t="s">
        <v>29</v>
      </c>
      <c r="T544" t="s">
        <v>30</v>
      </c>
    </row>
    <row r="545" spans="1:20" x14ac:dyDescent="0.3">
      <c r="A545">
        <v>11229</v>
      </c>
      <c r="B545" s="2">
        <v>45966</v>
      </c>
      <c r="C545" t="s">
        <v>20</v>
      </c>
      <c r="D545" t="s">
        <v>64</v>
      </c>
      <c r="E545" t="s">
        <v>33</v>
      </c>
      <c r="F545" t="s">
        <v>81</v>
      </c>
      <c r="G545" t="s">
        <v>34</v>
      </c>
      <c r="H545" t="s">
        <v>51</v>
      </c>
      <c r="I545" t="s">
        <v>259</v>
      </c>
      <c r="J545">
        <v>857</v>
      </c>
      <c r="K545">
        <v>9</v>
      </c>
      <c r="L545" t="s">
        <v>57</v>
      </c>
      <c r="M545">
        <v>16</v>
      </c>
      <c r="N545">
        <v>42</v>
      </c>
      <c r="O545">
        <v>68.3</v>
      </c>
      <c r="P545">
        <v>4.74</v>
      </c>
      <c r="Q545">
        <v>2.84</v>
      </c>
      <c r="R545" t="s">
        <v>133</v>
      </c>
      <c r="S545" t="s">
        <v>73</v>
      </c>
      <c r="T545" t="s">
        <v>30</v>
      </c>
    </row>
    <row r="546" spans="1:20" x14ac:dyDescent="0.3">
      <c r="A546">
        <v>10291</v>
      </c>
      <c r="B546" s="2">
        <v>45998</v>
      </c>
      <c r="C546" t="s">
        <v>49</v>
      </c>
      <c r="D546" t="s">
        <v>64</v>
      </c>
      <c r="E546" t="s">
        <v>107</v>
      </c>
      <c r="F546" t="s">
        <v>23</v>
      </c>
      <c r="G546" t="s">
        <v>60</v>
      </c>
      <c r="H546" t="s">
        <v>193</v>
      </c>
      <c r="I546" t="s">
        <v>181</v>
      </c>
      <c r="J546">
        <v>1104</v>
      </c>
      <c r="K546">
        <v>5</v>
      </c>
      <c r="L546" t="s">
        <v>68</v>
      </c>
      <c r="M546">
        <v>89</v>
      </c>
      <c r="N546">
        <v>33.799999999999997</v>
      </c>
      <c r="O546">
        <v>71.2</v>
      </c>
      <c r="P546">
        <v>4.97</v>
      </c>
      <c r="Q546">
        <v>2.4</v>
      </c>
      <c r="R546" t="s">
        <v>63</v>
      </c>
      <c r="S546" t="s">
        <v>47</v>
      </c>
      <c r="T546" t="s">
        <v>30</v>
      </c>
    </row>
    <row r="547" spans="1:20" x14ac:dyDescent="0.3">
      <c r="A547">
        <v>11431</v>
      </c>
      <c r="B547" s="2">
        <v>45770</v>
      </c>
      <c r="C547" t="s">
        <v>150</v>
      </c>
      <c r="D547" t="s">
        <v>21</v>
      </c>
      <c r="E547" t="s">
        <v>22</v>
      </c>
      <c r="F547" t="s">
        <v>23</v>
      </c>
      <c r="G547" t="s">
        <v>54</v>
      </c>
      <c r="H547" t="s">
        <v>351</v>
      </c>
      <c r="I547" t="s">
        <v>203</v>
      </c>
      <c r="J547">
        <v>853</v>
      </c>
      <c r="K547">
        <v>4</v>
      </c>
      <c r="L547" t="s">
        <v>71</v>
      </c>
      <c r="M547">
        <v>64</v>
      </c>
      <c r="N547">
        <v>42.4</v>
      </c>
      <c r="O547">
        <v>65.7</v>
      </c>
      <c r="P547">
        <v>4.1500000000000004</v>
      </c>
      <c r="Q547">
        <v>3.75</v>
      </c>
      <c r="R547" t="s">
        <v>186</v>
      </c>
      <c r="S547" t="s">
        <v>47</v>
      </c>
      <c r="T547" t="s">
        <v>30</v>
      </c>
    </row>
    <row r="548" spans="1:20" x14ac:dyDescent="0.3">
      <c r="A548">
        <v>10602</v>
      </c>
      <c r="B548" s="2">
        <v>45956</v>
      </c>
      <c r="C548" t="s">
        <v>49</v>
      </c>
      <c r="D548" t="s">
        <v>64</v>
      </c>
      <c r="E548" t="s">
        <v>22</v>
      </c>
      <c r="F548" t="s">
        <v>23</v>
      </c>
      <c r="G548" t="s">
        <v>134</v>
      </c>
      <c r="H548" t="s">
        <v>351</v>
      </c>
      <c r="I548" t="s">
        <v>166</v>
      </c>
      <c r="J548">
        <v>1001</v>
      </c>
      <c r="K548">
        <v>9</v>
      </c>
      <c r="L548" t="s">
        <v>37</v>
      </c>
      <c r="M548">
        <v>21</v>
      </c>
      <c r="N548">
        <v>38.700000000000003</v>
      </c>
      <c r="O548">
        <v>68.599999999999994</v>
      </c>
      <c r="P548">
        <v>4.6399999999999997</v>
      </c>
      <c r="Q548">
        <v>3.59</v>
      </c>
      <c r="R548" t="s">
        <v>152</v>
      </c>
      <c r="S548" t="s">
        <v>47</v>
      </c>
      <c r="T548" t="s">
        <v>30</v>
      </c>
    </row>
    <row r="549" spans="1:20" x14ac:dyDescent="0.3">
      <c r="A549">
        <v>10349</v>
      </c>
      <c r="B549" s="2">
        <v>46001</v>
      </c>
      <c r="C549" t="s">
        <v>49</v>
      </c>
      <c r="D549" t="s">
        <v>32</v>
      </c>
      <c r="E549" t="s">
        <v>33</v>
      </c>
      <c r="F549" t="s">
        <v>23</v>
      </c>
      <c r="G549" t="s">
        <v>134</v>
      </c>
      <c r="H549" t="s">
        <v>180</v>
      </c>
      <c r="I549" t="s">
        <v>239</v>
      </c>
      <c r="J549">
        <v>671</v>
      </c>
      <c r="K549">
        <v>10</v>
      </c>
      <c r="L549" t="s">
        <v>71</v>
      </c>
      <c r="M549">
        <v>38</v>
      </c>
      <c r="N549">
        <v>35.299999999999997</v>
      </c>
      <c r="O549">
        <v>75</v>
      </c>
      <c r="P549">
        <v>5.3</v>
      </c>
      <c r="Q549">
        <v>3.35</v>
      </c>
      <c r="R549" t="s">
        <v>267</v>
      </c>
      <c r="S549" t="s">
        <v>39</v>
      </c>
      <c r="T549" t="s">
        <v>30</v>
      </c>
    </row>
    <row r="550" spans="1:20" x14ac:dyDescent="0.3">
      <c r="A550">
        <v>10592</v>
      </c>
      <c r="B550" s="2">
        <v>46013</v>
      </c>
      <c r="C550" t="s">
        <v>31</v>
      </c>
      <c r="D550" t="s">
        <v>32</v>
      </c>
      <c r="E550" t="s">
        <v>33</v>
      </c>
      <c r="F550" t="s">
        <v>81</v>
      </c>
      <c r="G550" t="s">
        <v>54</v>
      </c>
      <c r="H550" t="s">
        <v>85</v>
      </c>
      <c r="I550" t="s">
        <v>262</v>
      </c>
      <c r="J550">
        <v>788</v>
      </c>
      <c r="K550">
        <v>3</v>
      </c>
      <c r="L550" t="s">
        <v>71</v>
      </c>
      <c r="M550">
        <v>152</v>
      </c>
      <c r="N550">
        <v>42.2</v>
      </c>
      <c r="O550">
        <v>77.599999999999994</v>
      </c>
      <c r="P550">
        <v>5.21</v>
      </c>
      <c r="Q550">
        <v>2.94</v>
      </c>
      <c r="R550" t="s">
        <v>122</v>
      </c>
      <c r="S550" t="s">
        <v>73</v>
      </c>
      <c r="T550" t="s">
        <v>30</v>
      </c>
    </row>
    <row r="551" spans="1:20" x14ac:dyDescent="0.3">
      <c r="A551">
        <v>11425</v>
      </c>
      <c r="B551" s="2">
        <v>45789</v>
      </c>
      <c r="C551" t="s">
        <v>49</v>
      </c>
      <c r="D551" t="s">
        <v>59</v>
      </c>
      <c r="E551" t="s">
        <v>22</v>
      </c>
      <c r="F551" t="s">
        <v>41</v>
      </c>
      <c r="G551" t="s">
        <v>34</v>
      </c>
      <c r="H551" t="s">
        <v>61</v>
      </c>
      <c r="I551" t="s">
        <v>270</v>
      </c>
      <c r="J551">
        <v>846</v>
      </c>
      <c r="K551">
        <v>14</v>
      </c>
      <c r="L551" t="s">
        <v>27</v>
      </c>
      <c r="M551">
        <v>120</v>
      </c>
      <c r="N551">
        <v>37.9</v>
      </c>
      <c r="O551">
        <v>63.6</v>
      </c>
      <c r="P551">
        <v>5.62</v>
      </c>
      <c r="Q551">
        <v>2.72</v>
      </c>
      <c r="R551" t="s">
        <v>167</v>
      </c>
      <c r="S551" t="s">
        <v>39</v>
      </c>
      <c r="T551" t="s">
        <v>30</v>
      </c>
    </row>
    <row r="552" spans="1:20" x14ac:dyDescent="0.3">
      <c r="A552">
        <v>11025</v>
      </c>
      <c r="B552" s="2">
        <v>45819</v>
      </c>
      <c r="C552" t="s">
        <v>31</v>
      </c>
      <c r="D552" t="s">
        <v>21</v>
      </c>
      <c r="E552" t="s">
        <v>22</v>
      </c>
      <c r="F552" t="s">
        <v>23</v>
      </c>
      <c r="G552" t="s">
        <v>50</v>
      </c>
      <c r="H552" t="s">
        <v>196</v>
      </c>
      <c r="I552" t="s">
        <v>273</v>
      </c>
      <c r="J552">
        <v>600</v>
      </c>
      <c r="K552">
        <v>7</v>
      </c>
      <c r="L552" t="s">
        <v>68</v>
      </c>
      <c r="M552">
        <v>6</v>
      </c>
      <c r="N552">
        <v>48.8</v>
      </c>
      <c r="O552">
        <v>61.8</v>
      </c>
      <c r="P552">
        <v>5.31</v>
      </c>
      <c r="Q552">
        <v>1.81</v>
      </c>
      <c r="R552" t="s">
        <v>242</v>
      </c>
      <c r="S552" t="s">
        <v>39</v>
      </c>
      <c r="T552" t="s">
        <v>30</v>
      </c>
    </row>
    <row r="553" spans="1:20" x14ac:dyDescent="0.3">
      <c r="A553">
        <v>11145</v>
      </c>
      <c r="B553" s="2">
        <v>45938</v>
      </c>
      <c r="C553" t="s">
        <v>31</v>
      </c>
      <c r="D553" t="s">
        <v>59</v>
      </c>
      <c r="E553" t="s">
        <v>40</v>
      </c>
      <c r="F553" t="s">
        <v>81</v>
      </c>
      <c r="G553" t="s">
        <v>54</v>
      </c>
      <c r="H553" t="s">
        <v>351</v>
      </c>
      <c r="I553" t="s">
        <v>322</v>
      </c>
      <c r="J553">
        <v>915</v>
      </c>
      <c r="K553">
        <v>12</v>
      </c>
      <c r="L553" t="s">
        <v>68</v>
      </c>
      <c r="M553">
        <v>7</v>
      </c>
      <c r="N553">
        <v>46.7</v>
      </c>
      <c r="O553">
        <v>68.599999999999994</v>
      </c>
      <c r="P553">
        <v>5.14</v>
      </c>
      <c r="Q553">
        <v>2.2400000000000002</v>
      </c>
      <c r="R553" t="s">
        <v>229</v>
      </c>
      <c r="S553" t="s">
        <v>47</v>
      </c>
      <c r="T553" t="s">
        <v>30</v>
      </c>
    </row>
    <row r="554" spans="1:20" x14ac:dyDescent="0.3">
      <c r="A554">
        <v>10606</v>
      </c>
      <c r="B554" s="2">
        <v>45727</v>
      </c>
      <c r="C554" t="s">
        <v>31</v>
      </c>
      <c r="D554" t="s">
        <v>59</v>
      </c>
      <c r="E554" t="s">
        <v>40</v>
      </c>
      <c r="F554" t="s">
        <v>81</v>
      </c>
      <c r="G554" t="s">
        <v>42</v>
      </c>
      <c r="H554" t="s">
        <v>85</v>
      </c>
      <c r="I554" t="s">
        <v>129</v>
      </c>
      <c r="J554">
        <v>1595</v>
      </c>
      <c r="K554">
        <v>12</v>
      </c>
      <c r="L554" t="s">
        <v>37</v>
      </c>
      <c r="M554">
        <v>112</v>
      </c>
      <c r="N554">
        <v>44.6</v>
      </c>
      <c r="O554">
        <v>57.1</v>
      </c>
      <c r="P554">
        <v>4.6399999999999997</v>
      </c>
      <c r="Q554">
        <v>3.99</v>
      </c>
      <c r="R554" t="s">
        <v>195</v>
      </c>
      <c r="S554" t="s">
        <v>39</v>
      </c>
      <c r="T554" t="s">
        <v>30</v>
      </c>
    </row>
    <row r="555" spans="1:20" x14ac:dyDescent="0.3">
      <c r="A555">
        <v>10459</v>
      </c>
      <c r="B555" s="2">
        <v>45705</v>
      </c>
      <c r="C555" t="s">
        <v>31</v>
      </c>
      <c r="D555" t="s">
        <v>21</v>
      </c>
      <c r="E555" t="s">
        <v>40</v>
      </c>
      <c r="F555" t="s">
        <v>41</v>
      </c>
      <c r="G555" t="s">
        <v>34</v>
      </c>
      <c r="H555" t="s">
        <v>213</v>
      </c>
      <c r="I555" t="s">
        <v>376</v>
      </c>
      <c r="J555">
        <v>1280</v>
      </c>
      <c r="K555">
        <v>9</v>
      </c>
      <c r="L555" t="s">
        <v>71</v>
      </c>
      <c r="M555">
        <v>114</v>
      </c>
      <c r="N555">
        <v>40.5</v>
      </c>
      <c r="O555">
        <v>63.9</v>
      </c>
      <c r="P555">
        <v>3.34</v>
      </c>
      <c r="Q555">
        <v>2.41</v>
      </c>
      <c r="R555" t="s">
        <v>209</v>
      </c>
      <c r="S555" t="s">
        <v>29</v>
      </c>
      <c r="T555" t="s">
        <v>30</v>
      </c>
    </row>
    <row r="556" spans="1:20" x14ac:dyDescent="0.3">
      <c r="A556">
        <v>10376</v>
      </c>
      <c r="B556" s="2">
        <v>45949</v>
      </c>
      <c r="C556" t="s">
        <v>20</v>
      </c>
      <c r="D556" t="s">
        <v>32</v>
      </c>
      <c r="E556" t="s">
        <v>107</v>
      </c>
      <c r="F556" t="s">
        <v>81</v>
      </c>
      <c r="G556" t="s">
        <v>50</v>
      </c>
      <c r="H556" t="s">
        <v>196</v>
      </c>
      <c r="I556" t="s">
        <v>377</v>
      </c>
      <c r="J556">
        <v>845</v>
      </c>
      <c r="K556">
        <v>10</v>
      </c>
      <c r="L556" t="s">
        <v>57</v>
      </c>
      <c r="M556">
        <v>156</v>
      </c>
      <c r="N556">
        <v>46</v>
      </c>
      <c r="O556">
        <v>69.099999999999994</v>
      </c>
      <c r="P556">
        <v>7.47</v>
      </c>
      <c r="Q556">
        <v>4.5999999999999996</v>
      </c>
      <c r="R556" t="s">
        <v>209</v>
      </c>
      <c r="S556" t="s">
        <v>29</v>
      </c>
      <c r="T556" t="s">
        <v>30</v>
      </c>
    </row>
    <row r="557" spans="1:20" x14ac:dyDescent="0.3">
      <c r="A557">
        <v>10334</v>
      </c>
      <c r="B557" s="2">
        <v>45786</v>
      </c>
      <c r="C557" t="s">
        <v>31</v>
      </c>
      <c r="D557" t="s">
        <v>21</v>
      </c>
      <c r="E557" t="s">
        <v>40</v>
      </c>
      <c r="F557" t="s">
        <v>23</v>
      </c>
      <c r="G557" t="s">
        <v>54</v>
      </c>
      <c r="H557" t="s">
        <v>196</v>
      </c>
      <c r="I557" t="s">
        <v>139</v>
      </c>
      <c r="J557">
        <v>1064</v>
      </c>
      <c r="K557">
        <v>6</v>
      </c>
      <c r="L557" t="s">
        <v>68</v>
      </c>
      <c r="M557">
        <v>134</v>
      </c>
      <c r="N557">
        <v>41.5</v>
      </c>
      <c r="O557">
        <v>69.2</v>
      </c>
      <c r="P557">
        <v>5.34</v>
      </c>
      <c r="Q557">
        <v>1.1399999999999999</v>
      </c>
      <c r="R557" t="s">
        <v>280</v>
      </c>
      <c r="T557" t="s">
        <v>30</v>
      </c>
    </row>
    <row r="558" spans="1:20" x14ac:dyDescent="0.3">
      <c r="A558">
        <v>10766</v>
      </c>
      <c r="B558" s="2">
        <v>45664</v>
      </c>
      <c r="C558" t="s">
        <v>20</v>
      </c>
      <c r="D558" t="s">
        <v>59</v>
      </c>
      <c r="E558" t="s">
        <v>22</v>
      </c>
      <c r="F558" t="s">
        <v>23</v>
      </c>
      <c r="G558" t="s">
        <v>60</v>
      </c>
      <c r="H558" t="s">
        <v>43</v>
      </c>
      <c r="I558" t="s">
        <v>204</v>
      </c>
      <c r="J558">
        <v>1433</v>
      </c>
      <c r="K558">
        <v>21</v>
      </c>
      <c r="L558" t="s">
        <v>71</v>
      </c>
      <c r="M558">
        <v>176</v>
      </c>
      <c r="N558">
        <v>29.8</v>
      </c>
      <c r="O558">
        <v>68.400000000000006</v>
      </c>
      <c r="P558">
        <v>4.99</v>
      </c>
      <c r="Q558">
        <v>2.25</v>
      </c>
      <c r="R558" t="s">
        <v>133</v>
      </c>
      <c r="S558" t="s">
        <v>29</v>
      </c>
      <c r="T558" t="s">
        <v>30</v>
      </c>
    </row>
    <row r="559" spans="1:20" x14ac:dyDescent="0.3">
      <c r="A559">
        <v>11336</v>
      </c>
      <c r="B559" s="2">
        <v>45757</v>
      </c>
      <c r="C559" t="s">
        <v>31</v>
      </c>
      <c r="D559" t="s">
        <v>32</v>
      </c>
      <c r="E559" t="s">
        <v>40</v>
      </c>
      <c r="F559" t="s">
        <v>98</v>
      </c>
      <c r="G559" t="s">
        <v>42</v>
      </c>
      <c r="H559" t="s">
        <v>215</v>
      </c>
      <c r="I559" t="s">
        <v>166</v>
      </c>
      <c r="J559">
        <v>914</v>
      </c>
      <c r="K559">
        <v>10</v>
      </c>
      <c r="L559" t="s">
        <v>71</v>
      </c>
      <c r="M559">
        <v>128</v>
      </c>
      <c r="N559">
        <v>49.9</v>
      </c>
      <c r="O559">
        <v>52.4</v>
      </c>
      <c r="P559">
        <v>5.37</v>
      </c>
      <c r="Q559">
        <v>2.52</v>
      </c>
      <c r="R559" t="s">
        <v>105</v>
      </c>
      <c r="S559" t="s">
        <v>73</v>
      </c>
      <c r="T559" t="s">
        <v>30</v>
      </c>
    </row>
    <row r="560" spans="1:20" x14ac:dyDescent="0.3">
      <c r="A560">
        <v>11424</v>
      </c>
      <c r="B560" s="2">
        <v>45909</v>
      </c>
      <c r="C560" t="s">
        <v>49</v>
      </c>
      <c r="D560" t="s">
        <v>59</v>
      </c>
      <c r="E560" t="s">
        <v>107</v>
      </c>
      <c r="F560" t="s">
        <v>81</v>
      </c>
      <c r="G560" t="s">
        <v>95</v>
      </c>
      <c r="H560" t="s">
        <v>99</v>
      </c>
      <c r="I560" t="s">
        <v>294</v>
      </c>
      <c r="J560">
        <v>1318</v>
      </c>
      <c r="K560">
        <v>46</v>
      </c>
      <c r="L560" t="s">
        <v>71</v>
      </c>
      <c r="M560">
        <v>60</v>
      </c>
      <c r="N560">
        <v>54</v>
      </c>
      <c r="O560">
        <v>59</v>
      </c>
      <c r="P560">
        <v>5.48</v>
      </c>
      <c r="Q560">
        <v>3.11</v>
      </c>
      <c r="R560" t="s">
        <v>174</v>
      </c>
      <c r="S560" t="s">
        <v>39</v>
      </c>
      <c r="T560" t="s">
        <v>48</v>
      </c>
    </row>
    <row r="561" spans="1:20" x14ac:dyDescent="0.3">
      <c r="A561">
        <v>11402</v>
      </c>
      <c r="B561" s="2">
        <v>45906</v>
      </c>
      <c r="C561" t="s">
        <v>291</v>
      </c>
      <c r="D561" t="s">
        <v>59</v>
      </c>
      <c r="E561" t="s">
        <v>22</v>
      </c>
      <c r="F561" t="s">
        <v>41</v>
      </c>
      <c r="G561" t="s">
        <v>113</v>
      </c>
      <c r="H561" t="s">
        <v>78</v>
      </c>
      <c r="I561" t="s">
        <v>248</v>
      </c>
      <c r="J561">
        <v>1599</v>
      </c>
      <c r="K561">
        <v>18</v>
      </c>
      <c r="L561" t="s">
        <v>71</v>
      </c>
      <c r="M561">
        <v>72</v>
      </c>
      <c r="N561">
        <v>41.2</v>
      </c>
      <c r="O561">
        <v>70.900000000000006</v>
      </c>
      <c r="P561">
        <v>3.56</v>
      </c>
      <c r="Q561">
        <v>3.96</v>
      </c>
      <c r="R561" t="s">
        <v>243</v>
      </c>
      <c r="S561" t="s">
        <v>29</v>
      </c>
      <c r="T561" t="s">
        <v>30</v>
      </c>
    </row>
    <row r="562" spans="1:20" x14ac:dyDescent="0.3">
      <c r="A562">
        <v>10681</v>
      </c>
      <c r="B562" s="2">
        <v>45770</v>
      </c>
      <c r="C562" t="s">
        <v>20</v>
      </c>
      <c r="D562" t="s">
        <v>32</v>
      </c>
      <c r="E562" t="s">
        <v>40</v>
      </c>
      <c r="F562" t="s">
        <v>23</v>
      </c>
      <c r="G562" t="s">
        <v>74</v>
      </c>
      <c r="H562" t="s">
        <v>287</v>
      </c>
      <c r="I562" t="s">
        <v>214</v>
      </c>
      <c r="J562">
        <v>518</v>
      </c>
      <c r="K562">
        <v>20</v>
      </c>
      <c r="L562" t="s">
        <v>57</v>
      </c>
      <c r="M562">
        <v>32</v>
      </c>
      <c r="N562">
        <v>34.4</v>
      </c>
      <c r="P562">
        <v>6.37</v>
      </c>
      <c r="Q562">
        <v>1.25</v>
      </c>
      <c r="R562" t="s">
        <v>46</v>
      </c>
      <c r="S562" t="s">
        <v>29</v>
      </c>
      <c r="T562" t="s">
        <v>48</v>
      </c>
    </row>
    <row r="563" spans="1:20" x14ac:dyDescent="0.3">
      <c r="A563">
        <v>10329</v>
      </c>
      <c r="B563" s="2">
        <v>45683</v>
      </c>
      <c r="C563" t="s">
        <v>20</v>
      </c>
      <c r="D563" t="s">
        <v>59</v>
      </c>
      <c r="E563" t="s">
        <v>107</v>
      </c>
      <c r="F563" t="s">
        <v>41</v>
      </c>
      <c r="G563" t="s">
        <v>113</v>
      </c>
      <c r="H563" t="s">
        <v>35</v>
      </c>
      <c r="I563" t="s">
        <v>327</v>
      </c>
      <c r="J563">
        <v>1446</v>
      </c>
      <c r="K563">
        <v>12</v>
      </c>
      <c r="L563" t="s">
        <v>71</v>
      </c>
      <c r="M563">
        <v>15</v>
      </c>
      <c r="N563">
        <v>33.9</v>
      </c>
      <c r="O563">
        <v>86.7</v>
      </c>
      <c r="P563">
        <v>4.6100000000000003</v>
      </c>
      <c r="Q563">
        <v>2.06</v>
      </c>
      <c r="R563" t="s">
        <v>153</v>
      </c>
      <c r="S563" t="s">
        <v>47</v>
      </c>
      <c r="T563" t="s">
        <v>30</v>
      </c>
    </row>
    <row r="564" spans="1:20" x14ac:dyDescent="0.3">
      <c r="A564">
        <v>10319</v>
      </c>
      <c r="B564" s="2">
        <v>46018</v>
      </c>
      <c r="C564" t="s">
        <v>31</v>
      </c>
      <c r="D564" t="s">
        <v>59</v>
      </c>
      <c r="E564" t="s">
        <v>33</v>
      </c>
      <c r="F564" t="s">
        <v>23</v>
      </c>
      <c r="G564" t="s">
        <v>24</v>
      </c>
      <c r="H564" t="s">
        <v>287</v>
      </c>
      <c r="I564" t="s">
        <v>62</v>
      </c>
      <c r="J564">
        <v>1437</v>
      </c>
      <c r="K564">
        <v>14</v>
      </c>
      <c r="L564" t="s">
        <v>68</v>
      </c>
      <c r="M564">
        <v>91</v>
      </c>
      <c r="N564">
        <v>34</v>
      </c>
      <c r="O564">
        <v>75.7</v>
      </c>
      <c r="P564">
        <v>6.69</v>
      </c>
      <c r="Q564">
        <v>4.17</v>
      </c>
      <c r="R564" t="s">
        <v>137</v>
      </c>
      <c r="S564" t="s">
        <v>29</v>
      </c>
      <c r="T564" t="s">
        <v>30</v>
      </c>
    </row>
    <row r="565" spans="1:20" x14ac:dyDescent="0.3">
      <c r="A565">
        <v>11405</v>
      </c>
      <c r="B565" s="2">
        <v>45668</v>
      </c>
      <c r="C565" t="s">
        <v>20</v>
      </c>
      <c r="D565" t="s">
        <v>59</v>
      </c>
      <c r="E565" t="s">
        <v>33</v>
      </c>
      <c r="F565" t="s">
        <v>23</v>
      </c>
      <c r="G565" t="s">
        <v>54</v>
      </c>
      <c r="H565" t="s">
        <v>196</v>
      </c>
      <c r="I565" t="s">
        <v>261</v>
      </c>
      <c r="J565">
        <v>631</v>
      </c>
      <c r="K565">
        <v>24</v>
      </c>
      <c r="L565" t="s">
        <v>27</v>
      </c>
      <c r="M565">
        <v>66</v>
      </c>
      <c r="N565">
        <v>35.200000000000003</v>
      </c>
      <c r="O565">
        <v>62.1</v>
      </c>
      <c r="P565">
        <v>4.93</v>
      </c>
      <c r="Q565">
        <v>3.08</v>
      </c>
      <c r="R565" t="s">
        <v>186</v>
      </c>
      <c r="S565" t="s">
        <v>39</v>
      </c>
      <c r="T565" t="s">
        <v>48</v>
      </c>
    </row>
    <row r="566" spans="1:20" x14ac:dyDescent="0.3">
      <c r="A566">
        <v>10964</v>
      </c>
      <c r="B566" s="2">
        <v>46009</v>
      </c>
      <c r="C566" t="s">
        <v>31</v>
      </c>
      <c r="D566" t="s">
        <v>32</v>
      </c>
      <c r="E566" t="s">
        <v>22</v>
      </c>
      <c r="F566" t="s">
        <v>23</v>
      </c>
      <c r="G566" t="s">
        <v>113</v>
      </c>
      <c r="H566" t="s">
        <v>101</v>
      </c>
      <c r="I566" t="s">
        <v>253</v>
      </c>
      <c r="J566">
        <v>596</v>
      </c>
      <c r="K566">
        <v>9</v>
      </c>
      <c r="L566" t="s">
        <v>57</v>
      </c>
      <c r="M566">
        <v>175</v>
      </c>
      <c r="N566">
        <v>29.6</v>
      </c>
      <c r="O566">
        <v>66.400000000000006</v>
      </c>
      <c r="P566">
        <v>5.71</v>
      </c>
      <c r="Q566">
        <v>3.36</v>
      </c>
      <c r="R566" t="s">
        <v>137</v>
      </c>
      <c r="S566" t="s">
        <v>39</v>
      </c>
      <c r="T566" t="s">
        <v>30</v>
      </c>
    </row>
    <row r="567" spans="1:20" x14ac:dyDescent="0.3">
      <c r="A567">
        <v>10013</v>
      </c>
      <c r="B567" s="2">
        <v>45895</v>
      </c>
      <c r="C567" t="s">
        <v>49</v>
      </c>
      <c r="D567" t="s">
        <v>59</v>
      </c>
      <c r="E567" t="s">
        <v>33</v>
      </c>
      <c r="F567" t="s">
        <v>23</v>
      </c>
      <c r="G567" t="s">
        <v>74</v>
      </c>
      <c r="H567" t="s">
        <v>123</v>
      </c>
      <c r="I567" t="s">
        <v>372</v>
      </c>
      <c r="J567">
        <v>850</v>
      </c>
      <c r="K567">
        <v>5</v>
      </c>
      <c r="L567" t="s">
        <v>57</v>
      </c>
      <c r="M567">
        <v>31</v>
      </c>
      <c r="N567">
        <v>42.1</v>
      </c>
      <c r="O567">
        <v>83.6</v>
      </c>
      <c r="P567">
        <v>4.99</v>
      </c>
      <c r="Q567">
        <v>5.79</v>
      </c>
      <c r="R567" t="s">
        <v>189</v>
      </c>
      <c r="S567" t="s">
        <v>47</v>
      </c>
      <c r="T567" t="s">
        <v>30</v>
      </c>
    </row>
    <row r="568" spans="1:20" x14ac:dyDescent="0.3">
      <c r="A568">
        <v>10172</v>
      </c>
      <c r="B568" s="2">
        <v>45982</v>
      </c>
      <c r="C568" t="s">
        <v>49</v>
      </c>
      <c r="D568" t="s">
        <v>64</v>
      </c>
      <c r="E568" t="s">
        <v>22</v>
      </c>
      <c r="F568" t="s">
        <v>23</v>
      </c>
      <c r="G568" t="s">
        <v>34</v>
      </c>
      <c r="H568" t="s">
        <v>161</v>
      </c>
      <c r="I568" t="s">
        <v>269</v>
      </c>
      <c r="J568">
        <v>1018</v>
      </c>
      <c r="K568">
        <v>2</v>
      </c>
      <c r="L568" t="s">
        <v>37</v>
      </c>
      <c r="M568">
        <v>75</v>
      </c>
      <c r="N568">
        <v>36.200000000000003</v>
      </c>
      <c r="O568">
        <v>66.7</v>
      </c>
      <c r="P568">
        <v>3.8</v>
      </c>
      <c r="Q568">
        <v>2.66</v>
      </c>
      <c r="R568" t="s">
        <v>119</v>
      </c>
      <c r="S568" t="s">
        <v>29</v>
      </c>
      <c r="T568" t="s">
        <v>30</v>
      </c>
    </row>
    <row r="569" spans="1:20" x14ac:dyDescent="0.3">
      <c r="A569">
        <v>10261</v>
      </c>
      <c r="B569" s="2">
        <v>45877</v>
      </c>
      <c r="C569" t="s">
        <v>31</v>
      </c>
      <c r="D569" t="s">
        <v>59</v>
      </c>
      <c r="E569" t="s">
        <v>22</v>
      </c>
      <c r="F569" t="s">
        <v>23</v>
      </c>
      <c r="G569" t="s">
        <v>50</v>
      </c>
      <c r="H569" t="s">
        <v>287</v>
      </c>
      <c r="I569" t="s">
        <v>358</v>
      </c>
      <c r="J569">
        <v>916</v>
      </c>
      <c r="K569">
        <v>34</v>
      </c>
      <c r="L569" t="s">
        <v>37</v>
      </c>
      <c r="M569">
        <v>38</v>
      </c>
      <c r="N569">
        <v>45.1</v>
      </c>
      <c r="O569">
        <v>70.099999999999994</v>
      </c>
      <c r="P569">
        <v>4.88</v>
      </c>
      <c r="Q569">
        <v>2.63</v>
      </c>
      <c r="R569" t="s">
        <v>243</v>
      </c>
      <c r="S569" t="s">
        <v>47</v>
      </c>
      <c r="T569" t="s">
        <v>48</v>
      </c>
    </row>
    <row r="570" spans="1:20" x14ac:dyDescent="0.3">
      <c r="A570">
        <v>10830</v>
      </c>
      <c r="B570" s="2">
        <v>45791</v>
      </c>
      <c r="C570" t="s">
        <v>31</v>
      </c>
      <c r="D570" t="s">
        <v>64</v>
      </c>
      <c r="E570" t="s">
        <v>40</v>
      </c>
      <c r="F570" t="s">
        <v>23</v>
      </c>
      <c r="G570" t="s">
        <v>42</v>
      </c>
      <c r="H570" t="s">
        <v>180</v>
      </c>
      <c r="I570" t="s">
        <v>146</v>
      </c>
      <c r="J570">
        <v>748</v>
      </c>
      <c r="K570">
        <v>11</v>
      </c>
      <c r="L570" t="s">
        <v>27</v>
      </c>
      <c r="M570">
        <v>142</v>
      </c>
      <c r="N570">
        <v>35.299999999999997</v>
      </c>
      <c r="O570">
        <v>74.5</v>
      </c>
      <c r="P570">
        <v>6.24</v>
      </c>
      <c r="Q570">
        <v>1.53</v>
      </c>
      <c r="R570" t="s">
        <v>216</v>
      </c>
      <c r="S570" t="s">
        <v>39</v>
      </c>
      <c r="T570" t="s">
        <v>30</v>
      </c>
    </row>
    <row r="571" spans="1:20" x14ac:dyDescent="0.3">
      <c r="A571">
        <v>11375</v>
      </c>
      <c r="B571" s="2">
        <v>45919</v>
      </c>
      <c r="C571" t="s">
        <v>31</v>
      </c>
      <c r="D571" t="s">
        <v>64</v>
      </c>
      <c r="E571" t="s">
        <v>40</v>
      </c>
      <c r="F571" t="s">
        <v>23</v>
      </c>
      <c r="G571" t="s">
        <v>60</v>
      </c>
      <c r="H571" t="s">
        <v>96</v>
      </c>
      <c r="I571" t="s">
        <v>224</v>
      </c>
      <c r="J571">
        <v>1338</v>
      </c>
      <c r="K571">
        <v>84</v>
      </c>
      <c r="L571" t="s">
        <v>37</v>
      </c>
      <c r="M571">
        <v>68</v>
      </c>
      <c r="N571">
        <v>42.6</v>
      </c>
      <c r="O571">
        <v>75.099999999999994</v>
      </c>
      <c r="P571">
        <v>4.9400000000000004</v>
      </c>
      <c r="Q571">
        <v>2.4</v>
      </c>
      <c r="R571" t="s">
        <v>202</v>
      </c>
      <c r="S571" t="s">
        <v>29</v>
      </c>
      <c r="T571" t="s">
        <v>48</v>
      </c>
    </row>
    <row r="572" spans="1:20" x14ac:dyDescent="0.3">
      <c r="A572">
        <v>11491</v>
      </c>
      <c r="B572" s="2">
        <v>45740</v>
      </c>
      <c r="C572" t="s">
        <v>20</v>
      </c>
      <c r="D572" t="s">
        <v>64</v>
      </c>
      <c r="E572" t="s">
        <v>22</v>
      </c>
      <c r="F572" t="s">
        <v>41</v>
      </c>
      <c r="G572" t="s">
        <v>109</v>
      </c>
      <c r="H572" t="s">
        <v>141</v>
      </c>
      <c r="I572" t="s">
        <v>293</v>
      </c>
      <c r="J572">
        <v>1118</v>
      </c>
      <c r="K572">
        <v>13</v>
      </c>
      <c r="L572" t="s">
        <v>57</v>
      </c>
      <c r="M572">
        <v>92</v>
      </c>
      <c r="N572">
        <v>40.9</v>
      </c>
      <c r="O572">
        <v>61.3</v>
      </c>
      <c r="P572">
        <v>5.89</v>
      </c>
      <c r="Q572">
        <v>3.15</v>
      </c>
      <c r="R572" t="s">
        <v>105</v>
      </c>
      <c r="S572" t="s">
        <v>73</v>
      </c>
      <c r="T572" t="s">
        <v>30</v>
      </c>
    </row>
    <row r="573" spans="1:20" x14ac:dyDescent="0.3">
      <c r="A573">
        <v>10139</v>
      </c>
      <c r="B573" s="2">
        <v>45749</v>
      </c>
      <c r="C573" t="s">
        <v>31</v>
      </c>
      <c r="D573" t="s">
        <v>21</v>
      </c>
      <c r="E573" t="s">
        <v>22</v>
      </c>
      <c r="F573" t="s">
        <v>41</v>
      </c>
      <c r="G573" t="s">
        <v>42</v>
      </c>
      <c r="H573" t="s">
        <v>351</v>
      </c>
      <c r="I573" t="s">
        <v>268</v>
      </c>
      <c r="J573">
        <v>790</v>
      </c>
      <c r="K573">
        <v>5</v>
      </c>
      <c r="L573" t="s">
        <v>71</v>
      </c>
      <c r="M573">
        <v>21</v>
      </c>
      <c r="N573">
        <v>35.700000000000003</v>
      </c>
      <c r="O573">
        <v>80.5</v>
      </c>
      <c r="P573">
        <v>6.05</v>
      </c>
      <c r="Q573">
        <v>2.1</v>
      </c>
      <c r="R573" t="s">
        <v>155</v>
      </c>
      <c r="S573" t="s">
        <v>73</v>
      </c>
      <c r="T573" t="s">
        <v>30</v>
      </c>
    </row>
    <row r="574" spans="1:20" x14ac:dyDescent="0.3">
      <c r="A574">
        <v>10550</v>
      </c>
      <c r="B574" s="2">
        <v>45930</v>
      </c>
      <c r="C574" t="s">
        <v>20</v>
      </c>
      <c r="D574" t="s">
        <v>64</v>
      </c>
      <c r="E574" t="s">
        <v>107</v>
      </c>
      <c r="F574" t="s">
        <v>41</v>
      </c>
      <c r="G574" t="s">
        <v>42</v>
      </c>
      <c r="H574" t="s">
        <v>177</v>
      </c>
      <c r="I574" t="s">
        <v>305</v>
      </c>
      <c r="J574">
        <v>797</v>
      </c>
      <c r="K574">
        <v>3</v>
      </c>
      <c r="L574" t="s">
        <v>45</v>
      </c>
      <c r="M574">
        <v>13</v>
      </c>
      <c r="N574">
        <v>61</v>
      </c>
      <c r="O574">
        <v>76.2</v>
      </c>
      <c r="P574">
        <v>5.37</v>
      </c>
      <c r="Q574">
        <v>3.48</v>
      </c>
      <c r="R574" t="s">
        <v>130</v>
      </c>
      <c r="S574" t="s">
        <v>47</v>
      </c>
      <c r="T574" t="s">
        <v>30</v>
      </c>
    </row>
    <row r="575" spans="1:20" x14ac:dyDescent="0.3">
      <c r="A575">
        <v>10620</v>
      </c>
      <c r="B575" s="2">
        <v>46005</v>
      </c>
      <c r="C575" t="s">
        <v>49</v>
      </c>
      <c r="D575" t="s">
        <v>64</v>
      </c>
      <c r="E575" t="s">
        <v>33</v>
      </c>
      <c r="F575" t="s">
        <v>23</v>
      </c>
      <c r="G575" t="s">
        <v>42</v>
      </c>
      <c r="H575" t="s">
        <v>138</v>
      </c>
      <c r="I575" t="s">
        <v>76</v>
      </c>
      <c r="J575">
        <v>1125</v>
      </c>
      <c r="K575">
        <v>8</v>
      </c>
      <c r="L575" t="s">
        <v>45</v>
      </c>
      <c r="M575">
        <v>57</v>
      </c>
      <c r="N575">
        <v>42.8</v>
      </c>
      <c r="O575">
        <v>55.2</v>
      </c>
      <c r="P575">
        <v>3.82</v>
      </c>
      <c r="Q575">
        <v>3.06</v>
      </c>
      <c r="R575" t="s">
        <v>63</v>
      </c>
      <c r="S575" t="s">
        <v>47</v>
      </c>
      <c r="T575" t="s">
        <v>30</v>
      </c>
    </row>
    <row r="576" spans="1:20" x14ac:dyDescent="0.3">
      <c r="A576">
        <v>10856</v>
      </c>
      <c r="B576" s="2">
        <v>45939</v>
      </c>
      <c r="C576" t="s">
        <v>31</v>
      </c>
      <c r="D576" t="s">
        <v>21</v>
      </c>
      <c r="E576" t="s">
        <v>40</v>
      </c>
      <c r="F576" t="s">
        <v>41</v>
      </c>
      <c r="G576" t="s">
        <v>34</v>
      </c>
      <c r="H576" t="s">
        <v>278</v>
      </c>
      <c r="I576" t="s">
        <v>303</v>
      </c>
      <c r="J576">
        <v>1176</v>
      </c>
      <c r="K576">
        <v>7</v>
      </c>
      <c r="L576" t="s">
        <v>71</v>
      </c>
      <c r="M576">
        <v>142</v>
      </c>
      <c r="N576">
        <v>40.700000000000003</v>
      </c>
      <c r="O576">
        <v>75.5</v>
      </c>
      <c r="P576">
        <v>5.85</v>
      </c>
      <c r="Q576">
        <v>3.53</v>
      </c>
      <c r="R576" t="s">
        <v>84</v>
      </c>
      <c r="S576" t="s">
        <v>29</v>
      </c>
      <c r="T576" t="s">
        <v>30</v>
      </c>
    </row>
    <row r="577" spans="1:20" x14ac:dyDescent="0.3">
      <c r="A577">
        <v>11135</v>
      </c>
      <c r="B577" s="2">
        <v>45856</v>
      </c>
      <c r="C577" t="s">
        <v>31</v>
      </c>
      <c r="D577" t="s">
        <v>64</v>
      </c>
      <c r="E577" t="s">
        <v>22</v>
      </c>
      <c r="F577" t="s">
        <v>23</v>
      </c>
      <c r="G577" t="s">
        <v>54</v>
      </c>
      <c r="H577" t="s">
        <v>114</v>
      </c>
      <c r="I577" t="s">
        <v>378</v>
      </c>
      <c r="J577">
        <v>1250</v>
      </c>
      <c r="K577">
        <v>19</v>
      </c>
      <c r="L577" t="s">
        <v>68</v>
      </c>
      <c r="M577">
        <v>15</v>
      </c>
      <c r="N577">
        <v>36.9</v>
      </c>
      <c r="O577">
        <v>62.2</v>
      </c>
      <c r="P577">
        <v>4.8600000000000003</v>
      </c>
      <c r="Q577">
        <v>3.98</v>
      </c>
      <c r="R577" t="s">
        <v>183</v>
      </c>
      <c r="S577" t="s">
        <v>39</v>
      </c>
      <c r="T577" t="s">
        <v>30</v>
      </c>
    </row>
    <row r="578" spans="1:20" x14ac:dyDescent="0.3">
      <c r="A578">
        <v>10559</v>
      </c>
      <c r="B578" s="2">
        <v>45868</v>
      </c>
      <c r="C578" t="s">
        <v>20</v>
      </c>
      <c r="D578" t="s">
        <v>59</v>
      </c>
      <c r="E578" t="s">
        <v>22</v>
      </c>
      <c r="F578" t="s">
        <v>41</v>
      </c>
      <c r="G578" t="s">
        <v>60</v>
      </c>
      <c r="H578" t="s">
        <v>252</v>
      </c>
      <c r="I578" t="s">
        <v>377</v>
      </c>
      <c r="J578">
        <v>825</v>
      </c>
      <c r="K578">
        <v>5</v>
      </c>
      <c r="L578" t="s">
        <v>68</v>
      </c>
      <c r="M578">
        <v>170</v>
      </c>
      <c r="N578">
        <v>51.4</v>
      </c>
      <c r="O578">
        <v>65.8</v>
      </c>
      <c r="P578">
        <v>4.24</v>
      </c>
      <c r="Q578">
        <v>3.21</v>
      </c>
      <c r="R578" t="s">
        <v>243</v>
      </c>
      <c r="S578" t="s">
        <v>73</v>
      </c>
      <c r="T578" t="s">
        <v>30</v>
      </c>
    </row>
    <row r="579" spans="1:20" x14ac:dyDescent="0.3">
      <c r="A579">
        <v>10140</v>
      </c>
      <c r="B579" s="2">
        <v>45721</v>
      </c>
      <c r="C579" t="s">
        <v>31</v>
      </c>
      <c r="D579" t="s">
        <v>64</v>
      </c>
      <c r="E579" t="s">
        <v>33</v>
      </c>
      <c r="F579" t="s">
        <v>41</v>
      </c>
      <c r="G579" t="s">
        <v>54</v>
      </c>
      <c r="H579" t="s">
        <v>223</v>
      </c>
      <c r="I579" t="s">
        <v>259</v>
      </c>
      <c r="J579">
        <v>1448</v>
      </c>
      <c r="K579">
        <v>10</v>
      </c>
      <c r="L579" t="s">
        <v>71</v>
      </c>
      <c r="M579">
        <v>9</v>
      </c>
      <c r="N579">
        <v>37.299999999999997</v>
      </c>
      <c r="O579">
        <v>79</v>
      </c>
      <c r="P579">
        <v>5.0999999999999996</v>
      </c>
      <c r="Q579">
        <v>1.51</v>
      </c>
      <c r="R579" t="s">
        <v>128</v>
      </c>
      <c r="S579" t="s">
        <v>47</v>
      </c>
      <c r="T579" t="s">
        <v>30</v>
      </c>
    </row>
    <row r="580" spans="1:20" x14ac:dyDescent="0.3">
      <c r="A580">
        <v>11322</v>
      </c>
      <c r="B580" s="2">
        <v>46013</v>
      </c>
      <c r="C580" t="s">
        <v>31</v>
      </c>
      <c r="D580" t="s">
        <v>64</v>
      </c>
      <c r="E580" t="s">
        <v>33</v>
      </c>
      <c r="F580" t="s">
        <v>81</v>
      </c>
      <c r="G580" t="s">
        <v>60</v>
      </c>
      <c r="H580" t="s">
        <v>265</v>
      </c>
      <c r="I580" t="s">
        <v>340</v>
      </c>
      <c r="J580">
        <v>1265</v>
      </c>
      <c r="K580">
        <v>9</v>
      </c>
      <c r="L580" t="s">
        <v>37</v>
      </c>
      <c r="M580">
        <v>109</v>
      </c>
      <c r="N580">
        <v>46.3</v>
      </c>
      <c r="O580">
        <v>62.9</v>
      </c>
      <c r="P580">
        <v>3.94</v>
      </c>
      <c r="Q580">
        <v>2.87</v>
      </c>
      <c r="R580" t="s">
        <v>153</v>
      </c>
      <c r="S580" t="s">
        <v>39</v>
      </c>
      <c r="T580" t="s">
        <v>30</v>
      </c>
    </row>
    <row r="581" spans="1:20" x14ac:dyDescent="0.3">
      <c r="A581">
        <v>10883</v>
      </c>
      <c r="B581" s="2">
        <v>45728</v>
      </c>
      <c r="C581" t="s">
        <v>31</v>
      </c>
      <c r="D581" t="s">
        <v>21</v>
      </c>
      <c r="E581" t="s">
        <v>22</v>
      </c>
      <c r="F581" t="s">
        <v>41</v>
      </c>
      <c r="G581" t="s">
        <v>134</v>
      </c>
      <c r="H581" t="s">
        <v>120</v>
      </c>
      <c r="I581" t="s">
        <v>210</v>
      </c>
      <c r="J581">
        <v>1567</v>
      </c>
      <c r="K581">
        <v>54</v>
      </c>
      <c r="L581" t="s">
        <v>45</v>
      </c>
      <c r="M581">
        <v>142</v>
      </c>
      <c r="N581">
        <v>42.8</v>
      </c>
      <c r="O581">
        <v>53.1</v>
      </c>
      <c r="P581">
        <v>4.13</v>
      </c>
      <c r="Q581">
        <v>1.97</v>
      </c>
      <c r="R581" t="s">
        <v>183</v>
      </c>
      <c r="S581" t="s">
        <v>47</v>
      </c>
      <c r="T581" t="s">
        <v>48</v>
      </c>
    </row>
    <row r="582" spans="1:20" x14ac:dyDescent="0.3">
      <c r="A582">
        <v>10225</v>
      </c>
      <c r="B582" s="2">
        <v>45665</v>
      </c>
      <c r="C582" t="s">
        <v>20</v>
      </c>
      <c r="D582" t="s">
        <v>59</v>
      </c>
      <c r="E582" t="s">
        <v>107</v>
      </c>
      <c r="F582" t="s">
        <v>23</v>
      </c>
      <c r="G582" t="s">
        <v>74</v>
      </c>
      <c r="H582" t="s">
        <v>148</v>
      </c>
      <c r="I582" t="s">
        <v>339</v>
      </c>
      <c r="J582">
        <v>461</v>
      </c>
      <c r="K582">
        <v>3</v>
      </c>
      <c r="L582" t="s">
        <v>68</v>
      </c>
      <c r="M582">
        <v>80</v>
      </c>
      <c r="N582">
        <v>34.9</v>
      </c>
      <c r="O582">
        <v>64.2</v>
      </c>
      <c r="P582">
        <v>6.17</v>
      </c>
      <c r="Q582">
        <v>1.42</v>
      </c>
      <c r="R582" t="s">
        <v>159</v>
      </c>
      <c r="S582" t="s">
        <v>73</v>
      </c>
      <c r="T582" t="s">
        <v>30</v>
      </c>
    </row>
    <row r="583" spans="1:20" x14ac:dyDescent="0.3">
      <c r="A583">
        <v>10835</v>
      </c>
      <c r="B583" s="2">
        <v>45756</v>
      </c>
      <c r="C583" t="s">
        <v>277</v>
      </c>
      <c r="D583" t="s">
        <v>21</v>
      </c>
      <c r="E583" t="s">
        <v>22</v>
      </c>
      <c r="F583" t="s">
        <v>41</v>
      </c>
      <c r="G583" t="s">
        <v>134</v>
      </c>
      <c r="H583" t="s">
        <v>169</v>
      </c>
      <c r="I583" t="s">
        <v>262</v>
      </c>
      <c r="J583">
        <v>842</v>
      </c>
      <c r="K583">
        <v>23</v>
      </c>
      <c r="L583" t="s">
        <v>68</v>
      </c>
      <c r="M583">
        <v>87</v>
      </c>
      <c r="N583">
        <v>38.1</v>
      </c>
      <c r="O583">
        <v>63.8</v>
      </c>
      <c r="P583">
        <v>6.37</v>
      </c>
      <c r="Q583">
        <v>0.86</v>
      </c>
      <c r="R583" t="s">
        <v>119</v>
      </c>
      <c r="S583" t="s">
        <v>29</v>
      </c>
      <c r="T583" t="s">
        <v>30</v>
      </c>
    </row>
    <row r="584" spans="1:20" x14ac:dyDescent="0.3">
      <c r="A584">
        <v>10410</v>
      </c>
      <c r="B584" s="2">
        <v>45717</v>
      </c>
      <c r="C584" t="s">
        <v>20</v>
      </c>
      <c r="D584" t="s">
        <v>64</v>
      </c>
      <c r="E584" t="s">
        <v>22</v>
      </c>
      <c r="F584" t="s">
        <v>41</v>
      </c>
      <c r="G584" t="s">
        <v>74</v>
      </c>
      <c r="H584" t="s">
        <v>200</v>
      </c>
      <c r="I584" t="s">
        <v>127</v>
      </c>
      <c r="J584">
        <v>1253</v>
      </c>
      <c r="K584">
        <v>5</v>
      </c>
      <c r="L584" t="s">
        <v>45</v>
      </c>
      <c r="M584">
        <v>63</v>
      </c>
      <c r="N584">
        <v>42.5</v>
      </c>
      <c r="O584">
        <v>80.3</v>
      </c>
      <c r="P584">
        <v>5.42</v>
      </c>
      <c r="Q584">
        <v>3.08</v>
      </c>
      <c r="R584" t="s">
        <v>128</v>
      </c>
      <c r="S584" t="s">
        <v>47</v>
      </c>
      <c r="T584" t="s">
        <v>30</v>
      </c>
    </row>
    <row r="585" spans="1:20" x14ac:dyDescent="0.3">
      <c r="A585">
        <v>10326</v>
      </c>
      <c r="B585" s="2">
        <v>45771</v>
      </c>
      <c r="C585" t="s">
        <v>49</v>
      </c>
      <c r="D585" t="s">
        <v>59</v>
      </c>
      <c r="E585" t="s">
        <v>107</v>
      </c>
      <c r="F585" t="s">
        <v>23</v>
      </c>
      <c r="G585" t="s">
        <v>60</v>
      </c>
      <c r="H585" t="s">
        <v>88</v>
      </c>
      <c r="I585" t="s">
        <v>218</v>
      </c>
      <c r="J585">
        <v>709</v>
      </c>
      <c r="K585">
        <v>7</v>
      </c>
      <c r="L585" t="s">
        <v>57</v>
      </c>
      <c r="M585">
        <v>24</v>
      </c>
      <c r="N585">
        <v>37.200000000000003</v>
      </c>
      <c r="O585">
        <v>65.3</v>
      </c>
      <c r="P585">
        <v>5.38</v>
      </c>
      <c r="Q585">
        <v>2.89</v>
      </c>
      <c r="R585" t="s">
        <v>159</v>
      </c>
      <c r="S585" t="s">
        <v>47</v>
      </c>
      <c r="T585" t="s">
        <v>30</v>
      </c>
    </row>
    <row r="586" spans="1:20" x14ac:dyDescent="0.3">
      <c r="A586">
        <v>10300</v>
      </c>
      <c r="B586" s="2">
        <v>45841</v>
      </c>
      <c r="C586" t="s">
        <v>31</v>
      </c>
      <c r="D586" t="s">
        <v>21</v>
      </c>
      <c r="E586" t="s">
        <v>40</v>
      </c>
      <c r="F586" t="s">
        <v>23</v>
      </c>
      <c r="G586" t="s">
        <v>109</v>
      </c>
      <c r="H586" t="s">
        <v>196</v>
      </c>
      <c r="I586" t="s">
        <v>282</v>
      </c>
      <c r="J586">
        <v>1088</v>
      </c>
      <c r="K586">
        <v>7</v>
      </c>
      <c r="L586" t="s">
        <v>37</v>
      </c>
      <c r="M586">
        <v>85</v>
      </c>
      <c r="N586">
        <v>46.1</v>
      </c>
      <c r="O586">
        <v>73.3</v>
      </c>
      <c r="P586">
        <v>5.77</v>
      </c>
      <c r="Q586">
        <v>4.8</v>
      </c>
      <c r="R586" t="s">
        <v>80</v>
      </c>
      <c r="S586" t="s">
        <v>29</v>
      </c>
      <c r="T586" t="s">
        <v>30</v>
      </c>
    </row>
    <row r="587" spans="1:20" x14ac:dyDescent="0.3">
      <c r="A587">
        <v>11097</v>
      </c>
      <c r="B587" s="2">
        <v>45740</v>
      </c>
      <c r="C587" t="s">
        <v>150</v>
      </c>
      <c r="D587" t="s">
        <v>32</v>
      </c>
      <c r="E587" t="s">
        <v>107</v>
      </c>
      <c r="F587" t="s">
        <v>23</v>
      </c>
      <c r="G587" t="s">
        <v>60</v>
      </c>
      <c r="H587" t="s">
        <v>78</v>
      </c>
      <c r="I587" t="s">
        <v>366</v>
      </c>
      <c r="J587">
        <v>744</v>
      </c>
      <c r="K587">
        <v>4</v>
      </c>
      <c r="L587" t="s">
        <v>71</v>
      </c>
      <c r="M587">
        <v>142</v>
      </c>
      <c r="N587">
        <v>39.299999999999997</v>
      </c>
      <c r="O587">
        <v>60.1</v>
      </c>
      <c r="P587">
        <v>4.6500000000000004</v>
      </c>
      <c r="Q587">
        <v>3.25</v>
      </c>
      <c r="R587" t="s">
        <v>267</v>
      </c>
      <c r="S587" t="s">
        <v>73</v>
      </c>
      <c r="T587" t="s">
        <v>30</v>
      </c>
    </row>
    <row r="588" spans="1:20" x14ac:dyDescent="0.3">
      <c r="A588">
        <v>10747</v>
      </c>
      <c r="B588" s="2">
        <v>45885</v>
      </c>
      <c r="C588" t="s">
        <v>49</v>
      </c>
      <c r="D588" t="s">
        <v>32</v>
      </c>
      <c r="E588" t="s">
        <v>33</v>
      </c>
      <c r="F588" t="s">
        <v>41</v>
      </c>
      <c r="G588" t="s">
        <v>24</v>
      </c>
      <c r="H588" t="s">
        <v>61</v>
      </c>
      <c r="I588" t="s">
        <v>283</v>
      </c>
      <c r="J588">
        <v>1329</v>
      </c>
      <c r="K588">
        <v>29</v>
      </c>
      <c r="L588" t="s">
        <v>37</v>
      </c>
      <c r="M588">
        <v>108</v>
      </c>
      <c r="N588">
        <v>42.7</v>
      </c>
      <c r="O588">
        <v>56.2</v>
      </c>
      <c r="P588">
        <v>5.01</v>
      </c>
      <c r="Q588">
        <v>3.96</v>
      </c>
      <c r="R588" t="s">
        <v>143</v>
      </c>
      <c r="S588" t="s">
        <v>47</v>
      </c>
      <c r="T588" t="s">
        <v>30</v>
      </c>
    </row>
    <row r="589" spans="1:20" x14ac:dyDescent="0.3">
      <c r="A589">
        <v>10679</v>
      </c>
      <c r="B589" s="2">
        <v>45835</v>
      </c>
      <c r="C589" t="s">
        <v>20</v>
      </c>
      <c r="D589" t="s">
        <v>59</v>
      </c>
      <c r="E589" t="s">
        <v>107</v>
      </c>
      <c r="F589" t="s">
        <v>41</v>
      </c>
      <c r="G589" t="s">
        <v>60</v>
      </c>
      <c r="H589" t="s">
        <v>82</v>
      </c>
      <c r="I589" t="s">
        <v>226</v>
      </c>
      <c r="J589">
        <v>1441</v>
      </c>
      <c r="K589">
        <v>48</v>
      </c>
      <c r="L589" t="s">
        <v>45</v>
      </c>
      <c r="M589">
        <v>127</v>
      </c>
      <c r="N589">
        <v>39.4</v>
      </c>
      <c r="O589">
        <v>77.599999999999994</v>
      </c>
      <c r="P589">
        <v>4.93</v>
      </c>
      <c r="Q589">
        <v>3.15</v>
      </c>
      <c r="R589" t="s">
        <v>209</v>
      </c>
      <c r="S589" t="s">
        <v>47</v>
      </c>
      <c r="T589" t="s">
        <v>48</v>
      </c>
    </row>
    <row r="590" spans="1:20" x14ac:dyDescent="0.3">
      <c r="A590">
        <v>11403</v>
      </c>
      <c r="B590" s="2">
        <v>45799</v>
      </c>
      <c r="C590" t="s">
        <v>49</v>
      </c>
      <c r="D590" t="s">
        <v>21</v>
      </c>
      <c r="E590" t="s">
        <v>22</v>
      </c>
      <c r="F590" t="s">
        <v>81</v>
      </c>
      <c r="G590" t="s">
        <v>109</v>
      </c>
      <c r="H590" t="s">
        <v>126</v>
      </c>
      <c r="I590" t="s">
        <v>356</v>
      </c>
      <c r="J590">
        <v>698</v>
      </c>
      <c r="K590">
        <v>6</v>
      </c>
      <c r="L590" t="s">
        <v>57</v>
      </c>
      <c r="M590">
        <v>131</v>
      </c>
      <c r="N590">
        <v>42.5</v>
      </c>
      <c r="O590">
        <v>78.599999999999994</v>
      </c>
      <c r="P590">
        <v>6.15</v>
      </c>
      <c r="Q590">
        <v>1.8</v>
      </c>
      <c r="R590" t="s">
        <v>189</v>
      </c>
      <c r="S590" t="s">
        <v>47</v>
      </c>
      <c r="T590" t="s">
        <v>30</v>
      </c>
    </row>
    <row r="591" spans="1:20" x14ac:dyDescent="0.3">
      <c r="A591">
        <v>11094</v>
      </c>
      <c r="B591" s="2">
        <v>45766</v>
      </c>
      <c r="C591" t="s">
        <v>31</v>
      </c>
      <c r="D591" t="s">
        <v>21</v>
      </c>
      <c r="E591" t="s">
        <v>40</v>
      </c>
      <c r="F591" t="s">
        <v>41</v>
      </c>
      <c r="G591" t="s">
        <v>60</v>
      </c>
      <c r="H591" t="s">
        <v>192</v>
      </c>
      <c r="I591" t="s">
        <v>62</v>
      </c>
      <c r="J591">
        <v>819</v>
      </c>
      <c r="K591">
        <v>12</v>
      </c>
      <c r="L591" t="s">
        <v>27</v>
      </c>
      <c r="M591">
        <v>12</v>
      </c>
      <c r="N591">
        <v>32.299999999999997</v>
      </c>
      <c r="O591">
        <v>74.7</v>
      </c>
      <c r="P591">
        <v>5.52</v>
      </c>
      <c r="Q591">
        <v>0.49</v>
      </c>
      <c r="R591" t="s">
        <v>167</v>
      </c>
      <c r="S591" t="s">
        <v>29</v>
      </c>
      <c r="T591" t="s">
        <v>30</v>
      </c>
    </row>
    <row r="592" spans="1:20" x14ac:dyDescent="0.3">
      <c r="A592">
        <v>10882</v>
      </c>
      <c r="B592" s="2">
        <v>45809</v>
      </c>
      <c r="C592" t="s">
        <v>20</v>
      </c>
      <c r="D592" t="s">
        <v>59</v>
      </c>
      <c r="E592" t="s">
        <v>40</v>
      </c>
      <c r="F592" t="s">
        <v>23</v>
      </c>
      <c r="G592" t="s">
        <v>113</v>
      </c>
      <c r="H592" t="s">
        <v>123</v>
      </c>
      <c r="I592" t="s">
        <v>298</v>
      </c>
      <c r="J592">
        <v>1332</v>
      </c>
      <c r="K592">
        <v>5</v>
      </c>
      <c r="L592" t="s">
        <v>71</v>
      </c>
      <c r="M592">
        <v>77</v>
      </c>
      <c r="N592">
        <v>44.6</v>
      </c>
      <c r="O592">
        <v>92.3</v>
      </c>
      <c r="P592">
        <v>5.27</v>
      </c>
      <c r="Q592">
        <v>2.5099999999999998</v>
      </c>
      <c r="R592" t="s">
        <v>164</v>
      </c>
      <c r="S592" t="s">
        <v>47</v>
      </c>
      <c r="T592" t="s">
        <v>30</v>
      </c>
    </row>
    <row r="593" spans="1:20" x14ac:dyDescent="0.3">
      <c r="A593">
        <v>10574</v>
      </c>
      <c r="B593" s="2">
        <v>45921</v>
      </c>
      <c r="C593" t="s">
        <v>49</v>
      </c>
      <c r="D593" t="s">
        <v>64</v>
      </c>
      <c r="E593" t="s">
        <v>22</v>
      </c>
      <c r="F593" t="s">
        <v>41</v>
      </c>
      <c r="G593" t="s">
        <v>89</v>
      </c>
      <c r="H593" t="s">
        <v>138</v>
      </c>
      <c r="I593" t="s">
        <v>301</v>
      </c>
      <c r="J593">
        <v>990</v>
      </c>
      <c r="K593">
        <v>83</v>
      </c>
      <c r="L593" t="s">
        <v>27</v>
      </c>
      <c r="M593">
        <v>112</v>
      </c>
      <c r="N593">
        <v>31.8</v>
      </c>
      <c r="O593">
        <v>60</v>
      </c>
      <c r="P593">
        <v>6.61</v>
      </c>
      <c r="Q593">
        <v>3.97</v>
      </c>
      <c r="R593" t="s">
        <v>130</v>
      </c>
      <c r="S593" t="s">
        <v>29</v>
      </c>
      <c r="T593" t="s">
        <v>48</v>
      </c>
    </row>
    <row r="594" spans="1:20" x14ac:dyDescent="0.3">
      <c r="A594">
        <v>10504</v>
      </c>
      <c r="B594" s="2">
        <v>45746</v>
      </c>
      <c r="C594" t="s">
        <v>20</v>
      </c>
      <c r="D594" t="s">
        <v>64</v>
      </c>
      <c r="E594" t="s">
        <v>22</v>
      </c>
      <c r="F594" t="s">
        <v>41</v>
      </c>
      <c r="G594" t="s">
        <v>74</v>
      </c>
      <c r="H594" t="s">
        <v>96</v>
      </c>
      <c r="I594" t="s">
        <v>379</v>
      </c>
      <c r="J594">
        <v>1304</v>
      </c>
      <c r="K594">
        <v>16</v>
      </c>
      <c r="L594" t="s">
        <v>27</v>
      </c>
      <c r="M594">
        <v>91</v>
      </c>
      <c r="N594">
        <v>43.7</v>
      </c>
      <c r="O594">
        <v>64.5</v>
      </c>
      <c r="P594">
        <v>4.8899999999999997</v>
      </c>
      <c r="Q594">
        <v>2.57</v>
      </c>
      <c r="R594" t="s">
        <v>164</v>
      </c>
      <c r="S594" t="s">
        <v>73</v>
      </c>
      <c r="T594" t="s">
        <v>30</v>
      </c>
    </row>
    <row r="595" spans="1:20" x14ac:dyDescent="0.3">
      <c r="A595">
        <v>11494</v>
      </c>
      <c r="B595" s="2">
        <v>45721</v>
      </c>
      <c r="C595" t="s">
        <v>49</v>
      </c>
      <c r="D595" t="s">
        <v>59</v>
      </c>
      <c r="E595" t="s">
        <v>22</v>
      </c>
      <c r="F595" t="s">
        <v>98</v>
      </c>
      <c r="G595" t="s">
        <v>34</v>
      </c>
      <c r="H595" t="s">
        <v>278</v>
      </c>
      <c r="I595" t="s">
        <v>246</v>
      </c>
      <c r="J595">
        <v>884</v>
      </c>
      <c r="K595">
        <v>7</v>
      </c>
      <c r="L595" t="s">
        <v>27</v>
      </c>
      <c r="M595">
        <v>98</v>
      </c>
      <c r="N595">
        <v>59.6</v>
      </c>
      <c r="O595">
        <v>81.5</v>
      </c>
      <c r="P595">
        <v>5.2</v>
      </c>
      <c r="Q595">
        <v>1.89</v>
      </c>
      <c r="R595" t="s">
        <v>179</v>
      </c>
      <c r="S595" t="s">
        <v>29</v>
      </c>
      <c r="T595" t="s">
        <v>30</v>
      </c>
    </row>
    <row r="596" spans="1:20" x14ac:dyDescent="0.3">
      <c r="A596">
        <v>10004</v>
      </c>
      <c r="B596" s="2">
        <v>45672</v>
      </c>
      <c r="C596" t="s">
        <v>20</v>
      </c>
      <c r="D596" t="s">
        <v>64</v>
      </c>
      <c r="E596" t="s">
        <v>22</v>
      </c>
      <c r="F596" t="s">
        <v>81</v>
      </c>
      <c r="G596" t="s">
        <v>134</v>
      </c>
      <c r="H596" t="s">
        <v>99</v>
      </c>
      <c r="I596" t="s">
        <v>94</v>
      </c>
      <c r="J596">
        <v>1526</v>
      </c>
      <c r="K596">
        <v>15</v>
      </c>
      <c r="L596" t="s">
        <v>27</v>
      </c>
      <c r="M596">
        <v>67</v>
      </c>
      <c r="N596">
        <v>46.1</v>
      </c>
      <c r="O596">
        <v>79.099999999999994</v>
      </c>
      <c r="P596">
        <v>5.92</v>
      </c>
      <c r="Q596">
        <v>3.63</v>
      </c>
      <c r="R596" t="s">
        <v>189</v>
      </c>
      <c r="S596" t="s">
        <v>29</v>
      </c>
      <c r="T596" t="s">
        <v>30</v>
      </c>
    </row>
    <row r="597" spans="1:20" x14ac:dyDescent="0.3">
      <c r="A597">
        <v>10756</v>
      </c>
      <c r="B597" s="2">
        <v>45810</v>
      </c>
      <c r="C597" t="s">
        <v>31</v>
      </c>
      <c r="D597" t="s">
        <v>59</v>
      </c>
      <c r="E597" t="s">
        <v>107</v>
      </c>
      <c r="F597" t="s">
        <v>41</v>
      </c>
      <c r="G597" t="s">
        <v>109</v>
      </c>
      <c r="H597" t="s">
        <v>200</v>
      </c>
      <c r="I597" t="s">
        <v>295</v>
      </c>
      <c r="J597">
        <v>709</v>
      </c>
      <c r="K597">
        <v>4</v>
      </c>
      <c r="L597" t="s">
        <v>68</v>
      </c>
      <c r="M597">
        <v>168</v>
      </c>
      <c r="N597">
        <v>32.799999999999997</v>
      </c>
      <c r="O597">
        <v>74.5</v>
      </c>
      <c r="P597">
        <v>4.45</v>
      </c>
      <c r="Q597">
        <v>3.01</v>
      </c>
      <c r="R597" t="s">
        <v>153</v>
      </c>
      <c r="S597" t="s">
        <v>39</v>
      </c>
      <c r="T597" t="s">
        <v>30</v>
      </c>
    </row>
    <row r="598" spans="1:20" x14ac:dyDescent="0.3">
      <c r="A598">
        <v>10468</v>
      </c>
      <c r="B598" s="2">
        <v>45720</v>
      </c>
      <c r="C598" t="s">
        <v>277</v>
      </c>
      <c r="D598" t="s">
        <v>21</v>
      </c>
      <c r="E598" t="s">
        <v>40</v>
      </c>
      <c r="F598" t="s">
        <v>23</v>
      </c>
      <c r="G598" t="s">
        <v>134</v>
      </c>
      <c r="H598" t="s">
        <v>123</v>
      </c>
      <c r="I598" t="s">
        <v>154</v>
      </c>
      <c r="J598">
        <v>595</v>
      </c>
      <c r="K598">
        <v>9</v>
      </c>
      <c r="L598" t="s">
        <v>37</v>
      </c>
      <c r="M598">
        <v>114</v>
      </c>
      <c r="N598">
        <v>35.5</v>
      </c>
      <c r="O598">
        <v>77.5</v>
      </c>
      <c r="P598">
        <v>6.17</v>
      </c>
      <c r="Q598">
        <v>3.92</v>
      </c>
      <c r="R598" t="s">
        <v>105</v>
      </c>
      <c r="S598" t="s">
        <v>47</v>
      </c>
      <c r="T598" t="s">
        <v>30</v>
      </c>
    </row>
    <row r="599" spans="1:20" x14ac:dyDescent="0.3">
      <c r="A599">
        <v>10322</v>
      </c>
      <c r="B599" s="2">
        <v>45933</v>
      </c>
      <c r="C599" t="s">
        <v>49</v>
      </c>
      <c r="D599" t="s">
        <v>64</v>
      </c>
      <c r="E599" t="s">
        <v>107</v>
      </c>
      <c r="F599" t="s">
        <v>23</v>
      </c>
      <c r="G599" t="s">
        <v>89</v>
      </c>
      <c r="H599" t="s">
        <v>61</v>
      </c>
      <c r="I599" t="s">
        <v>160</v>
      </c>
      <c r="J599">
        <v>498</v>
      </c>
      <c r="K599">
        <v>9</v>
      </c>
      <c r="L599" t="s">
        <v>68</v>
      </c>
      <c r="M599">
        <v>34</v>
      </c>
      <c r="N599">
        <v>40.799999999999997</v>
      </c>
      <c r="O599">
        <v>64.7</v>
      </c>
      <c r="P599">
        <v>4.87</v>
      </c>
      <c r="Q599">
        <v>3.18</v>
      </c>
      <c r="R599" t="s">
        <v>58</v>
      </c>
      <c r="S599" t="s">
        <v>47</v>
      </c>
      <c r="T599" t="s">
        <v>30</v>
      </c>
    </row>
    <row r="600" spans="1:20" x14ac:dyDescent="0.3">
      <c r="A600">
        <v>10006</v>
      </c>
      <c r="B600" s="2">
        <v>45836</v>
      </c>
      <c r="C600" t="s">
        <v>31</v>
      </c>
      <c r="D600" t="s">
        <v>21</v>
      </c>
      <c r="E600" t="s">
        <v>40</v>
      </c>
      <c r="F600" t="s">
        <v>41</v>
      </c>
      <c r="G600" t="s">
        <v>34</v>
      </c>
      <c r="H600" t="s">
        <v>55</v>
      </c>
      <c r="I600" t="s">
        <v>181</v>
      </c>
      <c r="J600">
        <v>1216</v>
      </c>
      <c r="K600">
        <v>6</v>
      </c>
      <c r="L600" t="s">
        <v>68</v>
      </c>
      <c r="M600">
        <v>147</v>
      </c>
      <c r="N600">
        <v>36.5</v>
      </c>
      <c r="O600">
        <v>77.900000000000006</v>
      </c>
      <c r="P600">
        <v>5.03</v>
      </c>
      <c r="Q600">
        <v>2.33</v>
      </c>
      <c r="R600" t="s">
        <v>58</v>
      </c>
      <c r="S600" t="s">
        <v>47</v>
      </c>
      <c r="T600" t="s">
        <v>30</v>
      </c>
    </row>
    <row r="601" spans="1:20" x14ac:dyDescent="0.3">
      <c r="A601">
        <v>10985</v>
      </c>
      <c r="B601" s="2">
        <v>45906</v>
      </c>
      <c r="C601" t="s">
        <v>20</v>
      </c>
      <c r="D601" t="s">
        <v>32</v>
      </c>
      <c r="E601" t="s">
        <v>107</v>
      </c>
      <c r="F601" t="s">
        <v>41</v>
      </c>
      <c r="G601" t="s">
        <v>89</v>
      </c>
      <c r="H601" t="s">
        <v>192</v>
      </c>
      <c r="I601" t="s">
        <v>225</v>
      </c>
      <c r="J601">
        <v>624</v>
      </c>
      <c r="K601">
        <v>52</v>
      </c>
      <c r="L601" t="s">
        <v>37</v>
      </c>
      <c r="M601">
        <v>29</v>
      </c>
      <c r="N601">
        <v>55.6</v>
      </c>
      <c r="O601">
        <v>71.400000000000006</v>
      </c>
      <c r="P601">
        <v>5.14</v>
      </c>
      <c r="Q601">
        <v>2.97</v>
      </c>
      <c r="R601" t="s">
        <v>189</v>
      </c>
      <c r="S601" t="s">
        <v>47</v>
      </c>
      <c r="T601" t="s">
        <v>48</v>
      </c>
    </row>
    <row r="602" spans="1:20" x14ac:dyDescent="0.3">
      <c r="A602">
        <v>10548</v>
      </c>
      <c r="B602" s="2">
        <v>45779</v>
      </c>
      <c r="C602" t="s">
        <v>31</v>
      </c>
      <c r="D602" t="s">
        <v>21</v>
      </c>
      <c r="E602" t="s">
        <v>33</v>
      </c>
      <c r="F602" t="s">
        <v>23</v>
      </c>
      <c r="G602" t="s">
        <v>60</v>
      </c>
      <c r="H602" t="s">
        <v>99</v>
      </c>
      <c r="I602" t="s">
        <v>70</v>
      </c>
      <c r="J602">
        <v>832</v>
      </c>
      <c r="K602">
        <v>2</v>
      </c>
      <c r="L602" t="s">
        <v>71</v>
      </c>
      <c r="M602">
        <v>20</v>
      </c>
      <c r="N602">
        <v>45.8</v>
      </c>
      <c r="O602">
        <v>73.400000000000006</v>
      </c>
      <c r="P602">
        <v>6.21</v>
      </c>
      <c r="Q602">
        <v>3.74</v>
      </c>
      <c r="R602" t="s">
        <v>280</v>
      </c>
      <c r="S602" t="s">
        <v>39</v>
      </c>
      <c r="T602" t="s">
        <v>30</v>
      </c>
    </row>
    <row r="603" spans="1:20" x14ac:dyDescent="0.3">
      <c r="A603">
        <v>10758</v>
      </c>
      <c r="B603" s="2">
        <v>45867</v>
      </c>
      <c r="C603" t="s">
        <v>31</v>
      </c>
      <c r="D603" t="s">
        <v>32</v>
      </c>
      <c r="E603" t="s">
        <v>22</v>
      </c>
      <c r="F603" t="s">
        <v>23</v>
      </c>
      <c r="G603" t="s">
        <v>50</v>
      </c>
      <c r="H603" t="s">
        <v>55</v>
      </c>
      <c r="I603" t="s">
        <v>201</v>
      </c>
      <c r="J603">
        <v>1071</v>
      </c>
      <c r="K603">
        <v>15</v>
      </c>
      <c r="L603" t="s">
        <v>68</v>
      </c>
      <c r="M603">
        <v>102</v>
      </c>
      <c r="N603">
        <v>43.2</v>
      </c>
      <c r="O603">
        <v>75.400000000000006</v>
      </c>
      <c r="P603">
        <v>4.6399999999999997</v>
      </c>
      <c r="Q603">
        <v>3.21</v>
      </c>
      <c r="R603" t="s">
        <v>77</v>
      </c>
      <c r="S603" t="s">
        <v>39</v>
      </c>
      <c r="T603" t="s">
        <v>30</v>
      </c>
    </row>
    <row r="604" spans="1:20" x14ac:dyDescent="0.3">
      <c r="A604">
        <v>10040</v>
      </c>
      <c r="B604" s="2">
        <v>45916</v>
      </c>
      <c r="C604" t="s">
        <v>20</v>
      </c>
      <c r="D604" t="s">
        <v>59</v>
      </c>
      <c r="E604" t="s">
        <v>33</v>
      </c>
      <c r="F604" t="s">
        <v>41</v>
      </c>
      <c r="G604" t="s">
        <v>109</v>
      </c>
      <c r="H604" t="s">
        <v>78</v>
      </c>
      <c r="I604" t="s">
        <v>309</v>
      </c>
      <c r="J604">
        <v>539</v>
      </c>
      <c r="K604">
        <v>9</v>
      </c>
      <c r="L604" t="s">
        <v>27</v>
      </c>
      <c r="M604">
        <v>176</v>
      </c>
      <c r="N604">
        <v>46.4</v>
      </c>
      <c r="O604">
        <v>63.9</v>
      </c>
      <c r="P604">
        <v>7.11</v>
      </c>
      <c r="Q604">
        <v>2.14</v>
      </c>
      <c r="R604" t="s">
        <v>130</v>
      </c>
      <c r="S604" t="s">
        <v>29</v>
      </c>
      <c r="T604" t="s">
        <v>30</v>
      </c>
    </row>
    <row r="605" spans="1:20" x14ac:dyDescent="0.3">
      <c r="A605">
        <v>10543</v>
      </c>
      <c r="B605" s="2">
        <v>45863</v>
      </c>
      <c r="C605" t="s">
        <v>49</v>
      </c>
      <c r="D605" t="s">
        <v>64</v>
      </c>
      <c r="E605" t="s">
        <v>107</v>
      </c>
      <c r="F605" t="s">
        <v>23</v>
      </c>
      <c r="G605" t="s">
        <v>54</v>
      </c>
      <c r="H605" t="s">
        <v>96</v>
      </c>
      <c r="I605" t="s">
        <v>187</v>
      </c>
      <c r="J605">
        <v>1494</v>
      </c>
      <c r="K605">
        <v>11</v>
      </c>
      <c r="L605" t="s">
        <v>45</v>
      </c>
      <c r="M605">
        <v>87</v>
      </c>
      <c r="N605">
        <v>55.9</v>
      </c>
      <c r="O605">
        <v>73.3</v>
      </c>
      <c r="P605">
        <v>4.4400000000000004</v>
      </c>
      <c r="Q605">
        <v>4.8499999999999996</v>
      </c>
      <c r="R605" t="s">
        <v>77</v>
      </c>
      <c r="S605" t="s">
        <v>47</v>
      </c>
      <c r="T605" t="s">
        <v>30</v>
      </c>
    </row>
    <row r="606" spans="1:20" x14ac:dyDescent="0.3">
      <c r="A606">
        <v>10243</v>
      </c>
      <c r="B606" s="2">
        <v>45688</v>
      </c>
      <c r="C606" t="s">
        <v>20</v>
      </c>
      <c r="D606" t="s">
        <v>64</v>
      </c>
      <c r="E606" t="s">
        <v>40</v>
      </c>
      <c r="F606" t="s">
        <v>81</v>
      </c>
      <c r="G606" t="s">
        <v>60</v>
      </c>
      <c r="H606" t="s">
        <v>192</v>
      </c>
      <c r="I606" t="s">
        <v>308</v>
      </c>
      <c r="J606">
        <v>826</v>
      </c>
      <c r="K606">
        <v>6</v>
      </c>
      <c r="L606" t="s">
        <v>71</v>
      </c>
      <c r="M606">
        <v>136</v>
      </c>
      <c r="N606">
        <v>37.6</v>
      </c>
      <c r="O606">
        <v>63.9</v>
      </c>
      <c r="P606">
        <v>4.09</v>
      </c>
      <c r="Q606">
        <v>1.69</v>
      </c>
      <c r="R606" t="s">
        <v>267</v>
      </c>
      <c r="S606" t="s">
        <v>73</v>
      </c>
      <c r="T606" t="s">
        <v>30</v>
      </c>
    </row>
    <row r="607" spans="1:20" x14ac:dyDescent="0.3">
      <c r="A607">
        <v>10137</v>
      </c>
      <c r="B607" s="2">
        <v>45708</v>
      </c>
      <c r="C607" t="s">
        <v>49</v>
      </c>
      <c r="D607" t="s">
        <v>59</v>
      </c>
      <c r="E607" t="s">
        <v>40</v>
      </c>
      <c r="F607" t="s">
        <v>23</v>
      </c>
      <c r="G607" t="s">
        <v>109</v>
      </c>
      <c r="H607" t="s">
        <v>55</v>
      </c>
      <c r="I607" t="s">
        <v>357</v>
      </c>
      <c r="J607">
        <v>1006</v>
      </c>
      <c r="K607">
        <v>7</v>
      </c>
      <c r="L607" t="s">
        <v>37</v>
      </c>
      <c r="M607">
        <v>126</v>
      </c>
      <c r="N607">
        <v>46.9</v>
      </c>
      <c r="O607">
        <v>69.3</v>
      </c>
      <c r="P607">
        <v>6.14</v>
      </c>
      <c r="Q607">
        <v>3.21</v>
      </c>
      <c r="R607" t="s">
        <v>240</v>
      </c>
      <c r="S607" t="s">
        <v>73</v>
      </c>
      <c r="T607" t="s">
        <v>30</v>
      </c>
    </row>
    <row r="608" spans="1:20" x14ac:dyDescent="0.3">
      <c r="A608">
        <v>11197</v>
      </c>
      <c r="B608" s="2">
        <v>45945</v>
      </c>
      <c r="C608" t="s">
        <v>31</v>
      </c>
      <c r="D608" t="s">
        <v>64</v>
      </c>
      <c r="E608" t="s">
        <v>40</v>
      </c>
      <c r="F608" t="s">
        <v>23</v>
      </c>
      <c r="G608" t="s">
        <v>34</v>
      </c>
      <c r="H608" t="s">
        <v>93</v>
      </c>
      <c r="I608" t="s">
        <v>330</v>
      </c>
      <c r="J608">
        <v>1465</v>
      </c>
      <c r="K608">
        <v>37</v>
      </c>
      <c r="L608" t="s">
        <v>45</v>
      </c>
      <c r="M608">
        <v>137</v>
      </c>
      <c r="N608">
        <v>43.5</v>
      </c>
      <c r="P608">
        <v>6.43</v>
      </c>
      <c r="Q608">
        <v>4.45</v>
      </c>
      <c r="R608" t="s">
        <v>222</v>
      </c>
      <c r="S608" t="s">
        <v>29</v>
      </c>
      <c r="T608" t="s">
        <v>30</v>
      </c>
    </row>
    <row r="609" spans="1:20" x14ac:dyDescent="0.3">
      <c r="A609">
        <v>10809</v>
      </c>
      <c r="B609" s="2">
        <v>45718</v>
      </c>
      <c r="C609" t="s">
        <v>31</v>
      </c>
      <c r="D609" t="s">
        <v>59</v>
      </c>
      <c r="E609" t="s">
        <v>107</v>
      </c>
      <c r="F609" t="s">
        <v>23</v>
      </c>
      <c r="G609" t="s">
        <v>134</v>
      </c>
      <c r="H609" t="s">
        <v>192</v>
      </c>
      <c r="I609" t="s">
        <v>380</v>
      </c>
      <c r="J609">
        <v>976</v>
      </c>
      <c r="K609">
        <v>17</v>
      </c>
      <c r="L609" t="s">
        <v>68</v>
      </c>
      <c r="M609">
        <v>171</v>
      </c>
      <c r="N609">
        <v>40.4</v>
      </c>
      <c r="O609">
        <v>77.2</v>
      </c>
      <c r="P609">
        <v>4.84</v>
      </c>
      <c r="Q609">
        <v>4.6900000000000004</v>
      </c>
      <c r="R609" t="s">
        <v>183</v>
      </c>
      <c r="S609" t="s">
        <v>39</v>
      </c>
      <c r="T609" t="s">
        <v>30</v>
      </c>
    </row>
    <row r="610" spans="1:20" x14ac:dyDescent="0.3">
      <c r="A610">
        <v>10782</v>
      </c>
      <c r="B610" s="2">
        <v>45798</v>
      </c>
      <c r="C610" t="s">
        <v>31</v>
      </c>
      <c r="D610" t="s">
        <v>21</v>
      </c>
      <c r="E610" t="s">
        <v>33</v>
      </c>
      <c r="F610" t="s">
        <v>41</v>
      </c>
      <c r="G610" t="s">
        <v>89</v>
      </c>
      <c r="H610" t="s">
        <v>144</v>
      </c>
      <c r="I610" t="s">
        <v>97</v>
      </c>
      <c r="J610">
        <v>678</v>
      </c>
      <c r="K610">
        <v>4</v>
      </c>
      <c r="L610" t="s">
        <v>57</v>
      </c>
      <c r="M610">
        <v>55</v>
      </c>
      <c r="N610">
        <v>39.299999999999997</v>
      </c>
      <c r="O610">
        <v>73.599999999999994</v>
      </c>
      <c r="P610">
        <v>5.35</v>
      </c>
      <c r="Q610">
        <v>3.16</v>
      </c>
      <c r="R610" t="s">
        <v>232</v>
      </c>
      <c r="S610" t="s">
        <v>73</v>
      </c>
      <c r="T610" t="s">
        <v>30</v>
      </c>
    </row>
    <row r="611" spans="1:20" x14ac:dyDescent="0.3">
      <c r="A611">
        <v>11495</v>
      </c>
      <c r="B611" s="2">
        <v>45667</v>
      </c>
      <c r="C611" t="s">
        <v>199</v>
      </c>
      <c r="D611" t="s">
        <v>32</v>
      </c>
      <c r="E611" t="s">
        <v>107</v>
      </c>
      <c r="F611" t="s">
        <v>81</v>
      </c>
      <c r="G611" t="s">
        <v>42</v>
      </c>
      <c r="H611" t="s">
        <v>200</v>
      </c>
      <c r="I611" t="s">
        <v>381</v>
      </c>
      <c r="J611">
        <v>1578</v>
      </c>
      <c r="K611">
        <v>19</v>
      </c>
      <c r="L611" t="s">
        <v>27</v>
      </c>
      <c r="M611">
        <v>130</v>
      </c>
      <c r="N611">
        <v>39</v>
      </c>
      <c r="O611">
        <v>67.8</v>
      </c>
      <c r="P611">
        <v>4.43</v>
      </c>
      <c r="Q611">
        <v>2.21</v>
      </c>
      <c r="R611" t="s">
        <v>152</v>
      </c>
      <c r="S611" t="s">
        <v>29</v>
      </c>
      <c r="T611" t="s">
        <v>30</v>
      </c>
    </row>
    <row r="612" spans="1:20" x14ac:dyDescent="0.3">
      <c r="A612">
        <v>11138</v>
      </c>
      <c r="B612" s="2">
        <v>45698</v>
      </c>
      <c r="C612" t="s">
        <v>20</v>
      </c>
      <c r="D612" t="s">
        <v>64</v>
      </c>
      <c r="E612" t="s">
        <v>33</v>
      </c>
      <c r="F612" t="s">
        <v>81</v>
      </c>
      <c r="G612" t="s">
        <v>109</v>
      </c>
      <c r="H612" t="s">
        <v>193</v>
      </c>
      <c r="I612" t="s">
        <v>97</v>
      </c>
      <c r="J612">
        <v>1338</v>
      </c>
      <c r="K612">
        <v>17</v>
      </c>
      <c r="L612" t="s">
        <v>68</v>
      </c>
      <c r="M612">
        <v>150</v>
      </c>
      <c r="N612">
        <v>42.5</v>
      </c>
      <c r="O612">
        <v>80.900000000000006</v>
      </c>
      <c r="P612">
        <v>5.38</v>
      </c>
      <c r="Q612">
        <v>1.78</v>
      </c>
      <c r="R612" t="s">
        <v>186</v>
      </c>
      <c r="S612" t="s">
        <v>29</v>
      </c>
      <c r="T612" t="s">
        <v>30</v>
      </c>
    </row>
    <row r="613" spans="1:20" x14ac:dyDescent="0.3">
      <c r="A613">
        <v>11378</v>
      </c>
      <c r="B613" s="2">
        <v>45937</v>
      </c>
      <c r="C613" t="s">
        <v>20</v>
      </c>
      <c r="D613" t="s">
        <v>59</v>
      </c>
      <c r="E613" t="s">
        <v>40</v>
      </c>
      <c r="F613" t="s">
        <v>81</v>
      </c>
      <c r="G613" t="s">
        <v>109</v>
      </c>
      <c r="H613" t="s">
        <v>141</v>
      </c>
      <c r="I613" t="s">
        <v>353</v>
      </c>
      <c r="J613">
        <v>452</v>
      </c>
      <c r="K613">
        <v>2</v>
      </c>
      <c r="L613" t="s">
        <v>27</v>
      </c>
      <c r="M613">
        <v>75</v>
      </c>
      <c r="N613">
        <v>32.6</v>
      </c>
      <c r="O613">
        <v>79.599999999999994</v>
      </c>
      <c r="P613">
        <v>4.7300000000000004</v>
      </c>
      <c r="Q613">
        <v>2.79</v>
      </c>
      <c r="R613" t="s">
        <v>92</v>
      </c>
      <c r="T613" t="s">
        <v>30</v>
      </c>
    </row>
    <row r="614" spans="1:20" x14ac:dyDescent="0.3">
      <c r="A614">
        <v>10582</v>
      </c>
      <c r="B614" s="2">
        <v>45671</v>
      </c>
      <c r="C614" t="s">
        <v>49</v>
      </c>
      <c r="D614" t="s">
        <v>64</v>
      </c>
      <c r="E614" t="s">
        <v>107</v>
      </c>
      <c r="F614" t="s">
        <v>81</v>
      </c>
      <c r="G614" t="s">
        <v>54</v>
      </c>
      <c r="H614" t="s">
        <v>252</v>
      </c>
      <c r="I614" t="s">
        <v>359</v>
      </c>
      <c r="J614">
        <v>1058</v>
      </c>
      <c r="K614">
        <v>10</v>
      </c>
      <c r="L614" t="s">
        <v>71</v>
      </c>
      <c r="M614">
        <v>39</v>
      </c>
      <c r="N614" t="s">
        <v>382</v>
      </c>
      <c r="O614">
        <v>78.900000000000006</v>
      </c>
      <c r="P614">
        <v>4.95</v>
      </c>
      <c r="Q614">
        <v>2.5099999999999998</v>
      </c>
      <c r="R614" t="s">
        <v>105</v>
      </c>
      <c r="S614" t="s">
        <v>73</v>
      </c>
      <c r="T614" t="s">
        <v>30</v>
      </c>
    </row>
    <row r="615" spans="1:20" x14ac:dyDescent="0.3">
      <c r="A615">
        <v>11487</v>
      </c>
      <c r="B615" s="2">
        <v>45761</v>
      </c>
      <c r="C615" t="s">
        <v>31</v>
      </c>
      <c r="D615" t="s">
        <v>59</v>
      </c>
      <c r="E615" t="s">
        <v>107</v>
      </c>
      <c r="F615" t="s">
        <v>81</v>
      </c>
      <c r="G615" t="s">
        <v>54</v>
      </c>
      <c r="H615" t="s">
        <v>138</v>
      </c>
      <c r="I615" t="s">
        <v>345</v>
      </c>
      <c r="J615">
        <v>912</v>
      </c>
      <c r="K615">
        <v>5</v>
      </c>
      <c r="L615" t="s">
        <v>68</v>
      </c>
      <c r="M615">
        <v>14</v>
      </c>
      <c r="N615">
        <v>37.5</v>
      </c>
      <c r="O615">
        <v>64.8</v>
      </c>
      <c r="P615">
        <v>5.08</v>
      </c>
      <c r="Q615">
        <v>4.5599999999999996</v>
      </c>
      <c r="R615" t="s">
        <v>159</v>
      </c>
      <c r="S615" t="s">
        <v>47</v>
      </c>
      <c r="T615" t="s">
        <v>30</v>
      </c>
    </row>
    <row r="616" spans="1:20" x14ac:dyDescent="0.3">
      <c r="A616">
        <v>11168</v>
      </c>
      <c r="B616" s="2">
        <v>45842</v>
      </c>
      <c r="C616" t="s">
        <v>31</v>
      </c>
      <c r="D616" t="s">
        <v>32</v>
      </c>
      <c r="E616" t="s">
        <v>107</v>
      </c>
      <c r="F616" t="s">
        <v>41</v>
      </c>
      <c r="G616" t="s">
        <v>74</v>
      </c>
      <c r="H616" t="s">
        <v>88</v>
      </c>
      <c r="I616" t="s">
        <v>347</v>
      </c>
      <c r="J616">
        <v>570</v>
      </c>
      <c r="K616">
        <v>20</v>
      </c>
      <c r="L616" t="s">
        <v>27</v>
      </c>
      <c r="M616">
        <v>26</v>
      </c>
      <c r="N616">
        <v>48.3</v>
      </c>
      <c r="O616">
        <v>85</v>
      </c>
      <c r="P616">
        <v>5.99</v>
      </c>
      <c r="Q616">
        <v>2.87</v>
      </c>
      <c r="R616" t="s">
        <v>122</v>
      </c>
      <c r="S616" t="s">
        <v>29</v>
      </c>
      <c r="T616" t="s">
        <v>48</v>
      </c>
    </row>
    <row r="617" spans="1:20" x14ac:dyDescent="0.3">
      <c r="A617">
        <v>11401</v>
      </c>
      <c r="B617" s="2">
        <v>45878</v>
      </c>
      <c r="C617" t="s">
        <v>49</v>
      </c>
      <c r="D617" t="s">
        <v>64</v>
      </c>
      <c r="E617" t="s">
        <v>40</v>
      </c>
      <c r="F617" t="s">
        <v>23</v>
      </c>
      <c r="G617" t="s">
        <v>113</v>
      </c>
      <c r="H617" t="s">
        <v>85</v>
      </c>
      <c r="I617" t="s">
        <v>309</v>
      </c>
      <c r="J617">
        <v>479</v>
      </c>
      <c r="K617">
        <v>6</v>
      </c>
      <c r="L617" t="s">
        <v>27</v>
      </c>
      <c r="M617">
        <v>121</v>
      </c>
      <c r="N617">
        <v>41.4</v>
      </c>
      <c r="O617">
        <v>56.6</v>
      </c>
      <c r="P617">
        <v>6.43</v>
      </c>
      <c r="Q617">
        <v>1.6</v>
      </c>
      <c r="R617" t="s">
        <v>103</v>
      </c>
      <c r="S617" t="s">
        <v>73</v>
      </c>
      <c r="T617" t="s">
        <v>30</v>
      </c>
    </row>
    <row r="618" spans="1:20" x14ac:dyDescent="0.3">
      <c r="A618">
        <v>10377</v>
      </c>
      <c r="B618" s="2">
        <v>46007</v>
      </c>
      <c r="C618" t="s">
        <v>49</v>
      </c>
      <c r="D618" t="s">
        <v>21</v>
      </c>
      <c r="E618" t="s">
        <v>33</v>
      </c>
      <c r="F618" t="s">
        <v>41</v>
      </c>
      <c r="G618" t="s">
        <v>134</v>
      </c>
      <c r="H618" t="s">
        <v>43</v>
      </c>
      <c r="I618" t="s">
        <v>270</v>
      </c>
      <c r="J618">
        <v>1388</v>
      </c>
      <c r="K618">
        <v>7</v>
      </c>
      <c r="L618" t="s">
        <v>37</v>
      </c>
      <c r="M618">
        <v>85</v>
      </c>
      <c r="N618">
        <v>53</v>
      </c>
      <c r="O618">
        <v>75.7</v>
      </c>
      <c r="P618">
        <v>4</v>
      </c>
      <c r="Q618">
        <v>1.79</v>
      </c>
      <c r="R618" t="s">
        <v>147</v>
      </c>
      <c r="S618" t="s">
        <v>29</v>
      </c>
      <c r="T618" t="s">
        <v>30</v>
      </c>
    </row>
    <row r="619" spans="1:20" x14ac:dyDescent="0.3">
      <c r="A619">
        <v>10315</v>
      </c>
      <c r="B619" s="2">
        <v>45922</v>
      </c>
      <c r="C619" t="s">
        <v>49</v>
      </c>
      <c r="D619" t="s">
        <v>59</v>
      </c>
      <c r="E619" t="s">
        <v>107</v>
      </c>
      <c r="F619" t="s">
        <v>81</v>
      </c>
      <c r="G619" t="s">
        <v>60</v>
      </c>
      <c r="H619" t="s">
        <v>138</v>
      </c>
      <c r="I619" t="s">
        <v>312</v>
      </c>
      <c r="J619">
        <v>1152</v>
      </c>
      <c r="K619">
        <v>8</v>
      </c>
      <c r="L619" t="s">
        <v>27</v>
      </c>
      <c r="M619">
        <v>168</v>
      </c>
      <c r="N619">
        <v>36.799999999999997</v>
      </c>
      <c r="O619">
        <v>72.3</v>
      </c>
      <c r="P619">
        <v>5.15</v>
      </c>
      <c r="Q619">
        <v>3.05</v>
      </c>
      <c r="R619" t="s">
        <v>179</v>
      </c>
      <c r="S619" t="s">
        <v>73</v>
      </c>
      <c r="T619" t="s">
        <v>30</v>
      </c>
    </row>
    <row r="620" spans="1:20" x14ac:dyDescent="0.3">
      <c r="A620">
        <v>10443</v>
      </c>
      <c r="B620" s="2">
        <v>45803</v>
      </c>
      <c r="C620" t="s">
        <v>31</v>
      </c>
      <c r="D620" t="s">
        <v>64</v>
      </c>
      <c r="E620" t="s">
        <v>40</v>
      </c>
      <c r="F620" t="s">
        <v>41</v>
      </c>
      <c r="G620" t="s">
        <v>113</v>
      </c>
      <c r="H620" t="s">
        <v>116</v>
      </c>
      <c r="I620" t="s">
        <v>139</v>
      </c>
      <c r="J620">
        <v>1195</v>
      </c>
      <c r="K620">
        <v>70</v>
      </c>
      <c r="L620" t="s">
        <v>37</v>
      </c>
      <c r="M620">
        <v>44</v>
      </c>
      <c r="N620">
        <v>42.6</v>
      </c>
      <c r="O620">
        <v>79.8</v>
      </c>
      <c r="P620">
        <v>6.84</v>
      </c>
      <c r="Q620">
        <v>3.44</v>
      </c>
      <c r="R620" t="s">
        <v>58</v>
      </c>
      <c r="S620" t="s">
        <v>47</v>
      </c>
      <c r="T620" t="s">
        <v>48</v>
      </c>
    </row>
    <row r="621" spans="1:20" x14ac:dyDescent="0.3">
      <c r="A621">
        <v>10320</v>
      </c>
      <c r="B621" s="2">
        <v>45722</v>
      </c>
      <c r="C621" t="s">
        <v>291</v>
      </c>
      <c r="D621" t="s">
        <v>64</v>
      </c>
      <c r="E621" t="s">
        <v>40</v>
      </c>
      <c r="F621" t="s">
        <v>81</v>
      </c>
      <c r="G621" t="s">
        <v>34</v>
      </c>
      <c r="I621" t="s">
        <v>79</v>
      </c>
      <c r="J621">
        <v>955</v>
      </c>
      <c r="K621">
        <v>10</v>
      </c>
      <c r="L621" t="s">
        <v>68</v>
      </c>
      <c r="M621">
        <v>7</v>
      </c>
      <c r="N621">
        <v>36.1</v>
      </c>
      <c r="O621">
        <v>76.400000000000006</v>
      </c>
      <c r="P621">
        <v>5.17</v>
      </c>
      <c r="Q621">
        <v>1.05</v>
      </c>
      <c r="R621" t="s">
        <v>103</v>
      </c>
      <c r="S621" t="s">
        <v>73</v>
      </c>
      <c r="T621" t="s">
        <v>30</v>
      </c>
    </row>
    <row r="622" spans="1:20" x14ac:dyDescent="0.3">
      <c r="A622">
        <v>11468</v>
      </c>
      <c r="B622" s="2">
        <v>45864</v>
      </c>
      <c r="C622" t="s">
        <v>199</v>
      </c>
      <c r="D622" t="s">
        <v>32</v>
      </c>
      <c r="E622" t="s">
        <v>22</v>
      </c>
      <c r="F622" t="s">
        <v>112</v>
      </c>
      <c r="G622" t="s">
        <v>74</v>
      </c>
      <c r="H622" t="s">
        <v>265</v>
      </c>
      <c r="I622" t="s">
        <v>94</v>
      </c>
      <c r="J622">
        <v>1180</v>
      </c>
      <c r="K622">
        <v>6</v>
      </c>
      <c r="L622" t="s">
        <v>27</v>
      </c>
      <c r="M622">
        <v>32</v>
      </c>
      <c r="N622">
        <v>45.3</v>
      </c>
      <c r="O622">
        <v>63.7</v>
      </c>
      <c r="P622">
        <v>4.0599999999999996</v>
      </c>
      <c r="Q622">
        <v>3.59</v>
      </c>
      <c r="R622" t="s">
        <v>125</v>
      </c>
      <c r="S622" t="s">
        <v>73</v>
      </c>
      <c r="T622" t="s">
        <v>30</v>
      </c>
    </row>
    <row r="623" spans="1:20" x14ac:dyDescent="0.3">
      <c r="A623">
        <v>10803</v>
      </c>
      <c r="B623" s="2">
        <v>46003</v>
      </c>
      <c r="C623" t="s">
        <v>49</v>
      </c>
      <c r="D623" t="s">
        <v>21</v>
      </c>
      <c r="E623" t="s">
        <v>22</v>
      </c>
      <c r="F623" t="s">
        <v>23</v>
      </c>
      <c r="G623" t="s">
        <v>109</v>
      </c>
      <c r="H623" t="s">
        <v>172</v>
      </c>
      <c r="I623" t="s">
        <v>194</v>
      </c>
      <c r="J623">
        <v>927</v>
      </c>
      <c r="K623">
        <v>14</v>
      </c>
      <c r="L623" t="s">
        <v>68</v>
      </c>
      <c r="M623">
        <v>168</v>
      </c>
      <c r="N623">
        <v>42.5</v>
      </c>
      <c r="O623">
        <v>72.5</v>
      </c>
      <c r="P623">
        <v>5.92</v>
      </c>
      <c r="Q623">
        <v>0.93</v>
      </c>
      <c r="R623" t="s">
        <v>140</v>
      </c>
      <c r="S623" t="s">
        <v>29</v>
      </c>
      <c r="T623" t="s">
        <v>30</v>
      </c>
    </row>
    <row r="624" spans="1:20" x14ac:dyDescent="0.3">
      <c r="A624">
        <v>11141</v>
      </c>
      <c r="B624" s="2">
        <v>45980</v>
      </c>
      <c r="C624" t="s">
        <v>31</v>
      </c>
      <c r="D624" t="s">
        <v>32</v>
      </c>
      <c r="E624" t="s">
        <v>107</v>
      </c>
      <c r="F624" t="s">
        <v>81</v>
      </c>
      <c r="G624" t="s">
        <v>89</v>
      </c>
      <c r="H624" t="s">
        <v>85</v>
      </c>
      <c r="I624" t="s">
        <v>157</v>
      </c>
      <c r="J624">
        <v>594</v>
      </c>
      <c r="K624">
        <v>8</v>
      </c>
      <c r="L624" t="s">
        <v>68</v>
      </c>
      <c r="M624">
        <v>163</v>
      </c>
      <c r="N624">
        <v>51.5</v>
      </c>
      <c r="O624">
        <v>59.7</v>
      </c>
      <c r="P624">
        <v>5.28</v>
      </c>
      <c r="Q624">
        <v>0.14000000000000001</v>
      </c>
      <c r="R624" t="s">
        <v>84</v>
      </c>
      <c r="S624" t="s">
        <v>47</v>
      </c>
      <c r="T624" t="s">
        <v>30</v>
      </c>
    </row>
    <row r="625" spans="1:20" x14ac:dyDescent="0.3">
      <c r="A625">
        <v>10425</v>
      </c>
      <c r="B625" s="2">
        <v>45932</v>
      </c>
      <c r="C625" t="s">
        <v>49</v>
      </c>
      <c r="D625" t="s">
        <v>21</v>
      </c>
      <c r="E625" t="s">
        <v>33</v>
      </c>
      <c r="F625" t="s">
        <v>41</v>
      </c>
      <c r="G625" t="s">
        <v>74</v>
      </c>
      <c r="H625" t="s">
        <v>51</v>
      </c>
      <c r="I625" t="s">
        <v>315</v>
      </c>
      <c r="J625">
        <v>833</v>
      </c>
      <c r="K625">
        <v>5</v>
      </c>
      <c r="L625" t="s">
        <v>37</v>
      </c>
      <c r="M625">
        <v>93</v>
      </c>
      <c r="N625">
        <v>46.9</v>
      </c>
      <c r="O625">
        <v>67.8</v>
      </c>
      <c r="P625">
        <v>5.41</v>
      </c>
      <c r="Q625">
        <v>2.93</v>
      </c>
      <c r="R625" t="s">
        <v>103</v>
      </c>
      <c r="S625" t="s">
        <v>47</v>
      </c>
      <c r="T625" t="s">
        <v>30</v>
      </c>
    </row>
    <row r="626" spans="1:20" x14ac:dyDescent="0.3">
      <c r="A626">
        <v>10554</v>
      </c>
      <c r="B626" s="2">
        <v>45760</v>
      </c>
      <c r="C626" t="s">
        <v>20</v>
      </c>
      <c r="D626" t="s">
        <v>64</v>
      </c>
      <c r="E626" t="s">
        <v>33</v>
      </c>
      <c r="F626" t="s">
        <v>23</v>
      </c>
      <c r="G626" t="s">
        <v>50</v>
      </c>
      <c r="H626" t="s">
        <v>196</v>
      </c>
      <c r="I626" t="s">
        <v>355</v>
      </c>
      <c r="J626">
        <v>1415</v>
      </c>
      <c r="K626">
        <v>10</v>
      </c>
      <c r="L626" t="s">
        <v>37</v>
      </c>
      <c r="M626">
        <v>44</v>
      </c>
      <c r="N626">
        <v>37.1</v>
      </c>
      <c r="O626">
        <v>77.099999999999994</v>
      </c>
      <c r="P626">
        <v>5.7</v>
      </c>
      <c r="Q626">
        <v>4.63</v>
      </c>
      <c r="R626" t="s">
        <v>58</v>
      </c>
      <c r="S626" t="s">
        <v>29</v>
      </c>
      <c r="T626" t="s">
        <v>30</v>
      </c>
    </row>
    <row r="627" spans="1:20" x14ac:dyDescent="0.3">
      <c r="A627">
        <v>10595</v>
      </c>
      <c r="B627" s="2">
        <v>45968</v>
      </c>
      <c r="C627" t="s">
        <v>20</v>
      </c>
      <c r="D627" t="s">
        <v>32</v>
      </c>
      <c r="E627" t="s">
        <v>40</v>
      </c>
      <c r="F627" t="s">
        <v>112</v>
      </c>
      <c r="G627" t="s">
        <v>24</v>
      </c>
      <c r="H627" t="s">
        <v>193</v>
      </c>
      <c r="I627" t="s">
        <v>307</v>
      </c>
      <c r="J627">
        <v>1011</v>
      </c>
      <c r="K627">
        <v>20</v>
      </c>
      <c r="L627" t="s">
        <v>57</v>
      </c>
      <c r="M627">
        <v>111</v>
      </c>
      <c r="N627">
        <v>39</v>
      </c>
      <c r="O627">
        <v>82.2</v>
      </c>
      <c r="P627">
        <v>5.2</v>
      </c>
      <c r="Q627">
        <v>3.63</v>
      </c>
      <c r="R627" t="s">
        <v>216</v>
      </c>
      <c r="S627" t="s">
        <v>39</v>
      </c>
      <c r="T627" t="s">
        <v>30</v>
      </c>
    </row>
    <row r="628" spans="1:20" x14ac:dyDescent="0.3">
      <c r="A628">
        <v>10905</v>
      </c>
      <c r="B628" s="2">
        <v>45949</v>
      </c>
      <c r="C628" t="s">
        <v>20</v>
      </c>
      <c r="D628" t="s">
        <v>21</v>
      </c>
      <c r="E628" t="s">
        <v>22</v>
      </c>
      <c r="F628" t="s">
        <v>23</v>
      </c>
      <c r="G628" t="s">
        <v>109</v>
      </c>
      <c r="H628" t="s">
        <v>51</v>
      </c>
      <c r="I628" t="s">
        <v>282</v>
      </c>
      <c r="J628">
        <v>1249</v>
      </c>
      <c r="K628">
        <v>15</v>
      </c>
      <c r="L628" t="s">
        <v>71</v>
      </c>
      <c r="M628">
        <v>157</v>
      </c>
      <c r="N628">
        <v>46.4</v>
      </c>
      <c r="O628">
        <v>67.900000000000006</v>
      </c>
      <c r="P628">
        <v>4.3099999999999996</v>
      </c>
      <c r="Q628">
        <v>3.63</v>
      </c>
      <c r="R628" t="s">
        <v>63</v>
      </c>
      <c r="S628" t="s">
        <v>47</v>
      </c>
      <c r="T628" t="s">
        <v>30</v>
      </c>
    </row>
    <row r="629" spans="1:20" x14ac:dyDescent="0.3">
      <c r="A629">
        <v>10918</v>
      </c>
      <c r="B629" s="2">
        <v>45709</v>
      </c>
      <c r="C629" t="s">
        <v>20</v>
      </c>
      <c r="D629" t="s">
        <v>59</v>
      </c>
      <c r="E629" t="s">
        <v>40</v>
      </c>
      <c r="F629" t="s">
        <v>23</v>
      </c>
      <c r="G629" t="s">
        <v>89</v>
      </c>
      <c r="H629" t="s">
        <v>96</v>
      </c>
      <c r="I629" t="s">
        <v>194</v>
      </c>
      <c r="J629">
        <v>770</v>
      </c>
      <c r="K629">
        <v>45</v>
      </c>
      <c r="L629" t="s">
        <v>37</v>
      </c>
      <c r="M629">
        <v>167</v>
      </c>
      <c r="N629">
        <v>42.1</v>
      </c>
      <c r="O629">
        <v>76.7</v>
      </c>
      <c r="P629">
        <v>3.76</v>
      </c>
      <c r="Q629">
        <v>3.9</v>
      </c>
      <c r="R629" t="s">
        <v>84</v>
      </c>
      <c r="S629" t="s">
        <v>39</v>
      </c>
      <c r="T629" t="s">
        <v>48</v>
      </c>
    </row>
    <row r="630" spans="1:20" x14ac:dyDescent="0.3">
      <c r="A630">
        <v>11213</v>
      </c>
      <c r="B630" s="2">
        <v>45916</v>
      </c>
      <c r="C630" t="s">
        <v>49</v>
      </c>
      <c r="D630" t="s">
        <v>21</v>
      </c>
      <c r="E630" t="s">
        <v>107</v>
      </c>
      <c r="F630" t="s">
        <v>81</v>
      </c>
      <c r="G630" t="s">
        <v>34</v>
      </c>
      <c r="H630" t="s">
        <v>252</v>
      </c>
      <c r="I630" t="s">
        <v>366</v>
      </c>
      <c r="J630">
        <v>564</v>
      </c>
      <c r="K630">
        <v>6</v>
      </c>
      <c r="L630" t="s">
        <v>68</v>
      </c>
      <c r="M630">
        <v>14</v>
      </c>
      <c r="N630">
        <v>35</v>
      </c>
      <c r="O630">
        <v>83</v>
      </c>
      <c r="P630">
        <v>6.08</v>
      </c>
      <c r="Q630">
        <v>0.56000000000000005</v>
      </c>
      <c r="R630" t="s">
        <v>84</v>
      </c>
      <c r="S630" t="s">
        <v>47</v>
      </c>
      <c r="T630" t="s">
        <v>30</v>
      </c>
    </row>
    <row r="631" spans="1:20" x14ac:dyDescent="0.3">
      <c r="A631">
        <v>11228</v>
      </c>
      <c r="B631" s="2">
        <v>45947</v>
      </c>
      <c r="C631" t="s">
        <v>49</v>
      </c>
      <c r="D631" t="s">
        <v>64</v>
      </c>
      <c r="E631" t="s">
        <v>22</v>
      </c>
      <c r="F631" t="s">
        <v>41</v>
      </c>
      <c r="G631" t="s">
        <v>54</v>
      </c>
      <c r="H631" t="s">
        <v>138</v>
      </c>
      <c r="I631" t="s">
        <v>211</v>
      </c>
      <c r="J631">
        <v>1033</v>
      </c>
      <c r="K631">
        <v>6</v>
      </c>
      <c r="L631" t="s">
        <v>68</v>
      </c>
      <c r="M631">
        <v>161</v>
      </c>
      <c r="N631">
        <v>35.799999999999997</v>
      </c>
      <c r="O631">
        <v>57</v>
      </c>
      <c r="P631">
        <v>4.25</v>
      </c>
      <c r="Q631">
        <v>0.87</v>
      </c>
      <c r="R631" t="s">
        <v>186</v>
      </c>
      <c r="S631" t="s">
        <v>29</v>
      </c>
      <c r="T631" t="s">
        <v>30</v>
      </c>
    </row>
    <row r="632" spans="1:20" x14ac:dyDescent="0.3">
      <c r="A632">
        <v>11342</v>
      </c>
      <c r="B632" s="2">
        <v>45672</v>
      </c>
      <c r="C632" t="s">
        <v>49</v>
      </c>
      <c r="D632" t="s">
        <v>32</v>
      </c>
      <c r="E632" t="s">
        <v>107</v>
      </c>
      <c r="F632" t="s">
        <v>41</v>
      </c>
      <c r="G632" t="s">
        <v>113</v>
      </c>
      <c r="H632" t="s">
        <v>35</v>
      </c>
      <c r="I632" t="s">
        <v>86</v>
      </c>
      <c r="J632">
        <v>496</v>
      </c>
      <c r="K632">
        <v>5</v>
      </c>
      <c r="L632" t="s">
        <v>68</v>
      </c>
      <c r="M632">
        <v>49</v>
      </c>
      <c r="N632">
        <v>33.299999999999997</v>
      </c>
      <c r="O632">
        <v>72</v>
      </c>
      <c r="P632">
        <v>8.52</v>
      </c>
      <c r="Q632">
        <v>1.89</v>
      </c>
      <c r="R632" t="s">
        <v>84</v>
      </c>
      <c r="S632" t="s">
        <v>73</v>
      </c>
      <c r="T632" t="s">
        <v>30</v>
      </c>
    </row>
    <row r="633" spans="1:20" x14ac:dyDescent="0.3">
      <c r="A633">
        <v>10228</v>
      </c>
      <c r="B633" s="2">
        <v>45947</v>
      </c>
      <c r="C633" t="s">
        <v>20</v>
      </c>
      <c r="D633" t="s">
        <v>59</v>
      </c>
      <c r="E633" t="s">
        <v>22</v>
      </c>
      <c r="F633" t="s">
        <v>23</v>
      </c>
      <c r="G633" t="s">
        <v>50</v>
      </c>
      <c r="H633" t="s">
        <v>190</v>
      </c>
      <c r="I633" t="s">
        <v>91</v>
      </c>
      <c r="J633">
        <v>1365</v>
      </c>
      <c r="K633">
        <v>14</v>
      </c>
      <c r="L633" t="s">
        <v>68</v>
      </c>
      <c r="M633">
        <v>163</v>
      </c>
      <c r="N633">
        <v>48.3</v>
      </c>
      <c r="O633">
        <v>86.6</v>
      </c>
      <c r="P633">
        <v>4.87</v>
      </c>
      <c r="Q633">
        <v>3.58</v>
      </c>
      <c r="R633" t="s">
        <v>202</v>
      </c>
      <c r="S633" t="s">
        <v>29</v>
      </c>
      <c r="T633" t="s">
        <v>30</v>
      </c>
    </row>
    <row r="634" spans="1:20" x14ac:dyDescent="0.3">
      <c r="A634">
        <v>10723</v>
      </c>
      <c r="B634" s="2">
        <v>45957</v>
      </c>
      <c r="C634" t="s">
        <v>31</v>
      </c>
      <c r="D634" t="s">
        <v>32</v>
      </c>
      <c r="E634" t="s">
        <v>22</v>
      </c>
      <c r="F634" t="s">
        <v>274</v>
      </c>
      <c r="G634" t="s">
        <v>54</v>
      </c>
      <c r="H634" t="s">
        <v>51</v>
      </c>
      <c r="I634" t="s">
        <v>206</v>
      </c>
      <c r="J634">
        <v>480</v>
      </c>
      <c r="K634">
        <v>5</v>
      </c>
      <c r="L634" t="s">
        <v>37</v>
      </c>
      <c r="M634">
        <v>38</v>
      </c>
      <c r="N634">
        <v>46.6</v>
      </c>
      <c r="O634">
        <v>66</v>
      </c>
      <c r="P634">
        <v>5.39</v>
      </c>
      <c r="Q634">
        <v>4.3099999999999996</v>
      </c>
      <c r="R634" t="s">
        <v>72</v>
      </c>
      <c r="S634" t="s">
        <v>73</v>
      </c>
      <c r="T634" t="s">
        <v>30</v>
      </c>
    </row>
    <row r="635" spans="1:20" x14ac:dyDescent="0.3">
      <c r="A635">
        <v>10820</v>
      </c>
      <c r="B635" s="2">
        <v>45972</v>
      </c>
      <c r="C635" t="s">
        <v>20</v>
      </c>
      <c r="D635" t="s">
        <v>64</v>
      </c>
      <c r="E635" t="s">
        <v>22</v>
      </c>
      <c r="F635" t="s">
        <v>81</v>
      </c>
      <c r="G635" t="s">
        <v>54</v>
      </c>
      <c r="H635" t="s">
        <v>141</v>
      </c>
      <c r="I635" t="s">
        <v>340</v>
      </c>
      <c r="J635">
        <v>1504</v>
      </c>
      <c r="K635">
        <v>6</v>
      </c>
      <c r="L635" t="s">
        <v>45</v>
      </c>
      <c r="M635">
        <v>145</v>
      </c>
      <c r="N635">
        <v>43</v>
      </c>
      <c r="O635">
        <v>56.1</v>
      </c>
      <c r="P635">
        <v>5.65</v>
      </c>
      <c r="Q635">
        <v>2.36</v>
      </c>
      <c r="R635" t="s">
        <v>243</v>
      </c>
      <c r="S635" t="s">
        <v>39</v>
      </c>
      <c r="T635" t="s">
        <v>30</v>
      </c>
    </row>
    <row r="636" spans="1:20" x14ac:dyDescent="0.3">
      <c r="A636">
        <v>10991</v>
      </c>
      <c r="B636" s="2">
        <v>45795</v>
      </c>
      <c r="C636" t="s">
        <v>49</v>
      </c>
      <c r="D636" t="s">
        <v>59</v>
      </c>
      <c r="E636" t="s">
        <v>40</v>
      </c>
      <c r="F636" t="s">
        <v>23</v>
      </c>
      <c r="G636" t="s">
        <v>113</v>
      </c>
      <c r="H636" t="s">
        <v>192</v>
      </c>
      <c r="I636" t="s">
        <v>305</v>
      </c>
      <c r="J636">
        <v>1440</v>
      </c>
      <c r="K636">
        <v>12</v>
      </c>
      <c r="L636" t="s">
        <v>37</v>
      </c>
      <c r="M636">
        <v>121</v>
      </c>
      <c r="N636">
        <v>43.5</v>
      </c>
      <c r="O636">
        <v>68.8</v>
      </c>
      <c r="P636">
        <v>4.37</v>
      </c>
      <c r="Q636">
        <v>1.94</v>
      </c>
      <c r="R636" t="s">
        <v>84</v>
      </c>
      <c r="S636" t="s">
        <v>29</v>
      </c>
      <c r="T636" t="s">
        <v>30</v>
      </c>
    </row>
    <row r="637" spans="1:20" x14ac:dyDescent="0.3">
      <c r="A637">
        <v>11099</v>
      </c>
      <c r="B637" s="2">
        <v>45997</v>
      </c>
      <c r="C637" t="s">
        <v>49</v>
      </c>
      <c r="D637" t="s">
        <v>21</v>
      </c>
      <c r="E637" t="s">
        <v>107</v>
      </c>
      <c r="F637" t="s">
        <v>23</v>
      </c>
      <c r="G637" t="s">
        <v>60</v>
      </c>
      <c r="H637" t="s">
        <v>177</v>
      </c>
      <c r="I637" t="s">
        <v>358</v>
      </c>
      <c r="J637">
        <v>619</v>
      </c>
      <c r="K637">
        <v>9</v>
      </c>
      <c r="L637" t="s">
        <v>37</v>
      </c>
      <c r="M637">
        <v>86</v>
      </c>
      <c r="N637">
        <v>33.6</v>
      </c>
      <c r="O637">
        <v>66.7</v>
      </c>
      <c r="P637">
        <v>5.13</v>
      </c>
      <c r="Q637">
        <v>4.8</v>
      </c>
      <c r="R637" t="s">
        <v>84</v>
      </c>
      <c r="S637" t="s">
        <v>29</v>
      </c>
      <c r="T637" t="s">
        <v>30</v>
      </c>
    </row>
    <row r="638" spans="1:20" x14ac:dyDescent="0.3">
      <c r="A638">
        <v>10067</v>
      </c>
      <c r="B638" s="2">
        <v>45669</v>
      </c>
      <c r="C638" t="s">
        <v>49</v>
      </c>
      <c r="D638" t="s">
        <v>64</v>
      </c>
      <c r="E638" t="s">
        <v>33</v>
      </c>
      <c r="F638" t="s">
        <v>41</v>
      </c>
      <c r="G638" t="s">
        <v>74</v>
      </c>
      <c r="H638" t="s">
        <v>93</v>
      </c>
      <c r="I638" t="s">
        <v>83</v>
      </c>
      <c r="J638">
        <v>727</v>
      </c>
      <c r="K638">
        <v>10</v>
      </c>
      <c r="L638" t="s">
        <v>45</v>
      </c>
      <c r="M638">
        <v>54</v>
      </c>
      <c r="N638">
        <v>56.1</v>
      </c>
      <c r="O638">
        <v>66.099999999999994</v>
      </c>
      <c r="P638">
        <v>3.84</v>
      </c>
      <c r="Q638">
        <v>4.32</v>
      </c>
      <c r="R638" t="s">
        <v>167</v>
      </c>
      <c r="S638" t="s">
        <v>39</v>
      </c>
      <c r="T638" t="s">
        <v>30</v>
      </c>
    </row>
    <row r="639" spans="1:20" x14ac:dyDescent="0.3">
      <c r="A639">
        <v>10394</v>
      </c>
      <c r="B639" s="2">
        <v>45985</v>
      </c>
      <c r="C639" t="s">
        <v>20</v>
      </c>
      <c r="D639" t="s">
        <v>59</v>
      </c>
      <c r="E639" t="s">
        <v>22</v>
      </c>
      <c r="F639" t="s">
        <v>81</v>
      </c>
      <c r="G639" t="s">
        <v>50</v>
      </c>
      <c r="H639" t="s">
        <v>131</v>
      </c>
      <c r="I639" t="s">
        <v>281</v>
      </c>
      <c r="J639">
        <v>1434</v>
      </c>
      <c r="K639">
        <v>9</v>
      </c>
      <c r="L639" t="s">
        <v>45</v>
      </c>
      <c r="M639">
        <v>65</v>
      </c>
      <c r="N639">
        <v>33.5</v>
      </c>
      <c r="O639">
        <v>71.2</v>
      </c>
      <c r="P639">
        <v>4.57</v>
      </c>
      <c r="Q639">
        <v>1.94</v>
      </c>
      <c r="R639" t="s">
        <v>84</v>
      </c>
      <c r="S639" t="s">
        <v>29</v>
      </c>
      <c r="T639" t="s">
        <v>30</v>
      </c>
    </row>
    <row r="640" spans="1:20" x14ac:dyDescent="0.3">
      <c r="A640">
        <v>10580</v>
      </c>
      <c r="B640" s="2">
        <v>45938</v>
      </c>
      <c r="C640" t="s">
        <v>49</v>
      </c>
      <c r="D640" t="s">
        <v>59</v>
      </c>
      <c r="E640" t="s">
        <v>33</v>
      </c>
      <c r="F640" t="s">
        <v>81</v>
      </c>
      <c r="G640" t="s">
        <v>50</v>
      </c>
      <c r="H640" t="s">
        <v>55</v>
      </c>
      <c r="I640" t="s">
        <v>354</v>
      </c>
      <c r="J640">
        <v>927</v>
      </c>
      <c r="K640">
        <v>9</v>
      </c>
      <c r="L640" t="s">
        <v>68</v>
      </c>
      <c r="M640" t="s">
        <v>383</v>
      </c>
      <c r="N640">
        <v>50.9</v>
      </c>
      <c r="O640">
        <v>70.599999999999994</v>
      </c>
      <c r="P640">
        <v>7.77</v>
      </c>
      <c r="Q640">
        <v>1.91</v>
      </c>
      <c r="R640" t="s">
        <v>38</v>
      </c>
      <c r="S640" t="s">
        <v>39</v>
      </c>
      <c r="T640" t="s">
        <v>30</v>
      </c>
    </row>
    <row r="641" spans="1:20" x14ac:dyDescent="0.3">
      <c r="A641">
        <v>11001</v>
      </c>
      <c r="B641" s="2">
        <v>45745</v>
      </c>
      <c r="C641" t="s">
        <v>49</v>
      </c>
      <c r="D641" t="s">
        <v>64</v>
      </c>
      <c r="E641" t="s">
        <v>40</v>
      </c>
      <c r="F641" t="s">
        <v>41</v>
      </c>
      <c r="G641" t="s">
        <v>89</v>
      </c>
      <c r="H641" t="s">
        <v>175</v>
      </c>
      <c r="I641" t="s">
        <v>290</v>
      </c>
      <c r="J641">
        <v>651</v>
      </c>
      <c r="K641">
        <v>21</v>
      </c>
      <c r="L641" t="s">
        <v>45</v>
      </c>
      <c r="M641">
        <v>50</v>
      </c>
      <c r="N641">
        <v>39</v>
      </c>
      <c r="O641">
        <v>76.5</v>
      </c>
      <c r="P641">
        <v>4.75</v>
      </c>
      <c r="Q641">
        <v>3.54</v>
      </c>
      <c r="R641" t="s">
        <v>128</v>
      </c>
      <c r="S641" t="s">
        <v>47</v>
      </c>
      <c r="T641" t="s">
        <v>48</v>
      </c>
    </row>
    <row r="642" spans="1:20" x14ac:dyDescent="0.3">
      <c r="A642">
        <v>10212</v>
      </c>
      <c r="B642" s="2">
        <v>45903</v>
      </c>
      <c r="C642" t="s">
        <v>20</v>
      </c>
      <c r="D642" t="s">
        <v>59</v>
      </c>
      <c r="E642" t="s">
        <v>33</v>
      </c>
      <c r="F642" t="s">
        <v>81</v>
      </c>
      <c r="G642" t="s">
        <v>109</v>
      </c>
      <c r="H642" t="s">
        <v>200</v>
      </c>
      <c r="I642" t="s">
        <v>225</v>
      </c>
      <c r="J642">
        <v>883</v>
      </c>
      <c r="K642">
        <v>12</v>
      </c>
      <c r="L642" t="s">
        <v>45</v>
      </c>
      <c r="M642">
        <v>120</v>
      </c>
      <c r="N642">
        <v>44.5</v>
      </c>
      <c r="O642">
        <v>67.400000000000006</v>
      </c>
      <c r="P642">
        <v>3.74</v>
      </c>
      <c r="Q642">
        <v>3.1</v>
      </c>
      <c r="R642" t="s">
        <v>122</v>
      </c>
      <c r="S642" t="s">
        <v>29</v>
      </c>
      <c r="T642" t="s">
        <v>30</v>
      </c>
    </row>
    <row r="643" spans="1:20" x14ac:dyDescent="0.3">
      <c r="A643">
        <v>11169</v>
      </c>
      <c r="B643" s="2">
        <v>46015</v>
      </c>
      <c r="C643" t="s">
        <v>31</v>
      </c>
      <c r="D643" t="s">
        <v>59</v>
      </c>
      <c r="E643" t="s">
        <v>22</v>
      </c>
      <c r="F643" t="s">
        <v>41</v>
      </c>
      <c r="G643" t="s">
        <v>34</v>
      </c>
      <c r="H643" t="s">
        <v>123</v>
      </c>
      <c r="I643" t="s">
        <v>273</v>
      </c>
      <c r="J643">
        <v>846</v>
      </c>
      <c r="K643">
        <v>3</v>
      </c>
      <c r="L643" t="s">
        <v>45</v>
      </c>
      <c r="M643">
        <v>70</v>
      </c>
      <c r="N643">
        <v>40.5</v>
      </c>
      <c r="O643">
        <v>87.6</v>
      </c>
      <c r="P643">
        <v>4.96</v>
      </c>
      <c r="Q643">
        <v>0.73</v>
      </c>
      <c r="R643" t="s">
        <v>128</v>
      </c>
      <c r="S643" t="s">
        <v>47</v>
      </c>
      <c r="T643" t="s">
        <v>30</v>
      </c>
    </row>
    <row r="644" spans="1:20" x14ac:dyDescent="0.3">
      <c r="A644">
        <v>11157</v>
      </c>
      <c r="B644" s="2">
        <v>45740</v>
      </c>
      <c r="C644" t="s">
        <v>49</v>
      </c>
      <c r="D644" t="s">
        <v>59</v>
      </c>
      <c r="E644" t="s">
        <v>22</v>
      </c>
      <c r="F644" t="s">
        <v>23</v>
      </c>
      <c r="G644" t="s">
        <v>50</v>
      </c>
      <c r="I644" t="s">
        <v>328</v>
      </c>
      <c r="J644">
        <v>986</v>
      </c>
      <c r="K644">
        <v>7</v>
      </c>
      <c r="L644" t="s">
        <v>37</v>
      </c>
      <c r="M644">
        <v>19</v>
      </c>
      <c r="N644">
        <v>38.9</v>
      </c>
      <c r="O644">
        <v>78.8</v>
      </c>
      <c r="P644">
        <v>6.45</v>
      </c>
      <c r="Q644">
        <v>1.89</v>
      </c>
      <c r="R644" t="s">
        <v>128</v>
      </c>
      <c r="S644" t="s">
        <v>73</v>
      </c>
      <c r="T644" t="s">
        <v>30</v>
      </c>
    </row>
    <row r="645" spans="1:20" x14ac:dyDescent="0.3">
      <c r="A645">
        <v>10537</v>
      </c>
      <c r="B645" s="2">
        <v>45748</v>
      </c>
      <c r="C645" t="s">
        <v>49</v>
      </c>
      <c r="D645" t="s">
        <v>64</v>
      </c>
      <c r="E645" t="s">
        <v>33</v>
      </c>
      <c r="F645" t="s">
        <v>81</v>
      </c>
      <c r="G645" t="s">
        <v>134</v>
      </c>
      <c r="H645" t="s">
        <v>99</v>
      </c>
      <c r="I645" t="s">
        <v>204</v>
      </c>
      <c r="J645">
        <v>763</v>
      </c>
      <c r="K645">
        <v>10</v>
      </c>
      <c r="L645" t="s">
        <v>57</v>
      </c>
      <c r="M645">
        <v>19</v>
      </c>
      <c r="N645">
        <v>35.9</v>
      </c>
      <c r="O645">
        <v>70.3</v>
      </c>
      <c r="P645">
        <v>3.97</v>
      </c>
      <c r="Q645">
        <v>1.56</v>
      </c>
      <c r="R645" t="s">
        <v>184</v>
      </c>
      <c r="S645" t="s">
        <v>39</v>
      </c>
      <c r="T645" t="s">
        <v>30</v>
      </c>
    </row>
    <row r="646" spans="1:20" x14ac:dyDescent="0.3">
      <c r="A646">
        <v>10725</v>
      </c>
      <c r="B646" s="2">
        <v>45858</v>
      </c>
      <c r="C646" t="s">
        <v>49</v>
      </c>
      <c r="D646" t="s">
        <v>59</v>
      </c>
      <c r="E646" t="s">
        <v>40</v>
      </c>
      <c r="F646" t="s">
        <v>81</v>
      </c>
      <c r="G646" t="s">
        <v>95</v>
      </c>
      <c r="H646" t="s">
        <v>69</v>
      </c>
      <c r="I646" t="s">
        <v>178</v>
      </c>
      <c r="J646">
        <v>1161</v>
      </c>
      <c r="K646">
        <v>114</v>
      </c>
      <c r="L646" t="s">
        <v>37</v>
      </c>
      <c r="M646">
        <v>138</v>
      </c>
      <c r="N646">
        <v>49.6</v>
      </c>
      <c r="O646">
        <v>72.2</v>
      </c>
      <c r="P646">
        <v>4.91</v>
      </c>
      <c r="Q646">
        <v>1.26</v>
      </c>
      <c r="R646" t="s">
        <v>137</v>
      </c>
      <c r="S646" t="s">
        <v>29</v>
      </c>
      <c r="T646" t="s">
        <v>48</v>
      </c>
    </row>
    <row r="647" spans="1:20" x14ac:dyDescent="0.3">
      <c r="A647">
        <v>10670</v>
      </c>
      <c r="B647" s="2">
        <v>45801</v>
      </c>
      <c r="C647" t="s">
        <v>49</v>
      </c>
      <c r="D647" t="s">
        <v>32</v>
      </c>
      <c r="E647" t="s">
        <v>22</v>
      </c>
      <c r="F647" t="s">
        <v>81</v>
      </c>
      <c r="G647" t="s">
        <v>34</v>
      </c>
      <c r="H647" t="s">
        <v>131</v>
      </c>
      <c r="I647" t="s">
        <v>309</v>
      </c>
      <c r="J647">
        <v>1148</v>
      </c>
      <c r="K647">
        <v>96</v>
      </c>
      <c r="L647" t="s">
        <v>27</v>
      </c>
      <c r="M647">
        <v>56</v>
      </c>
      <c r="N647">
        <v>35.4</v>
      </c>
      <c r="O647">
        <v>83.1</v>
      </c>
      <c r="P647">
        <v>5.41</v>
      </c>
      <c r="Q647">
        <v>1.65</v>
      </c>
      <c r="R647" t="s">
        <v>105</v>
      </c>
      <c r="S647" t="s">
        <v>47</v>
      </c>
      <c r="T647" t="s">
        <v>48</v>
      </c>
    </row>
    <row r="648" spans="1:20" x14ac:dyDescent="0.3">
      <c r="A648">
        <v>10086</v>
      </c>
      <c r="B648" s="2">
        <v>45815</v>
      </c>
      <c r="C648" t="s">
        <v>49</v>
      </c>
      <c r="D648" t="s">
        <v>59</v>
      </c>
      <c r="E648" t="s">
        <v>22</v>
      </c>
      <c r="F648" t="s">
        <v>81</v>
      </c>
      <c r="G648" t="s">
        <v>60</v>
      </c>
      <c r="H648" t="s">
        <v>200</v>
      </c>
      <c r="I648" t="s">
        <v>203</v>
      </c>
      <c r="J648">
        <v>943</v>
      </c>
      <c r="K648">
        <v>6</v>
      </c>
      <c r="L648" t="s">
        <v>68</v>
      </c>
      <c r="M648">
        <v>11</v>
      </c>
      <c r="N648">
        <v>35.200000000000003</v>
      </c>
      <c r="O648">
        <v>76.400000000000006</v>
      </c>
      <c r="P648">
        <v>6.68</v>
      </c>
      <c r="Q648">
        <v>3.04</v>
      </c>
      <c r="R648" t="s">
        <v>240</v>
      </c>
      <c r="S648" t="s">
        <v>29</v>
      </c>
      <c r="T648" t="s">
        <v>30</v>
      </c>
    </row>
    <row r="649" spans="1:20" x14ac:dyDescent="0.3">
      <c r="A649">
        <v>11362</v>
      </c>
      <c r="B649" s="2">
        <v>45862</v>
      </c>
      <c r="C649" t="s">
        <v>20</v>
      </c>
      <c r="D649" t="s">
        <v>59</v>
      </c>
      <c r="E649" t="s">
        <v>33</v>
      </c>
      <c r="F649" t="s">
        <v>81</v>
      </c>
      <c r="G649" t="s">
        <v>89</v>
      </c>
      <c r="H649" t="s">
        <v>75</v>
      </c>
      <c r="I649" t="s">
        <v>198</v>
      </c>
      <c r="J649">
        <v>833</v>
      </c>
      <c r="K649">
        <v>13</v>
      </c>
      <c r="L649" t="s">
        <v>68</v>
      </c>
      <c r="M649">
        <v>127</v>
      </c>
      <c r="N649">
        <v>41.4</v>
      </c>
      <c r="O649">
        <v>72.3</v>
      </c>
      <c r="P649">
        <v>4.25</v>
      </c>
      <c r="Q649">
        <v>2.73</v>
      </c>
      <c r="R649" t="s">
        <v>280</v>
      </c>
      <c r="S649" t="s">
        <v>29</v>
      </c>
      <c r="T649" t="s">
        <v>30</v>
      </c>
    </row>
    <row r="650" spans="1:20" x14ac:dyDescent="0.3">
      <c r="A650">
        <v>10273</v>
      </c>
      <c r="B650" s="2">
        <v>45786</v>
      </c>
      <c r="C650" t="s">
        <v>49</v>
      </c>
      <c r="D650" t="s">
        <v>32</v>
      </c>
      <c r="E650" t="s">
        <v>22</v>
      </c>
      <c r="F650" t="s">
        <v>23</v>
      </c>
      <c r="G650" t="s">
        <v>95</v>
      </c>
      <c r="H650" t="s">
        <v>88</v>
      </c>
      <c r="I650" t="s">
        <v>118</v>
      </c>
      <c r="J650">
        <v>883</v>
      </c>
      <c r="K650">
        <v>24</v>
      </c>
      <c r="L650" t="s">
        <v>68</v>
      </c>
      <c r="M650">
        <v>49</v>
      </c>
      <c r="N650">
        <v>37.200000000000003</v>
      </c>
      <c r="O650">
        <v>65.400000000000006</v>
      </c>
      <c r="P650">
        <v>5.84</v>
      </c>
      <c r="Q650">
        <v>3.3</v>
      </c>
      <c r="R650" t="s">
        <v>140</v>
      </c>
      <c r="S650" t="s">
        <v>73</v>
      </c>
      <c r="T650" t="s">
        <v>30</v>
      </c>
    </row>
    <row r="651" spans="1:20" x14ac:dyDescent="0.3">
      <c r="A651">
        <v>10927</v>
      </c>
      <c r="B651" s="2">
        <v>45805</v>
      </c>
      <c r="C651" t="s">
        <v>31</v>
      </c>
      <c r="D651" t="s">
        <v>59</v>
      </c>
      <c r="E651" t="s">
        <v>22</v>
      </c>
      <c r="F651" t="s">
        <v>23</v>
      </c>
      <c r="G651" t="s">
        <v>50</v>
      </c>
      <c r="H651" t="s">
        <v>169</v>
      </c>
      <c r="I651" t="s">
        <v>110</v>
      </c>
      <c r="J651">
        <v>672</v>
      </c>
      <c r="K651">
        <v>8</v>
      </c>
      <c r="L651" t="s">
        <v>68</v>
      </c>
      <c r="M651">
        <v>104</v>
      </c>
      <c r="N651">
        <v>40.700000000000003</v>
      </c>
      <c r="O651">
        <v>90.8</v>
      </c>
      <c r="P651">
        <v>5.31</v>
      </c>
      <c r="Q651">
        <v>3.97</v>
      </c>
      <c r="R651" t="s">
        <v>229</v>
      </c>
      <c r="S651" t="s">
        <v>29</v>
      </c>
      <c r="T651" t="s">
        <v>30</v>
      </c>
    </row>
    <row r="652" spans="1:20" x14ac:dyDescent="0.3">
      <c r="A652">
        <v>10669</v>
      </c>
      <c r="B652" s="2">
        <v>45982</v>
      </c>
      <c r="C652" t="s">
        <v>49</v>
      </c>
      <c r="D652" t="s">
        <v>59</v>
      </c>
      <c r="E652" t="s">
        <v>22</v>
      </c>
      <c r="F652" t="s">
        <v>23</v>
      </c>
      <c r="G652" t="s">
        <v>60</v>
      </c>
      <c r="H652" t="s">
        <v>96</v>
      </c>
      <c r="I652" t="s">
        <v>312</v>
      </c>
      <c r="J652">
        <v>484</v>
      </c>
      <c r="K652">
        <v>6</v>
      </c>
      <c r="L652" t="s">
        <v>71</v>
      </c>
      <c r="M652">
        <v>36</v>
      </c>
      <c r="N652">
        <v>37.799999999999997</v>
      </c>
      <c r="O652">
        <v>65.8</v>
      </c>
      <c r="P652">
        <v>4.6500000000000004</v>
      </c>
      <c r="Q652">
        <v>4.2699999999999996</v>
      </c>
      <c r="R652" t="s">
        <v>232</v>
      </c>
      <c r="S652" t="s">
        <v>47</v>
      </c>
      <c r="T652" t="s">
        <v>30</v>
      </c>
    </row>
    <row r="653" spans="1:20" x14ac:dyDescent="0.3">
      <c r="A653">
        <v>11363</v>
      </c>
      <c r="B653" s="2">
        <v>45721</v>
      </c>
      <c r="C653" t="s">
        <v>31</v>
      </c>
      <c r="D653" t="s">
        <v>59</v>
      </c>
      <c r="E653" t="s">
        <v>107</v>
      </c>
      <c r="F653" t="s">
        <v>41</v>
      </c>
      <c r="G653" t="s">
        <v>50</v>
      </c>
      <c r="H653" t="s">
        <v>252</v>
      </c>
      <c r="I653" t="s">
        <v>375</v>
      </c>
      <c r="J653">
        <v>1369</v>
      </c>
      <c r="K653">
        <v>11</v>
      </c>
      <c r="L653" t="s">
        <v>45</v>
      </c>
      <c r="M653">
        <v>5</v>
      </c>
      <c r="N653">
        <v>36.5</v>
      </c>
      <c r="O653">
        <v>80.2</v>
      </c>
      <c r="P653">
        <v>6.34</v>
      </c>
      <c r="Q653">
        <v>0.6</v>
      </c>
      <c r="R653" t="s">
        <v>184</v>
      </c>
      <c r="S653" t="s">
        <v>47</v>
      </c>
      <c r="T653" t="s">
        <v>30</v>
      </c>
    </row>
    <row r="654" spans="1:20" x14ac:dyDescent="0.3">
      <c r="A654">
        <v>10631</v>
      </c>
      <c r="B654" s="2">
        <v>45874</v>
      </c>
      <c r="C654" t="s">
        <v>150</v>
      </c>
      <c r="D654" t="s">
        <v>64</v>
      </c>
      <c r="E654" t="s">
        <v>107</v>
      </c>
      <c r="F654" t="s">
        <v>23</v>
      </c>
      <c r="G654" t="s">
        <v>95</v>
      </c>
      <c r="H654" t="s">
        <v>123</v>
      </c>
      <c r="I654" t="s">
        <v>322</v>
      </c>
      <c r="J654">
        <v>682</v>
      </c>
      <c r="K654">
        <v>41</v>
      </c>
      <c r="L654" t="s">
        <v>45</v>
      </c>
      <c r="M654">
        <v>23</v>
      </c>
      <c r="N654">
        <v>34.1</v>
      </c>
      <c r="O654">
        <v>88.4</v>
      </c>
      <c r="P654">
        <v>5.62</v>
      </c>
      <c r="Q654">
        <v>3.13</v>
      </c>
      <c r="R654" t="s">
        <v>140</v>
      </c>
      <c r="S654" t="s">
        <v>73</v>
      </c>
      <c r="T654" t="s">
        <v>48</v>
      </c>
    </row>
    <row r="655" spans="1:20" x14ac:dyDescent="0.3">
      <c r="A655">
        <v>11076</v>
      </c>
      <c r="B655" s="2">
        <v>45792</v>
      </c>
      <c r="C655" t="s">
        <v>49</v>
      </c>
      <c r="D655" t="s">
        <v>64</v>
      </c>
      <c r="E655" t="s">
        <v>40</v>
      </c>
      <c r="F655" t="s">
        <v>23</v>
      </c>
      <c r="G655" t="s">
        <v>113</v>
      </c>
      <c r="H655" t="s">
        <v>120</v>
      </c>
      <c r="I655" t="s">
        <v>290</v>
      </c>
      <c r="J655">
        <v>729</v>
      </c>
      <c r="K655">
        <v>25</v>
      </c>
      <c r="L655" t="s">
        <v>57</v>
      </c>
      <c r="M655">
        <v>100</v>
      </c>
      <c r="N655">
        <v>39.1</v>
      </c>
      <c r="O655">
        <v>55.6</v>
      </c>
      <c r="P655">
        <v>5</v>
      </c>
      <c r="Q655">
        <v>3.73</v>
      </c>
      <c r="R655" t="s">
        <v>243</v>
      </c>
      <c r="S655" t="s">
        <v>29</v>
      </c>
      <c r="T655" t="s">
        <v>48</v>
      </c>
    </row>
    <row r="656" spans="1:20" x14ac:dyDescent="0.3">
      <c r="A656">
        <v>11443</v>
      </c>
      <c r="B656" s="2">
        <v>46017</v>
      </c>
      <c r="C656" t="s">
        <v>20</v>
      </c>
      <c r="D656" t="s">
        <v>32</v>
      </c>
      <c r="E656" t="s">
        <v>40</v>
      </c>
      <c r="F656" t="s">
        <v>41</v>
      </c>
      <c r="G656" t="s">
        <v>74</v>
      </c>
      <c r="H656" t="s">
        <v>85</v>
      </c>
      <c r="I656" t="s">
        <v>333</v>
      </c>
      <c r="J656">
        <v>1332</v>
      </c>
      <c r="K656">
        <v>20</v>
      </c>
      <c r="L656" t="s">
        <v>57</v>
      </c>
      <c r="M656">
        <v>110</v>
      </c>
      <c r="N656">
        <v>34.6</v>
      </c>
      <c r="O656">
        <v>74.7</v>
      </c>
      <c r="P656">
        <v>3.77</v>
      </c>
      <c r="Q656">
        <v>1.81</v>
      </c>
      <c r="R656" t="s">
        <v>153</v>
      </c>
      <c r="S656" t="s">
        <v>29</v>
      </c>
      <c r="T656" t="s">
        <v>30</v>
      </c>
    </row>
    <row r="657" spans="1:20" x14ac:dyDescent="0.3">
      <c r="A657">
        <v>11008</v>
      </c>
      <c r="B657" s="2">
        <v>45982</v>
      </c>
      <c r="C657" t="s">
        <v>31</v>
      </c>
      <c r="D657" t="s">
        <v>21</v>
      </c>
      <c r="E657" t="s">
        <v>22</v>
      </c>
      <c r="F657" t="s">
        <v>23</v>
      </c>
      <c r="G657" t="s">
        <v>109</v>
      </c>
      <c r="H657" t="s">
        <v>351</v>
      </c>
      <c r="I657" t="s">
        <v>44</v>
      </c>
      <c r="J657">
        <v>1423</v>
      </c>
      <c r="K657">
        <v>18</v>
      </c>
      <c r="L657" t="s">
        <v>57</v>
      </c>
      <c r="M657">
        <v>151</v>
      </c>
      <c r="N657">
        <v>36.4</v>
      </c>
      <c r="O657">
        <v>58.7</v>
      </c>
      <c r="P657">
        <v>3.8</v>
      </c>
      <c r="Q657">
        <v>4.78</v>
      </c>
      <c r="R657" t="s">
        <v>137</v>
      </c>
      <c r="S657" t="s">
        <v>29</v>
      </c>
      <c r="T657" t="s">
        <v>30</v>
      </c>
    </row>
    <row r="658" spans="1:20" x14ac:dyDescent="0.3">
      <c r="A658">
        <v>10274</v>
      </c>
      <c r="B658" s="2">
        <v>45811</v>
      </c>
      <c r="C658" t="s">
        <v>31</v>
      </c>
      <c r="D658" t="s">
        <v>32</v>
      </c>
      <c r="E658" t="s">
        <v>40</v>
      </c>
      <c r="F658" t="s">
        <v>23</v>
      </c>
      <c r="G658" t="s">
        <v>42</v>
      </c>
      <c r="H658" t="s">
        <v>175</v>
      </c>
      <c r="I658" t="s">
        <v>211</v>
      </c>
      <c r="J658">
        <v>1542</v>
      </c>
      <c r="K658">
        <v>72</v>
      </c>
      <c r="L658" t="s">
        <v>57</v>
      </c>
      <c r="M658">
        <v>173</v>
      </c>
      <c r="N658">
        <v>50.3</v>
      </c>
      <c r="O658">
        <v>75.8</v>
      </c>
      <c r="P658">
        <v>5.04</v>
      </c>
      <c r="Q658">
        <v>2.2200000000000002</v>
      </c>
      <c r="R658" t="s">
        <v>216</v>
      </c>
      <c r="S658" t="s">
        <v>47</v>
      </c>
      <c r="T658" t="s">
        <v>48</v>
      </c>
    </row>
    <row r="659" spans="1:20" x14ac:dyDescent="0.3">
      <c r="A659">
        <v>10731</v>
      </c>
      <c r="B659" s="2">
        <v>46000</v>
      </c>
      <c r="C659" t="s">
        <v>20</v>
      </c>
      <c r="D659" t="s">
        <v>32</v>
      </c>
      <c r="E659" t="s">
        <v>33</v>
      </c>
      <c r="F659" t="s">
        <v>23</v>
      </c>
      <c r="G659" t="s">
        <v>74</v>
      </c>
      <c r="H659" t="s">
        <v>75</v>
      </c>
      <c r="I659" t="s">
        <v>132</v>
      </c>
      <c r="J659">
        <v>725</v>
      </c>
      <c r="K659">
        <v>7</v>
      </c>
      <c r="L659" t="s">
        <v>37</v>
      </c>
      <c r="M659">
        <v>99</v>
      </c>
      <c r="N659">
        <v>48.1</v>
      </c>
      <c r="O659">
        <v>65.400000000000006</v>
      </c>
      <c r="P659">
        <v>6.3</v>
      </c>
      <c r="Q659">
        <v>1.9</v>
      </c>
      <c r="R659" t="s">
        <v>111</v>
      </c>
      <c r="S659" t="s">
        <v>47</v>
      </c>
      <c r="T659" t="s">
        <v>30</v>
      </c>
    </row>
    <row r="660" spans="1:20" x14ac:dyDescent="0.3">
      <c r="A660">
        <v>10363</v>
      </c>
      <c r="B660" s="2">
        <v>45849</v>
      </c>
      <c r="C660" t="s">
        <v>31</v>
      </c>
      <c r="D660" t="s">
        <v>21</v>
      </c>
      <c r="E660" t="s">
        <v>40</v>
      </c>
      <c r="F660" t="s">
        <v>23</v>
      </c>
      <c r="G660" t="s">
        <v>109</v>
      </c>
      <c r="H660" t="s">
        <v>138</v>
      </c>
      <c r="I660" t="s">
        <v>234</v>
      </c>
      <c r="J660">
        <v>582</v>
      </c>
      <c r="K660">
        <v>4</v>
      </c>
      <c r="L660" t="s">
        <v>57</v>
      </c>
      <c r="M660">
        <v>79</v>
      </c>
      <c r="N660">
        <v>34.299999999999997</v>
      </c>
      <c r="O660">
        <v>87.7</v>
      </c>
      <c r="P660">
        <v>5.81</v>
      </c>
      <c r="Q660">
        <v>1.0900000000000001</v>
      </c>
      <c r="R660" t="s">
        <v>183</v>
      </c>
      <c r="S660" t="s">
        <v>39</v>
      </c>
      <c r="T660" t="s">
        <v>30</v>
      </c>
    </row>
    <row r="661" spans="1:20" x14ac:dyDescent="0.3">
      <c r="A661">
        <v>10623</v>
      </c>
      <c r="B661" s="2">
        <v>45946</v>
      </c>
      <c r="C661" t="s">
        <v>31</v>
      </c>
      <c r="D661" t="s">
        <v>64</v>
      </c>
      <c r="E661" t="s">
        <v>107</v>
      </c>
      <c r="F661" t="s">
        <v>41</v>
      </c>
      <c r="G661" t="s">
        <v>134</v>
      </c>
      <c r="H661" t="s">
        <v>169</v>
      </c>
      <c r="I661" t="s">
        <v>364</v>
      </c>
      <c r="J661">
        <v>656</v>
      </c>
      <c r="K661">
        <v>20</v>
      </c>
      <c r="L661" t="s">
        <v>71</v>
      </c>
      <c r="M661">
        <v>100</v>
      </c>
      <c r="N661">
        <v>52</v>
      </c>
      <c r="O661">
        <v>61.7</v>
      </c>
      <c r="P661">
        <v>6.29</v>
      </c>
      <c r="Q661">
        <v>4.2699999999999996</v>
      </c>
      <c r="R661" t="s">
        <v>28</v>
      </c>
      <c r="S661" t="s">
        <v>29</v>
      </c>
      <c r="T661" t="s">
        <v>48</v>
      </c>
    </row>
    <row r="662" spans="1:20" x14ac:dyDescent="0.3">
      <c r="A662">
        <v>10003</v>
      </c>
      <c r="B662" s="2">
        <v>45659</v>
      </c>
      <c r="C662" t="s">
        <v>49</v>
      </c>
      <c r="D662" t="s">
        <v>59</v>
      </c>
      <c r="E662" t="s">
        <v>33</v>
      </c>
      <c r="F662" t="s">
        <v>41</v>
      </c>
      <c r="G662" t="s">
        <v>74</v>
      </c>
      <c r="H662" t="s">
        <v>148</v>
      </c>
      <c r="I662" t="s">
        <v>157</v>
      </c>
      <c r="J662">
        <v>958</v>
      </c>
      <c r="K662">
        <v>12</v>
      </c>
      <c r="L662" t="s">
        <v>68</v>
      </c>
      <c r="M662">
        <v>150</v>
      </c>
      <c r="N662">
        <v>43.5</v>
      </c>
      <c r="O662">
        <v>79.099999999999994</v>
      </c>
      <c r="P662">
        <v>4.3899999999999997</v>
      </c>
      <c r="Q662">
        <v>1.06</v>
      </c>
      <c r="R662" t="s">
        <v>184</v>
      </c>
      <c r="S662" t="s">
        <v>39</v>
      </c>
      <c r="T662" t="s">
        <v>30</v>
      </c>
    </row>
    <row r="663" spans="1:20" x14ac:dyDescent="0.3">
      <c r="A663">
        <v>10007</v>
      </c>
      <c r="B663" s="2">
        <v>45701</v>
      </c>
      <c r="C663" t="s">
        <v>49</v>
      </c>
      <c r="D663" t="s">
        <v>59</v>
      </c>
      <c r="E663" t="s">
        <v>40</v>
      </c>
      <c r="F663" t="s">
        <v>23</v>
      </c>
      <c r="G663" t="s">
        <v>50</v>
      </c>
      <c r="H663" t="s">
        <v>25</v>
      </c>
      <c r="I663" t="s">
        <v>231</v>
      </c>
      <c r="J663">
        <v>1027</v>
      </c>
      <c r="K663">
        <v>10</v>
      </c>
      <c r="L663" t="s">
        <v>68</v>
      </c>
      <c r="M663">
        <v>133</v>
      </c>
      <c r="N663">
        <v>39.299999999999997</v>
      </c>
      <c r="O663">
        <v>60.3</v>
      </c>
      <c r="P663">
        <v>5.44</v>
      </c>
      <c r="Q663">
        <v>3.09</v>
      </c>
      <c r="R663" t="s">
        <v>209</v>
      </c>
      <c r="S663" t="s">
        <v>29</v>
      </c>
      <c r="T663" t="s">
        <v>30</v>
      </c>
    </row>
    <row r="664" spans="1:20" x14ac:dyDescent="0.3">
      <c r="A664">
        <v>10312</v>
      </c>
      <c r="B664" s="2">
        <v>45813</v>
      </c>
      <c r="C664" t="s">
        <v>49</v>
      </c>
      <c r="D664" t="s">
        <v>59</v>
      </c>
      <c r="E664" t="s">
        <v>22</v>
      </c>
      <c r="F664" t="s">
        <v>41</v>
      </c>
      <c r="G664" t="s">
        <v>113</v>
      </c>
      <c r="H664" t="s">
        <v>131</v>
      </c>
      <c r="I664" t="s">
        <v>366</v>
      </c>
      <c r="J664">
        <v>1137</v>
      </c>
      <c r="K664">
        <v>17</v>
      </c>
      <c r="L664" t="s">
        <v>37</v>
      </c>
      <c r="M664">
        <v>96</v>
      </c>
      <c r="N664">
        <v>43.1</v>
      </c>
      <c r="O664">
        <v>73.400000000000006</v>
      </c>
      <c r="P664">
        <v>4.67</v>
      </c>
      <c r="Q664">
        <v>3.02</v>
      </c>
      <c r="R664" t="s">
        <v>87</v>
      </c>
      <c r="S664" t="s">
        <v>39</v>
      </c>
      <c r="T664" t="s">
        <v>30</v>
      </c>
    </row>
    <row r="665" spans="1:20" x14ac:dyDescent="0.3">
      <c r="A665">
        <v>10671</v>
      </c>
      <c r="B665" s="2">
        <v>45771</v>
      </c>
      <c r="C665" t="s">
        <v>49</v>
      </c>
      <c r="D665" t="s">
        <v>32</v>
      </c>
      <c r="E665" t="s">
        <v>40</v>
      </c>
      <c r="F665" t="s">
        <v>23</v>
      </c>
      <c r="G665" t="s">
        <v>95</v>
      </c>
      <c r="H665" t="s">
        <v>351</v>
      </c>
      <c r="I665" t="s">
        <v>359</v>
      </c>
      <c r="J665">
        <v>877</v>
      </c>
      <c r="K665">
        <v>15</v>
      </c>
      <c r="L665" t="s">
        <v>45</v>
      </c>
      <c r="M665">
        <v>112</v>
      </c>
      <c r="N665">
        <v>39.4</v>
      </c>
      <c r="O665">
        <v>71.400000000000006</v>
      </c>
      <c r="P665">
        <v>5.96</v>
      </c>
      <c r="Q665">
        <v>3.46</v>
      </c>
      <c r="R665" t="s">
        <v>72</v>
      </c>
      <c r="S665" t="s">
        <v>73</v>
      </c>
      <c r="T665" t="s">
        <v>30</v>
      </c>
    </row>
    <row r="666" spans="1:20" x14ac:dyDescent="0.3">
      <c r="A666">
        <v>10950</v>
      </c>
      <c r="B666" s="2">
        <v>45903</v>
      </c>
      <c r="C666" t="s">
        <v>31</v>
      </c>
      <c r="D666" t="s">
        <v>21</v>
      </c>
      <c r="E666" t="s">
        <v>40</v>
      </c>
      <c r="F666" t="s">
        <v>23</v>
      </c>
      <c r="G666" t="s">
        <v>50</v>
      </c>
      <c r="H666" t="s">
        <v>172</v>
      </c>
      <c r="I666" t="s">
        <v>375</v>
      </c>
      <c r="J666">
        <v>545</v>
      </c>
      <c r="K666">
        <v>1</v>
      </c>
      <c r="L666" t="s">
        <v>71</v>
      </c>
      <c r="M666">
        <v>142</v>
      </c>
      <c r="N666">
        <v>55.8</v>
      </c>
      <c r="O666">
        <v>72.7</v>
      </c>
      <c r="P666">
        <v>4.82</v>
      </c>
      <c r="Q666">
        <v>1.7</v>
      </c>
      <c r="R666" t="s">
        <v>130</v>
      </c>
      <c r="S666" t="s">
        <v>73</v>
      </c>
      <c r="T666" t="s">
        <v>30</v>
      </c>
    </row>
    <row r="667" spans="1:20" x14ac:dyDescent="0.3">
      <c r="A667">
        <v>11490</v>
      </c>
      <c r="B667" s="2">
        <v>46014</v>
      </c>
      <c r="C667" t="s">
        <v>31</v>
      </c>
      <c r="D667" t="s">
        <v>32</v>
      </c>
      <c r="E667" t="s">
        <v>40</v>
      </c>
      <c r="F667" t="s">
        <v>23</v>
      </c>
      <c r="G667" t="s">
        <v>42</v>
      </c>
      <c r="H667" t="s">
        <v>101</v>
      </c>
      <c r="I667" t="s">
        <v>182</v>
      </c>
      <c r="J667">
        <v>1287</v>
      </c>
      <c r="K667">
        <v>23</v>
      </c>
      <c r="L667" t="s">
        <v>71</v>
      </c>
      <c r="M667">
        <v>23</v>
      </c>
      <c r="N667">
        <v>35.5</v>
      </c>
      <c r="O667">
        <v>72</v>
      </c>
      <c r="P667">
        <v>5.71</v>
      </c>
      <c r="Q667">
        <v>2.61</v>
      </c>
      <c r="R667" t="s">
        <v>111</v>
      </c>
      <c r="S667" t="s">
        <v>73</v>
      </c>
      <c r="T667" t="s">
        <v>30</v>
      </c>
    </row>
    <row r="668" spans="1:20" x14ac:dyDescent="0.3">
      <c r="A668">
        <v>10216</v>
      </c>
      <c r="B668" s="2">
        <v>45832</v>
      </c>
      <c r="C668" t="s">
        <v>20</v>
      </c>
      <c r="D668" t="s">
        <v>64</v>
      </c>
      <c r="E668" t="s">
        <v>33</v>
      </c>
      <c r="F668" t="s">
        <v>23</v>
      </c>
      <c r="G668" t="s">
        <v>89</v>
      </c>
      <c r="H668" t="s">
        <v>165</v>
      </c>
      <c r="I668" t="s">
        <v>375</v>
      </c>
      <c r="J668">
        <v>1143</v>
      </c>
      <c r="K668">
        <v>38</v>
      </c>
      <c r="L668" t="s">
        <v>57</v>
      </c>
      <c r="M668">
        <v>82</v>
      </c>
      <c r="N668">
        <v>42.9</v>
      </c>
      <c r="O668">
        <v>78.7</v>
      </c>
      <c r="P668">
        <v>4.96</v>
      </c>
      <c r="Q668">
        <v>2.5099999999999998</v>
      </c>
      <c r="R668" t="s">
        <v>122</v>
      </c>
      <c r="S668" t="s">
        <v>29</v>
      </c>
      <c r="T668" t="s">
        <v>48</v>
      </c>
    </row>
    <row r="669" spans="1:20" x14ac:dyDescent="0.3">
      <c r="A669">
        <v>10692</v>
      </c>
      <c r="B669" s="2">
        <v>45771</v>
      </c>
      <c r="C669" t="s">
        <v>20</v>
      </c>
      <c r="D669" t="s">
        <v>21</v>
      </c>
      <c r="E669" t="s">
        <v>40</v>
      </c>
      <c r="F669" t="s">
        <v>247</v>
      </c>
      <c r="G669" t="s">
        <v>24</v>
      </c>
      <c r="H669" t="s">
        <v>265</v>
      </c>
      <c r="I669" t="s">
        <v>224</v>
      </c>
      <c r="J669">
        <v>1294</v>
      </c>
      <c r="K669">
        <v>14</v>
      </c>
      <c r="L669" t="s">
        <v>71</v>
      </c>
      <c r="M669">
        <v>123</v>
      </c>
      <c r="N669">
        <v>41</v>
      </c>
      <c r="O669">
        <v>73.7</v>
      </c>
      <c r="P669">
        <v>5.67</v>
      </c>
      <c r="Q669">
        <v>2.87</v>
      </c>
      <c r="R669" t="s">
        <v>125</v>
      </c>
      <c r="S669" t="s">
        <v>47</v>
      </c>
      <c r="T669" t="s">
        <v>30</v>
      </c>
    </row>
    <row r="670" spans="1:20" x14ac:dyDescent="0.3">
      <c r="A670">
        <v>10028</v>
      </c>
      <c r="B670" s="2">
        <v>46005</v>
      </c>
      <c r="C670" t="s">
        <v>49</v>
      </c>
      <c r="D670" t="s">
        <v>21</v>
      </c>
      <c r="E670" t="s">
        <v>33</v>
      </c>
      <c r="F670" t="s">
        <v>23</v>
      </c>
      <c r="G670" t="s">
        <v>54</v>
      </c>
      <c r="H670" t="s">
        <v>25</v>
      </c>
      <c r="I670" t="s">
        <v>332</v>
      </c>
      <c r="J670">
        <v>1185</v>
      </c>
      <c r="K670">
        <v>3</v>
      </c>
      <c r="L670" t="s">
        <v>37</v>
      </c>
      <c r="M670">
        <v>45</v>
      </c>
      <c r="N670">
        <v>39.700000000000003</v>
      </c>
      <c r="O670">
        <v>58.7</v>
      </c>
      <c r="P670">
        <v>6.58</v>
      </c>
      <c r="Q670">
        <v>1.1599999999999999</v>
      </c>
      <c r="R670" t="s">
        <v>128</v>
      </c>
      <c r="S670" t="s">
        <v>73</v>
      </c>
      <c r="T670" t="s">
        <v>30</v>
      </c>
    </row>
    <row r="671" spans="1:20" x14ac:dyDescent="0.3">
      <c r="A671">
        <v>11089</v>
      </c>
      <c r="B671" s="2">
        <v>45851</v>
      </c>
      <c r="C671" t="s">
        <v>31</v>
      </c>
      <c r="D671" t="s">
        <v>59</v>
      </c>
      <c r="E671" t="s">
        <v>40</v>
      </c>
      <c r="F671" t="s">
        <v>23</v>
      </c>
      <c r="G671" t="s">
        <v>60</v>
      </c>
      <c r="H671" t="s">
        <v>196</v>
      </c>
      <c r="I671" t="s">
        <v>170</v>
      </c>
      <c r="J671">
        <v>1096</v>
      </c>
      <c r="K671">
        <v>44</v>
      </c>
      <c r="L671" t="s">
        <v>45</v>
      </c>
      <c r="M671">
        <v>104</v>
      </c>
      <c r="N671">
        <v>31.6</v>
      </c>
      <c r="O671">
        <v>50.1</v>
      </c>
      <c r="P671">
        <v>5.32</v>
      </c>
      <c r="Q671">
        <v>2.66</v>
      </c>
      <c r="R671" t="s">
        <v>179</v>
      </c>
      <c r="S671" t="s">
        <v>29</v>
      </c>
      <c r="T671" t="s">
        <v>48</v>
      </c>
    </row>
    <row r="672" spans="1:20" x14ac:dyDescent="0.3">
      <c r="A672">
        <v>11133</v>
      </c>
      <c r="B672" s="2">
        <v>45717</v>
      </c>
      <c r="C672" t="s">
        <v>31</v>
      </c>
      <c r="D672" t="s">
        <v>59</v>
      </c>
      <c r="E672" t="s">
        <v>22</v>
      </c>
      <c r="F672" t="s">
        <v>81</v>
      </c>
      <c r="G672" t="s">
        <v>113</v>
      </c>
      <c r="H672" t="s">
        <v>90</v>
      </c>
      <c r="I672" t="s">
        <v>97</v>
      </c>
      <c r="J672">
        <v>681</v>
      </c>
      <c r="K672">
        <v>9</v>
      </c>
      <c r="L672" t="s">
        <v>27</v>
      </c>
      <c r="M672">
        <v>142</v>
      </c>
      <c r="N672">
        <v>35.200000000000003</v>
      </c>
      <c r="O672">
        <v>69.599999999999994</v>
      </c>
      <c r="P672">
        <v>4.43</v>
      </c>
      <c r="Q672">
        <v>2.1800000000000002</v>
      </c>
      <c r="R672" t="s">
        <v>137</v>
      </c>
      <c r="S672" t="s">
        <v>29</v>
      </c>
      <c r="T672" t="s">
        <v>30</v>
      </c>
    </row>
    <row r="673" spans="1:20" x14ac:dyDescent="0.3">
      <c r="A673">
        <v>11177</v>
      </c>
      <c r="B673" s="2">
        <v>45711</v>
      </c>
      <c r="C673" t="s">
        <v>31</v>
      </c>
      <c r="D673" t="s">
        <v>59</v>
      </c>
      <c r="E673" t="s">
        <v>40</v>
      </c>
      <c r="F673" t="s">
        <v>23</v>
      </c>
      <c r="G673" t="s">
        <v>42</v>
      </c>
      <c r="H673" t="s">
        <v>88</v>
      </c>
      <c r="I673" t="s">
        <v>203</v>
      </c>
      <c r="J673">
        <v>1444</v>
      </c>
      <c r="K673">
        <v>45</v>
      </c>
      <c r="L673" t="s">
        <v>27</v>
      </c>
      <c r="M673">
        <v>170</v>
      </c>
      <c r="N673">
        <v>42</v>
      </c>
      <c r="O673">
        <v>73.8</v>
      </c>
      <c r="P673">
        <v>5.52</v>
      </c>
      <c r="Q673">
        <v>3.27</v>
      </c>
      <c r="R673" t="s">
        <v>133</v>
      </c>
      <c r="S673" t="s">
        <v>29</v>
      </c>
      <c r="T673" t="s">
        <v>48</v>
      </c>
    </row>
    <row r="674" spans="1:20" x14ac:dyDescent="0.3">
      <c r="A674">
        <v>10639</v>
      </c>
      <c r="B674" s="2">
        <v>45872</v>
      </c>
      <c r="C674" t="s">
        <v>31</v>
      </c>
      <c r="D674" t="s">
        <v>59</v>
      </c>
      <c r="E674" t="s">
        <v>40</v>
      </c>
      <c r="F674" t="s">
        <v>23</v>
      </c>
      <c r="G674" t="s">
        <v>134</v>
      </c>
      <c r="H674" t="s">
        <v>75</v>
      </c>
      <c r="I674" t="s">
        <v>83</v>
      </c>
      <c r="J674">
        <v>1364</v>
      </c>
      <c r="K674">
        <v>14</v>
      </c>
      <c r="L674" t="s">
        <v>68</v>
      </c>
      <c r="M674">
        <v>22</v>
      </c>
      <c r="N674">
        <v>44.7</v>
      </c>
      <c r="O674">
        <v>80.2</v>
      </c>
      <c r="P674">
        <v>6</v>
      </c>
      <c r="Q674">
        <v>2.77</v>
      </c>
      <c r="R674" t="s">
        <v>232</v>
      </c>
      <c r="S674" t="s">
        <v>47</v>
      </c>
      <c r="T674" t="s">
        <v>30</v>
      </c>
    </row>
    <row r="675" spans="1:20" x14ac:dyDescent="0.3">
      <c r="A675">
        <v>10760</v>
      </c>
      <c r="B675" s="2">
        <v>45676</v>
      </c>
      <c r="C675" t="s">
        <v>49</v>
      </c>
      <c r="D675" t="s">
        <v>32</v>
      </c>
      <c r="E675" t="s">
        <v>33</v>
      </c>
      <c r="F675" t="s">
        <v>23</v>
      </c>
      <c r="G675" t="s">
        <v>89</v>
      </c>
      <c r="H675" t="s">
        <v>25</v>
      </c>
      <c r="I675" t="s">
        <v>276</v>
      </c>
      <c r="J675">
        <v>706</v>
      </c>
      <c r="K675">
        <v>7</v>
      </c>
      <c r="L675" t="s">
        <v>45</v>
      </c>
      <c r="M675">
        <v>83</v>
      </c>
      <c r="N675">
        <v>44</v>
      </c>
      <c r="O675">
        <v>63.6</v>
      </c>
      <c r="P675">
        <v>4.9000000000000004</v>
      </c>
      <c r="Q675">
        <v>2.91</v>
      </c>
      <c r="R675" t="s">
        <v>179</v>
      </c>
      <c r="T675" t="s">
        <v>30</v>
      </c>
    </row>
    <row r="676" spans="1:20" x14ac:dyDescent="0.3">
      <c r="A676">
        <v>10837</v>
      </c>
      <c r="B676" s="2">
        <v>45896</v>
      </c>
      <c r="C676" t="s">
        <v>20</v>
      </c>
      <c r="D676" t="s">
        <v>32</v>
      </c>
      <c r="E676" t="s">
        <v>107</v>
      </c>
      <c r="F676" t="s">
        <v>23</v>
      </c>
      <c r="G676" t="s">
        <v>34</v>
      </c>
      <c r="H676" t="s">
        <v>223</v>
      </c>
      <c r="I676" t="s">
        <v>254</v>
      </c>
      <c r="J676">
        <v>758</v>
      </c>
      <c r="K676">
        <v>8</v>
      </c>
      <c r="L676" t="s">
        <v>57</v>
      </c>
      <c r="M676">
        <v>98</v>
      </c>
      <c r="N676">
        <v>40.700000000000003</v>
      </c>
      <c r="O676">
        <v>63.7</v>
      </c>
      <c r="P676">
        <v>5.21</v>
      </c>
      <c r="Q676">
        <v>1.61</v>
      </c>
      <c r="R676" t="s">
        <v>216</v>
      </c>
      <c r="S676" t="s">
        <v>29</v>
      </c>
      <c r="T676" t="s">
        <v>30</v>
      </c>
    </row>
    <row r="677" spans="1:20" x14ac:dyDescent="0.3">
      <c r="A677">
        <v>10625</v>
      </c>
      <c r="B677" s="2">
        <v>45932</v>
      </c>
      <c r="C677" t="s">
        <v>31</v>
      </c>
      <c r="D677" t="s">
        <v>64</v>
      </c>
      <c r="E677" t="s">
        <v>40</v>
      </c>
      <c r="F677" t="s">
        <v>41</v>
      </c>
      <c r="G677" t="s">
        <v>42</v>
      </c>
      <c r="H677" t="s">
        <v>90</v>
      </c>
      <c r="I677" t="s">
        <v>142</v>
      </c>
      <c r="J677">
        <v>471</v>
      </c>
      <c r="K677">
        <v>17</v>
      </c>
      <c r="L677" t="s">
        <v>37</v>
      </c>
      <c r="M677">
        <v>168</v>
      </c>
      <c r="N677">
        <v>36.299999999999997</v>
      </c>
      <c r="O677">
        <v>62.8</v>
      </c>
      <c r="P677">
        <v>5.6</v>
      </c>
      <c r="Q677">
        <v>3.5</v>
      </c>
      <c r="R677" t="s">
        <v>222</v>
      </c>
      <c r="S677" t="s">
        <v>29</v>
      </c>
      <c r="T677" t="s">
        <v>48</v>
      </c>
    </row>
    <row r="678" spans="1:20" x14ac:dyDescent="0.3">
      <c r="A678">
        <v>10860</v>
      </c>
      <c r="B678" s="2">
        <v>45826</v>
      </c>
      <c r="C678" t="s">
        <v>49</v>
      </c>
      <c r="D678" t="s">
        <v>32</v>
      </c>
      <c r="E678" t="s">
        <v>40</v>
      </c>
      <c r="F678" t="s">
        <v>23</v>
      </c>
      <c r="G678" t="s">
        <v>89</v>
      </c>
      <c r="H678" t="s">
        <v>175</v>
      </c>
      <c r="I678" t="s">
        <v>282</v>
      </c>
      <c r="J678">
        <v>672</v>
      </c>
      <c r="K678">
        <v>9</v>
      </c>
      <c r="L678" t="s">
        <v>68</v>
      </c>
      <c r="M678">
        <v>77</v>
      </c>
      <c r="N678">
        <v>28</v>
      </c>
      <c r="O678">
        <v>68.900000000000006</v>
      </c>
      <c r="P678">
        <v>3.65</v>
      </c>
      <c r="Q678">
        <v>1.8</v>
      </c>
      <c r="R678" t="s">
        <v>222</v>
      </c>
      <c r="S678" t="s">
        <v>29</v>
      </c>
      <c r="T678" t="s">
        <v>30</v>
      </c>
    </row>
    <row r="679" spans="1:20" x14ac:dyDescent="0.3">
      <c r="A679">
        <v>10257</v>
      </c>
      <c r="B679" s="2">
        <v>45667</v>
      </c>
      <c r="C679" t="s">
        <v>49</v>
      </c>
      <c r="D679" t="s">
        <v>64</v>
      </c>
      <c r="E679" t="s">
        <v>107</v>
      </c>
      <c r="F679" t="s">
        <v>41</v>
      </c>
      <c r="G679" t="s">
        <v>134</v>
      </c>
      <c r="H679" t="s">
        <v>126</v>
      </c>
      <c r="I679" t="s">
        <v>163</v>
      </c>
      <c r="J679">
        <v>494</v>
      </c>
      <c r="K679">
        <v>5</v>
      </c>
      <c r="L679" t="s">
        <v>37</v>
      </c>
      <c r="M679">
        <v>8</v>
      </c>
      <c r="N679">
        <v>51.4</v>
      </c>
      <c r="O679">
        <v>81.5</v>
      </c>
      <c r="P679">
        <v>5.1100000000000003</v>
      </c>
      <c r="Q679">
        <v>3.9</v>
      </c>
      <c r="R679" t="s">
        <v>164</v>
      </c>
      <c r="S679" t="s">
        <v>39</v>
      </c>
      <c r="T679" t="s">
        <v>30</v>
      </c>
    </row>
    <row r="680" spans="1:20" x14ac:dyDescent="0.3">
      <c r="A680">
        <v>10026</v>
      </c>
      <c r="B680" s="2">
        <v>45783</v>
      </c>
      <c r="C680" t="s">
        <v>49</v>
      </c>
      <c r="D680" t="s">
        <v>21</v>
      </c>
      <c r="E680" t="s">
        <v>107</v>
      </c>
      <c r="F680" t="s">
        <v>41</v>
      </c>
      <c r="G680" t="s">
        <v>24</v>
      </c>
      <c r="H680" t="s">
        <v>75</v>
      </c>
      <c r="I680" t="s">
        <v>266</v>
      </c>
      <c r="J680">
        <v>1163</v>
      </c>
      <c r="K680">
        <v>16</v>
      </c>
      <c r="L680" t="s">
        <v>68</v>
      </c>
      <c r="M680">
        <v>135</v>
      </c>
      <c r="N680">
        <v>45.4</v>
      </c>
      <c r="O680">
        <v>72.7</v>
      </c>
      <c r="P680">
        <v>4.04</v>
      </c>
      <c r="Q680">
        <v>1.87</v>
      </c>
      <c r="R680" t="s">
        <v>111</v>
      </c>
      <c r="S680" t="s">
        <v>29</v>
      </c>
      <c r="T680" t="s">
        <v>30</v>
      </c>
    </row>
    <row r="681" spans="1:20" x14ac:dyDescent="0.3">
      <c r="A681">
        <v>10337</v>
      </c>
      <c r="B681" s="2">
        <v>45742</v>
      </c>
      <c r="C681" t="s">
        <v>31</v>
      </c>
      <c r="D681" t="s">
        <v>64</v>
      </c>
      <c r="E681" t="s">
        <v>40</v>
      </c>
      <c r="F681" t="s">
        <v>41</v>
      </c>
      <c r="G681" t="s">
        <v>42</v>
      </c>
      <c r="H681" t="s">
        <v>180</v>
      </c>
      <c r="I681" t="s">
        <v>294</v>
      </c>
      <c r="J681">
        <v>680</v>
      </c>
      <c r="K681">
        <v>14</v>
      </c>
      <c r="L681" t="s">
        <v>45</v>
      </c>
      <c r="M681">
        <v>165</v>
      </c>
      <c r="N681">
        <v>37.200000000000003</v>
      </c>
      <c r="O681">
        <v>59.7</v>
      </c>
      <c r="P681">
        <v>5.22</v>
      </c>
      <c r="Q681">
        <v>3.19</v>
      </c>
      <c r="R681" t="s">
        <v>280</v>
      </c>
      <c r="S681" t="s">
        <v>39</v>
      </c>
      <c r="T681" t="s">
        <v>30</v>
      </c>
    </row>
    <row r="682" spans="1:20" x14ac:dyDescent="0.3">
      <c r="A682">
        <v>10573</v>
      </c>
      <c r="B682" s="2">
        <v>45993</v>
      </c>
      <c r="C682" t="s">
        <v>31</v>
      </c>
      <c r="D682" t="s">
        <v>32</v>
      </c>
      <c r="E682" t="s">
        <v>107</v>
      </c>
      <c r="F682" t="s">
        <v>41</v>
      </c>
      <c r="G682" t="s">
        <v>34</v>
      </c>
      <c r="H682" t="s">
        <v>78</v>
      </c>
      <c r="I682" t="s">
        <v>117</v>
      </c>
      <c r="J682">
        <v>1572</v>
      </c>
      <c r="K682">
        <v>103</v>
      </c>
      <c r="L682" t="s">
        <v>71</v>
      </c>
      <c r="M682">
        <v>170</v>
      </c>
      <c r="N682">
        <v>46.7</v>
      </c>
      <c r="O682">
        <v>74.400000000000006</v>
      </c>
      <c r="P682">
        <v>5.22</v>
      </c>
      <c r="Q682">
        <v>4.9000000000000004</v>
      </c>
      <c r="R682" t="s">
        <v>164</v>
      </c>
      <c r="S682" t="s">
        <v>73</v>
      </c>
      <c r="T682" t="s">
        <v>48</v>
      </c>
    </row>
    <row r="683" spans="1:20" x14ac:dyDescent="0.3">
      <c r="A683">
        <v>10048</v>
      </c>
      <c r="B683" s="2">
        <v>45813</v>
      </c>
      <c r="C683" t="s">
        <v>49</v>
      </c>
      <c r="D683" t="s">
        <v>64</v>
      </c>
      <c r="E683" t="s">
        <v>22</v>
      </c>
      <c r="F683" t="s">
        <v>23</v>
      </c>
      <c r="G683" t="s">
        <v>34</v>
      </c>
      <c r="H683" t="s">
        <v>161</v>
      </c>
      <c r="I683" t="s">
        <v>269</v>
      </c>
      <c r="J683">
        <v>1159</v>
      </c>
      <c r="K683">
        <v>3</v>
      </c>
      <c r="L683" t="s">
        <v>37</v>
      </c>
      <c r="M683">
        <v>152</v>
      </c>
      <c r="N683">
        <v>36.4</v>
      </c>
      <c r="O683">
        <v>70.7</v>
      </c>
      <c r="P683">
        <v>5.2</v>
      </c>
      <c r="Q683">
        <v>2.97</v>
      </c>
      <c r="R683" t="s">
        <v>38</v>
      </c>
      <c r="S683" t="s">
        <v>47</v>
      </c>
      <c r="T683" t="s">
        <v>30</v>
      </c>
    </row>
    <row r="684" spans="1:20" x14ac:dyDescent="0.3">
      <c r="A684">
        <v>10107</v>
      </c>
      <c r="B684" s="2">
        <v>45667</v>
      </c>
      <c r="C684" t="s">
        <v>20</v>
      </c>
      <c r="D684" t="s">
        <v>21</v>
      </c>
      <c r="E684" t="s">
        <v>33</v>
      </c>
      <c r="F684" t="s">
        <v>41</v>
      </c>
      <c r="G684" t="s">
        <v>113</v>
      </c>
      <c r="H684" t="s">
        <v>252</v>
      </c>
      <c r="I684" t="s">
        <v>211</v>
      </c>
      <c r="J684">
        <v>964</v>
      </c>
      <c r="K684">
        <v>17</v>
      </c>
      <c r="L684" t="s">
        <v>71</v>
      </c>
      <c r="M684">
        <v>116</v>
      </c>
      <c r="N684">
        <v>43.9</v>
      </c>
      <c r="O684">
        <v>83.6</v>
      </c>
      <c r="P684">
        <v>4.04</v>
      </c>
      <c r="Q684">
        <v>1.58</v>
      </c>
      <c r="R684" t="s">
        <v>186</v>
      </c>
      <c r="S684" t="s">
        <v>39</v>
      </c>
      <c r="T684" t="s">
        <v>30</v>
      </c>
    </row>
    <row r="685" spans="1:20" x14ac:dyDescent="0.3">
      <c r="A685">
        <v>10350</v>
      </c>
      <c r="B685" s="2">
        <v>45877</v>
      </c>
      <c r="C685" t="s">
        <v>49</v>
      </c>
      <c r="D685" t="s">
        <v>59</v>
      </c>
      <c r="E685" t="s">
        <v>22</v>
      </c>
      <c r="F685" t="s">
        <v>41</v>
      </c>
      <c r="G685" t="s">
        <v>34</v>
      </c>
      <c r="H685" t="s">
        <v>287</v>
      </c>
      <c r="I685" t="s">
        <v>384</v>
      </c>
      <c r="J685">
        <v>1195</v>
      </c>
      <c r="K685">
        <v>4</v>
      </c>
      <c r="L685" t="s">
        <v>37</v>
      </c>
      <c r="M685">
        <v>9</v>
      </c>
      <c r="N685">
        <v>39.9</v>
      </c>
      <c r="O685">
        <v>67.900000000000006</v>
      </c>
      <c r="P685">
        <v>7.35</v>
      </c>
      <c r="Q685">
        <v>3.71</v>
      </c>
      <c r="R685" t="s">
        <v>103</v>
      </c>
      <c r="S685" t="s">
        <v>73</v>
      </c>
      <c r="T685" t="s">
        <v>30</v>
      </c>
    </row>
    <row r="686" spans="1:20" x14ac:dyDescent="0.3">
      <c r="A686">
        <v>10056</v>
      </c>
      <c r="B686" s="2">
        <v>45858</v>
      </c>
      <c r="C686" t="s">
        <v>20</v>
      </c>
      <c r="D686" t="s">
        <v>64</v>
      </c>
      <c r="E686" t="s">
        <v>22</v>
      </c>
      <c r="F686" t="s">
        <v>41</v>
      </c>
      <c r="G686" t="s">
        <v>134</v>
      </c>
      <c r="H686" t="s">
        <v>43</v>
      </c>
      <c r="I686" t="s">
        <v>347</v>
      </c>
      <c r="J686">
        <v>1407</v>
      </c>
      <c r="K686">
        <v>20</v>
      </c>
      <c r="L686" t="s">
        <v>45</v>
      </c>
      <c r="M686">
        <v>43</v>
      </c>
      <c r="N686">
        <v>48.9</v>
      </c>
      <c r="O686">
        <v>67.2</v>
      </c>
      <c r="P686">
        <v>5.37</v>
      </c>
      <c r="Q686">
        <v>4.9400000000000004</v>
      </c>
      <c r="R686" t="s">
        <v>28</v>
      </c>
      <c r="S686" t="s">
        <v>29</v>
      </c>
      <c r="T686" t="s">
        <v>30</v>
      </c>
    </row>
    <row r="687" spans="1:20" x14ac:dyDescent="0.3">
      <c r="A687">
        <v>10818</v>
      </c>
      <c r="B687" s="2">
        <v>45791</v>
      </c>
      <c r="C687" t="s">
        <v>199</v>
      </c>
      <c r="D687" t="s">
        <v>64</v>
      </c>
      <c r="E687" t="s">
        <v>107</v>
      </c>
      <c r="F687" t="s">
        <v>41</v>
      </c>
      <c r="G687" t="s">
        <v>134</v>
      </c>
      <c r="H687" t="s">
        <v>101</v>
      </c>
      <c r="I687" t="s">
        <v>366</v>
      </c>
      <c r="J687">
        <v>1590</v>
      </c>
      <c r="K687">
        <v>19</v>
      </c>
      <c r="L687" t="s">
        <v>27</v>
      </c>
      <c r="M687">
        <v>96</v>
      </c>
      <c r="N687">
        <v>50</v>
      </c>
      <c r="O687">
        <v>82.3</v>
      </c>
      <c r="P687">
        <v>4.93</v>
      </c>
      <c r="Q687">
        <v>2.52</v>
      </c>
      <c r="R687" t="s">
        <v>38</v>
      </c>
      <c r="S687" t="s">
        <v>73</v>
      </c>
      <c r="T687" t="s">
        <v>30</v>
      </c>
    </row>
    <row r="688" spans="1:20" x14ac:dyDescent="0.3">
      <c r="A688">
        <v>10214</v>
      </c>
      <c r="B688" s="2">
        <v>45713</v>
      </c>
      <c r="C688" t="s">
        <v>31</v>
      </c>
      <c r="D688" t="s">
        <v>64</v>
      </c>
      <c r="E688" t="s">
        <v>33</v>
      </c>
      <c r="F688" t="s">
        <v>23</v>
      </c>
      <c r="G688" t="s">
        <v>24</v>
      </c>
      <c r="H688" t="s">
        <v>192</v>
      </c>
      <c r="I688" t="s">
        <v>371</v>
      </c>
      <c r="J688">
        <v>952</v>
      </c>
      <c r="K688">
        <v>5</v>
      </c>
      <c r="L688" t="s">
        <v>27</v>
      </c>
      <c r="M688">
        <v>108</v>
      </c>
      <c r="N688">
        <v>42.5</v>
      </c>
      <c r="O688">
        <v>70.3</v>
      </c>
      <c r="P688">
        <v>4.4400000000000004</v>
      </c>
      <c r="Q688">
        <v>2.89</v>
      </c>
      <c r="R688" t="s">
        <v>103</v>
      </c>
      <c r="S688" t="s">
        <v>73</v>
      </c>
      <c r="T688" t="s">
        <v>30</v>
      </c>
    </row>
    <row r="689" spans="1:20" x14ac:dyDescent="0.3">
      <c r="A689">
        <v>10121</v>
      </c>
      <c r="B689" s="2">
        <v>45791</v>
      </c>
      <c r="C689" t="s">
        <v>31</v>
      </c>
      <c r="D689" t="s">
        <v>21</v>
      </c>
      <c r="E689" t="s">
        <v>107</v>
      </c>
      <c r="F689" t="s">
        <v>81</v>
      </c>
      <c r="G689" t="s">
        <v>42</v>
      </c>
      <c r="H689" t="s">
        <v>66</v>
      </c>
      <c r="I689" t="s">
        <v>279</v>
      </c>
      <c r="J689">
        <v>1471</v>
      </c>
      <c r="K689">
        <v>29</v>
      </c>
      <c r="L689" t="s">
        <v>37</v>
      </c>
      <c r="M689">
        <v>112</v>
      </c>
      <c r="N689">
        <v>34.200000000000003</v>
      </c>
      <c r="O689">
        <v>65.3</v>
      </c>
      <c r="P689">
        <v>5.31</v>
      </c>
      <c r="Q689">
        <v>2.92</v>
      </c>
      <c r="R689" t="s">
        <v>153</v>
      </c>
      <c r="S689" t="s">
        <v>29</v>
      </c>
      <c r="T689" t="s">
        <v>30</v>
      </c>
    </row>
    <row r="690" spans="1:20" x14ac:dyDescent="0.3">
      <c r="A690">
        <v>10880</v>
      </c>
      <c r="B690" s="2">
        <v>45964</v>
      </c>
      <c r="C690" t="s">
        <v>31</v>
      </c>
      <c r="D690" t="s">
        <v>64</v>
      </c>
      <c r="E690" t="s">
        <v>33</v>
      </c>
      <c r="F690" t="s">
        <v>41</v>
      </c>
      <c r="G690" t="s">
        <v>24</v>
      </c>
      <c r="H690" t="s">
        <v>126</v>
      </c>
      <c r="I690" t="s">
        <v>332</v>
      </c>
      <c r="J690">
        <v>533</v>
      </c>
      <c r="K690">
        <v>5</v>
      </c>
      <c r="L690" t="s">
        <v>37</v>
      </c>
      <c r="M690">
        <v>156</v>
      </c>
      <c r="N690">
        <v>46.7</v>
      </c>
      <c r="O690">
        <v>68.7</v>
      </c>
      <c r="P690">
        <v>4.2699999999999996</v>
      </c>
      <c r="Q690">
        <v>3.14</v>
      </c>
      <c r="R690" t="s">
        <v>92</v>
      </c>
      <c r="S690" t="s">
        <v>47</v>
      </c>
      <c r="T690" t="s">
        <v>30</v>
      </c>
    </row>
    <row r="691" spans="1:20" x14ac:dyDescent="0.3">
      <c r="A691">
        <v>10744</v>
      </c>
      <c r="B691" s="2">
        <v>46007</v>
      </c>
      <c r="C691" t="s">
        <v>49</v>
      </c>
      <c r="D691" t="s">
        <v>21</v>
      </c>
      <c r="E691" t="s">
        <v>107</v>
      </c>
      <c r="F691" t="s">
        <v>23</v>
      </c>
      <c r="G691" t="s">
        <v>134</v>
      </c>
      <c r="H691" t="s">
        <v>93</v>
      </c>
      <c r="I691" t="s">
        <v>124</v>
      </c>
      <c r="J691">
        <v>1063</v>
      </c>
      <c r="K691">
        <v>90</v>
      </c>
      <c r="L691" t="s">
        <v>57</v>
      </c>
      <c r="M691">
        <v>27</v>
      </c>
      <c r="N691">
        <v>43.1</v>
      </c>
      <c r="O691">
        <v>77.400000000000006</v>
      </c>
      <c r="P691">
        <v>4.82</v>
      </c>
      <c r="Q691">
        <v>1.64</v>
      </c>
      <c r="R691" t="s">
        <v>103</v>
      </c>
      <c r="S691" t="s">
        <v>47</v>
      </c>
      <c r="T691" t="s">
        <v>48</v>
      </c>
    </row>
    <row r="692" spans="1:20" x14ac:dyDescent="0.3">
      <c r="A692">
        <v>10073</v>
      </c>
      <c r="B692" s="2">
        <v>46017</v>
      </c>
      <c r="C692" t="s">
        <v>31</v>
      </c>
      <c r="D692" t="s">
        <v>64</v>
      </c>
      <c r="E692" t="s">
        <v>40</v>
      </c>
      <c r="F692" t="s">
        <v>247</v>
      </c>
      <c r="G692" t="s">
        <v>24</v>
      </c>
      <c r="H692" t="s">
        <v>213</v>
      </c>
      <c r="I692" t="s">
        <v>149</v>
      </c>
      <c r="J692">
        <v>539</v>
      </c>
      <c r="K692">
        <v>6</v>
      </c>
      <c r="L692" t="s">
        <v>45</v>
      </c>
      <c r="M692">
        <v>107</v>
      </c>
      <c r="N692">
        <v>31.3</v>
      </c>
      <c r="O692">
        <v>78.900000000000006</v>
      </c>
      <c r="P692">
        <v>6.21</v>
      </c>
      <c r="Q692">
        <v>3.42</v>
      </c>
      <c r="R692" t="s">
        <v>229</v>
      </c>
      <c r="S692" t="s">
        <v>39</v>
      </c>
      <c r="T692" t="s">
        <v>30</v>
      </c>
    </row>
    <row r="693" spans="1:20" x14ac:dyDescent="0.3">
      <c r="A693">
        <v>10789</v>
      </c>
      <c r="B693" s="2">
        <v>45963</v>
      </c>
      <c r="C693" t="s">
        <v>20</v>
      </c>
      <c r="D693" t="s">
        <v>32</v>
      </c>
      <c r="E693" t="s">
        <v>107</v>
      </c>
      <c r="F693" t="s">
        <v>41</v>
      </c>
      <c r="G693" t="s">
        <v>95</v>
      </c>
      <c r="H693" t="s">
        <v>278</v>
      </c>
      <c r="I693" t="s">
        <v>121</v>
      </c>
      <c r="J693">
        <v>898</v>
      </c>
      <c r="K693">
        <v>4</v>
      </c>
      <c r="L693" t="s">
        <v>27</v>
      </c>
      <c r="M693">
        <v>88</v>
      </c>
      <c r="N693">
        <v>56.4</v>
      </c>
      <c r="O693">
        <v>64.599999999999994</v>
      </c>
      <c r="P693">
        <v>4.47</v>
      </c>
      <c r="Q693">
        <v>3.73</v>
      </c>
      <c r="R693" t="s">
        <v>84</v>
      </c>
      <c r="S693" t="s">
        <v>73</v>
      </c>
      <c r="T693" t="s">
        <v>30</v>
      </c>
    </row>
    <row r="694" spans="1:20" x14ac:dyDescent="0.3">
      <c r="A694">
        <v>11027</v>
      </c>
      <c r="B694" s="2">
        <v>45980</v>
      </c>
      <c r="C694" t="s">
        <v>31</v>
      </c>
      <c r="D694" t="s">
        <v>32</v>
      </c>
      <c r="E694" t="s">
        <v>107</v>
      </c>
      <c r="F694" t="s">
        <v>41</v>
      </c>
      <c r="G694" t="s">
        <v>95</v>
      </c>
      <c r="H694" t="s">
        <v>114</v>
      </c>
      <c r="I694" t="s">
        <v>376</v>
      </c>
      <c r="J694">
        <v>1003</v>
      </c>
      <c r="K694">
        <v>10</v>
      </c>
      <c r="L694" t="s">
        <v>57</v>
      </c>
      <c r="M694">
        <v>114</v>
      </c>
      <c r="N694">
        <v>42.2</v>
      </c>
      <c r="O694">
        <v>63</v>
      </c>
      <c r="P694">
        <v>5.05</v>
      </c>
      <c r="Q694">
        <v>1.91</v>
      </c>
      <c r="R694" t="s">
        <v>130</v>
      </c>
      <c r="S694" t="s">
        <v>39</v>
      </c>
      <c r="T694" t="s">
        <v>30</v>
      </c>
    </row>
    <row r="695" spans="1:20" x14ac:dyDescent="0.3">
      <c r="A695">
        <v>10046</v>
      </c>
      <c r="B695" s="2">
        <v>45871</v>
      </c>
      <c r="C695" t="s">
        <v>31</v>
      </c>
      <c r="D695" t="s">
        <v>32</v>
      </c>
      <c r="E695" t="s">
        <v>22</v>
      </c>
      <c r="F695" t="s">
        <v>23</v>
      </c>
      <c r="G695" t="s">
        <v>109</v>
      </c>
      <c r="H695" t="s">
        <v>93</v>
      </c>
      <c r="I695" t="s">
        <v>330</v>
      </c>
      <c r="J695">
        <v>1053</v>
      </c>
      <c r="K695">
        <v>7</v>
      </c>
      <c r="L695" t="s">
        <v>45</v>
      </c>
      <c r="M695">
        <v>168</v>
      </c>
      <c r="N695">
        <v>42.4</v>
      </c>
      <c r="O695">
        <v>80.8</v>
      </c>
      <c r="P695">
        <v>3.85</v>
      </c>
      <c r="Q695">
        <v>4.4800000000000004</v>
      </c>
      <c r="R695" t="s">
        <v>53</v>
      </c>
      <c r="S695" t="s">
        <v>73</v>
      </c>
      <c r="T695" t="s">
        <v>30</v>
      </c>
    </row>
    <row r="696" spans="1:20" x14ac:dyDescent="0.3">
      <c r="A696">
        <v>11427</v>
      </c>
      <c r="B696" s="2">
        <v>45739</v>
      </c>
      <c r="C696" t="s">
        <v>20</v>
      </c>
      <c r="D696" t="s">
        <v>21</v>
      </c>
      <c r="E696" t="s">
        <v>107</v>
      </c>
      <c r="F696" t="s">
        <v>81</v>
      </c>
      <c r="G696" t="s">
        <v>74</v>
      </c>
      <c r="H696" t="s">
        <v>25</v>
      </c>
      <c r="I696" t="s">
        <v>348</v>
      </c>
      <c r="J696">
        <v>1070</v>
      </c>
      <c r="K696">
        <v>8</v>
      </c>
      <c r="L696" t="s">
        <v>57</v>
      </c>
      <c r="M696">
        <v>42</v>
      </c>
      <c r="N696">
        <v>50</v>
      </c>
      <c r="O696">
        <v>81.900000000000006</v>
      </c>
      <c r="P696">
        <v>6.44</v>
      </c>
      <c r="Q696">
        <v>3.65</v>
      </c>
      <c r="R696" t="s">
        <v>189</v>
      </c>
      <c r="S696" t="s">
        <v>39</v>
      </c>
      <c r="T696" t="s">
        <v>30</v>
      </c>
    </row>
    <row r="697" spans="1:20" x14ac:dyDescent="0.3">
      <c r="A697">
        <v>10524</v>
      </c>
      <c r="B697" s="2">
        <v>45748</v>
      </c>
      <c r="C697" t="s">
        <v>49</v>
      </c>
      <c r="D697" t="s">
        <v>21</v>
      </c>
      <c r="E697" t="s">
        <v>33</v>
      </c>
      <c r="F697" t="s">
        <v>81</v>
      </c>
      <c r="G697" t="s">
        <v>95</v>
      </c>
      <c r="H697" t="s">
        <v>287</v>
      </c>
      <c r="I697" t="s">
        <v>110</v>
      </c>
      <c r="J697">
        <v>684</v>
      </c>
      <c r="K697">
        <v>17</v>
      </c>
      <c r="L697" t="s">
        <v>37</v>
      </c>
      <c r="M697">
        <v>85</v>
      </c>
      <c r="N697">
        <v>33.799999999999997</v>
      </c>
      <c r="O697">
        <v>59.9</v>
      </c>
      <c r="P697">
        <v>5.25</v>
      </c>
      <c r="Q697">
        <v>3.79</v>
      </c>
      <c r="R697" t="s">
        <v>159</v>
      </c>
      <c r="S697" t="s">
        <v>73</v>
      </c>
      <c r="T697" t="s">
        <v>30</v>
      </c>
    </row>
    <row r="698" spans="1:20" x14ac:dyDescent="0.3">
      <c r="A698">
        <v>11217</v>
      </c>
      <c r="B698" s="2">
        <v>45700</v>
      </c>
      <c r="C698" t="s">
        <v>49</v>
      </c>
      <c r="D698" t="s">
        <v>59</v>
      </c>
      <c r="E698" t="s">
        <v>22</v>
      </c>
      <c r="F698" t="s">
        <v>81</v>
      </c>
      <c r="G698" t="s">
        <v>54</v>
      </c>
      <c r="H698" t="s">
        <v>55</v>
      </c>
      <c r="I698" t="s">
        <v>203</v>
      </c>
      <c r="J698">
        <v>736</v>
      </c>
      <c r="K698">
        <v>9</v>
      </c>
      <c r="L698" t="s">
        <v>57</v>
      </c>
      <c r="M698">
        <v>148</v>
      </c>
      <c r="N698">
        <v>39.5</v>
      </c>
      <c r="O698">
        <v>54.3</v>
      </c>
      <c r="P698">
        <v>6.51</v>
      </c>
      <c r="Q698">
        <v>3.91</v>
      </c>
      <c r="R698" t="s">
        <v>128</v>
      </c>
      <c r="S698" t="s">
        <v>47</v>
      </c>
      <c r="T698" t="s">
        <v>30</v>
      </c>
    </row>
    <row r="699" spans="1:20" x14ac:dyDescent="0.3">
      <c r="A699">
        <v>10800</v>
      </c>
      <c r="B699" s="2">
        <v>46000</v>
      </c>
      <c r="C699" t="s">
        <v>31</v>
      </c>
      <c r="D699" t="s">
        <v>32</v>
      </c>
      <c r="E699" t="s">
        <v>40</v>
      </c>
      <c r="F699" t="s">
        <v>23</v>
      </c>
      <c r="G699" t="s">
        <v>95</v>
      </c>
      <c r="H699" t="s">
        <v>51</v>
      </c>
      <c r="I699" t="s">
        <v>238</v>
      </c>
      <c r="J699">
        <v>1160</v>
      </c>
      <c r="K699">
        <v>4</v>
      </c>
      <c r="L699" t="s">
        <v>71</v>
      </c>
      <c r="M699">
        <v>158</v>
      </c>
      <c r="N699">
        <v>22.9</v>
      </c>
      <c r="O699">
        <v>72</v>
      </c>
      <c r="P699">
        <v>4.83</v>
      </c>
      <c r="Q699">
        <v>1.63</v>
      </c>
      <c r="R699" t="s">
        <v>111</v>
      </c>
      <c r="S699" t="s">
        <v>47</v>
      </c>
      <c r="T699" t="s">
        <v>30</v>
      </c>
    </row>
    <row r="700" spans="1:20" x14ac:dyDescent="0.3">
      <c r="A700">
        <v>10874</v>
      </c>
      <c r="B700" s="2">
        <v>45703</v>
      </c>
      <c r="C700" t="s">
        <v>49</v>
      </c>
      <c r="D700" t="s">
        <v>21</v>
      </c>
      <c r="E700" t="s">
        <v>40</v>
      </c>
      <c r="F700" t="s">
        <v>23</v>
      </c>
      <c r="G700" t="s">
        <v>113</v>
      </c>
      <c r="H700" t="s">
        <v>82</v>
      </c>
      <c r="I700" t="s">
        <v>348</v>
      </c>
      <c r="J700">
        <v>1350</v>
      </c>
      <c r="K700">
        <v>37</v>
      </c>
      <c r="L700" t="s">
        <v>68</v>
      </c>
      <c r="M700">
        <v>170</v>
      </c>
      <c r="N700">
        <v>43.4</v>
      </c>
      <c r="O700">
        <v>80.2</v>
      </c>
      <c r="P700">
        <v>5.03</v>
      </c>
      <c r="Q700">
        <v>3.09</v>
      </c>
      <c r="R700" t="s">
        <v>147</v>
      </c>
      <c r="S700" t="s">
        <v>47</v>
      </c>
      <c r="T700" t="s">
        <v>30</v>
      </c>
    </row>
    <row r="701" spans="1:20" x14ac:dyDescent="0.3">
      <c r="A701">
        <v>10940</v>
      </c>
      <c r="B701" s="2">
        <v>45955</v>
      </c>
      <c r="C701" t="s">
        <v>277</v>
      </c>
      <c r="D701" t="s">
        <v>32</v>
      </c>
      <c r="E701" t="s">
        <v>33</v>
      </c>
      <c r="F701" t="s">
        <v>41</v>
      </c>
      <c r="G701" t="s">
        <v>50</v>
      </c>
      <c r="H701" t="s">
        <v>69</v>
      </c>
      <c r="I701" t="s">
        <v>355</v>
      </c>
      <c r="J701">
        <v>1582</v>
      </c>
      <c r="K701">
        <v>16</v>
      </c>
      <c r="L701" t="s">
        <v>27</v>
      </c>
      <c r="M701">
        <v>51</v>
      </c>
      <c r="N701">
        <v>37.700000000000003</v>
      </c>
      <c r="O701">
        <v>78</v>
      </c>
      <c r="P701">
        <v>6.29</v>
      </c>
      <c r="Q701">
        <v>2.02</v>
      </c>
      <c r="R701" t="s">
        <v>174</v>
      </c>
      <c r="S701" t="s">
        <v>39</v>
      </c>
      <c r="T701" t="s">
        <v>30</v>
      </c>
    </row>
    <row r="702" spans="1:20" x14ac:dyDescent="0.3">
      <c r="A702">
        <v>10534</v>
      </c>
      <c r="B702" s="2">
        <v>45705</v>
      </c>
      <c r="C702" t="s">
        <v>31</v>
      </c>
      <c r="D702" t="s">
        <v>59</v>
      </c>
      <c r="E702" t="s">
        <v>40</v>
      </c>
      <c r="F702" t="s">
        <v>81</v>
      </c>
      <c r="G702" t="s">
        <v>113</v>
      </c>
      <c r="H702" t="s">
        <v>278</v>
      </c>
      <c r="I702" t="s">
        <v>358</v>
      </c>
      <c r="J702">
        <v>527</v>
      </c>
      <c r="K702">
        <v>5</v>
      </c>
      <c r="L702" t="s">
        <v>27</v>
      </c>
      <c r="M702">
        <v>33</v>
      </c>
      <c r="N702">
        <v>43.7</v>
      </c>
      <c r="O702">
        <v>86.3</v>
      </c>
      <c r="P702">
        <v>3.9</v>
      </c>
      <c r="Q702">
        <v>1.75</v>
      </c>
      <c r="R702" t="s">
        <v>133</v>
      </c>
      <c r="S702" t="s">
        <v>39</v>
      </c>
      <c r="T702" t="s">
        <v>30</v>
      </c>
    </row>
    <row r="703" spans="1:20" x14ac:dyDescent="0.3">
      <c r="A703">
        <v>11146</v>
      </c>
      <c r="B703" s="2">
        <v>45768</v>
      </c>
      <c r="C703" t="s">
        <v>49</v>
      </c>
      <c r="D703" t="s">
        <v>59</v>
      </c>
      <c r="E703" t="s">
        <v>107</v>
      </c>
      <c r="F703" t="s">
        <v>81</v>
      </c>
      <c r="G703" t="s">
        <v>24</v>
      </c>
      <c r="H703" t="s">
        <v>144</v>
      </c>
      <c r="I703" t="s">
        <v>327</v>
      </c>
      <c r="J703">
        <v>1489</v>
      </c>
      <c r="K703">
        <v>19</v>
      </c>
      <c r="L703" t="s">
        <v>45</v>
      </c>
      <c r="M703">
        <v>7</v>
      </c>
      <c r="N703">
        <v>50.3</v>
      </c>
      <c r="O703">
        <v>61.7</v>
      </c>
      <c r="P703">
        <v>5.86</v>
      </c>
      <c r="Q703">
        <v>1.76</v>
      </c>
      <c r="R703" t="s">
        <v>84</v>
      </c>
      <c r="S703" t="s">
        <v>47</v>
      </c>
      <c r="T703" t="s">
        <v>30</v>
      </c>
    </row>
    <row r="704" spans="1:20" x14ac:dyDescent="0.3">
      <c r="A704">
        <v>10604</v>
      </c>
      <c r="B704" s="2">
        <v>45738</v>
      </c>
      <c r="C704" t="s">
        <v>20</v>
      </c>
      <c r="D704" t="s">
        <v>64</v>
      </c>
      <c r="E704" t="s">
        <v>22</v>
      </c>
      <c r="F704" t="s">
        <v>81</v>
      </c>
      <c r="G704" t="s">
        <v>42</v>
      </c>
      <c r="H704" t="s">
        <v>177</v>
      </c>
      <c r="I704" t="s">
        <v>110</v>
      </c>
      <c r="J704">
        <v>1321</v>
      </c>
      <c r="K704">
        <v>19</v>
      </c>
      <c r="L704" t="s">
        <v>68</v>
      </c>
      <c r="M704">
        <v>137</v>
      </c>
      <c r="N704">
        <v>32.4</v>
      </c>
      <c r="O704">
        <v>69.599999999999994</v>
      </c>
      <c r="P704">
        <v>6.04</v>
      </c>
      <c r="Q704">
        <v>1.88</v>
      </c>
      <c r="R704" t="s">
        <v>143</v>
      </c>
      <c r="S704" t="s">
        <v>47</v>
      </c>
      <c r="T704" t="s">
        <v>30</v>
      </c>
    </row>
    <row r="705" spans="1:20" x14ac:dyDescent="0.3">
      <c r="A705">
        <v>10466</v>
      </c>
      <c r="B705" s="2">
        <v>45796</v>
      </c>
      <c r="C705" t="s">
        <v>20</v>
      </c>
      <c r="D705" t="s">
        <v>21</v>
      </c>
      <c r="E705" t="s">
        <v>22</v>
      </c>
      <c r="F705" t="s">
        <v>23</v>
      </c>
      <c r="G705" t="s">
        <v>54</v>
      </c>
      <c r="H705" t="s">
        <v>223</v>
      </c>
      <c r="I705" t="s">
        <v>385</v>
      </c>
      <c r="J705">
        <v>1390</v>
      </c>
      <c r="K705">
        <v>22</v>
      </c>
      <c r="L705" t="s">
        <v>71</v>
      </c>
      <c r="M705">
        <v>54</v>
      </c>
      <c r="N705">
        <v>41</v>
      </c>
      <c r="O705">
        <v>72.8</v>
      </c>
      <c r="P705">
        <v>6.2</v>
      </c>
      <c r="Q705">
        <v>2.89</v>
      </c>
      <c r="R705" t="s">
        <v>130</v>
      </c>
      <c r="S705" t="s">
        <v>73</v>
      </c>
      <c r="T705" t="s">
        <v>30</v>
      </c>
    </row>
    <row r="706" spans="1:20" x14ac:dyDescent="0.3">
      <c r="A706">
        <v>10825</v>
      </c>
      <c r="B706" s="2">
        <v>45782</v>
      </c>
      <c r="C706" t="s">
        <v>20</v>
      </c>
      <c r="D706" t="s">
        <v>32</v>
      </c>
      <c r="E706" t="s">
        <v>107</v>
      </c>
      <c r="F706" t="s">
        <v>23</v>
      </c>
      <c r="G706" t="s">
        <v>42</v>
      </c>
      <c r="H706" t="s">
        <v>180</v>
      </c>
      <c r="I706" t="s">
        <v>226</v>
      </c>
      <c r="J706">
        <v>1535</v>
      </c>
      <c r="K706">
        <v>136</v>
      </c>
      <c r="L706" t="s">
        <v>71</v>
      </c>
      <c r="M706">
        <v>116</v>
      </c>
      <c r="N706">
        <v>38.799999999999997</v>
      </c>
      <c r="O706">
        <v>82.4</v>
      </c>
      <c r="P706">
        <v>6.29</v>
      </c>
      <c r="Q706">
        <v>1.06</v>
      </c>
      <c r="R706" t="s">
        <v>152</v>
      </c>
      <c r="S706" t="s">
        <v>73</v>
      </c>
      <c r="T706" t="s">
        <v>48</v>
      </c>
    </row>
    <row r="707" spans="1:20" x14ac:dyDescent="0.3">
      <c r="A707">
        <v>11290</v>
      </c>
      <c r="B707" s="2">
        <v>45791</v>
      </c>
      <c r="C707" t="s">
        <v>20</v>
      </c>
      <c r="D707" t="s">
        <v>64</v>
      </c>
      <c r="E707" t="s">
        <v>22</v>
      </c>
      <c r="F707" t="s">
        <v>23</v>
      </c>
      <c r="G707" t="s">
        <v>42</v>
      </c>
      <c r="H707" t="s">
        <v>223</v>
      </c>
      <c r="I707" t="s">
        <v>364</v>
      </c>
      <c r="J707">
        <v>1171</v>
      </c>
      <c r="K707">
        <v>20</v>
      </c>
      <c r="L707" t="s">
        <v>37</v>
      </c>
      <c r="M707">
        <v>80</v>
      </c>
      <c r="N707">
        <v>30.9</v>
      </c>
      <c r="O707">
        <v>76.7</v>
      </c>
      <c r="Q707">
        <v>3.25</v>
      </c>
      <c r="R707" t="s">
        <v>63</v>
      </c>
      <c r="S707" t="s">
        <v>73</v>
      </c>
      <c r="T707" t="s">
        <v>30</v>
      </c>
    </row>
    <row r="708" spans="1:20" x14ac:dyDescent="0.3">
      <c r="A708">
        <v>10786</v>
      </c>
      <c r="B708" s="2">
        <v>45759</v>
      </c>
      <c r="C708" t="s">
        <v>20</v>
      </c>
      <c r="D708" t="s">
        <v>64</v>
      </c>
      <c r="E708" t="s">
        <v>22</v>
      </c>
      <c r="F708" t="s">
        <v>41</v>
      </c>
      <c r="G708" t="s">
        <v>74</v>
      </c>
      <c r="H708" t="s">
        <v>25</v>
      </c>
      <c r="I708" t="s">
        <v>127</v>
      </c>
      <c r="J708">
        <v>1240</v>
      </c>
      <c r="K708">
        <v>18</v>
      </c>
      <c r="L708" t="s">
        <v>57</v>
      </c>
      <c r="M708">
        <v>65</v>
      </c>
      <c r="N708">
        <v>33.200000000000003</v>
      </c>
      <c r="O708">
        <v>72.400000000000006</v>
      </c>
      <c r="P708">
        <v>7.05</v>
      </c>
      <c r="Q708">
        <v>1.92</v>
      </c>
      <c r="R708" t="s">
        <v>80</v>
      </c>
      <c r="S708" t="s">
        <v>39</v>
      </c>
      <c r="T708" t="s">
        <v>30</v>
      </c>
    </row>
    <row r="709" spans="1:20" x14ac:dyDescent="0.3">
      <c r="A709">
        <v>10959</v>
      </c>
      <c r="B709" s="2">
        <v>45955</v>
      </c>
      <c r="C709" t="s">
        <v>20</v>
      </c>
      <c r="D709" t="s">
        <v>59</v>
      </c>
      <c r="E709" t="s">
        <v>22</v>
      </c>
      <c r="F709" t="s">
        <v>41</v>
      </c>
      <c r="G709" t="s">
        <v>34</v>
      </c>
      <c r="H709" t="s">
        <v>148</v>
      </c>
      <c r="I709" t="s">
        <v>255</v>
      </c>
      <c r="J709">
        <v>1293</v>
      </c>
      <c r="K709">
        <v>9</v>
      </c>
      <c r="L709" t="s">
        <v>45</v>
      </c>
      <c r="M709">
        <v>72</v>
      </c>
      <c r="N709">
        <v>43.4</v>
      </c>
      <c r="O709">
        <v>58.6</v>
      </c>
      <c r="P709">
        <v>5.31</v>
      </c>
      <c r="Q709">
        <v>2.86</v>
      </c>
      <c r="R709" t="s">
        <v>245</v>
      </c>
      <c r="S709" t="s">
        <v>29</v>
      </c>
      <c r="T709" t="s">
        <v>30</v>
      </c>
    </row>
    <row r="710" spans="1:20" x14ac:dyDescent="0.3">
      <c r="A710">
        <v>10061</v>
      </c>
      <c r="B710" s="2">
        <v>45719</v>
      </c>
      <c r="C710" t="s">
        <v>20</v>
      </c>
      <c r="D710" t="s">
        <v>59</v>
      </c>
      <c r="E710" t="s">
        <v>22</v>
      </c>
      <c r="F710" t="s">
        <v>41</v>
      </c>
      <c r="G710" t="s">
        <v>34</v>
      </c>
      <c r="H710" t="s">
        <v>123</v>
      </c>
      <c r="I710" t="s">
        <v>244</v>
      </c>
      <c r="J710">
        <v>510</v>
      </c>
      <c r="K710">
        <v>15</v>
      </c>
      <c r="L710" t="s">
        <v>71</v>
      </c>
      <c r="M710">
        <v>97</v>
      </c>
      <c r="N710">
        <v>50.2</v>
      </c>
      <c r="O710">
        <v>85</v>
      </c>
      <c r="P710">
        <v>3.94</v>
      </c>
      <c r="Q710">
        <v>2.88</v>
      </c>
      <c r="R710" t="s">
        <v>147</v>
      </c>
      <c r="S710" t="s">
        <v>73</v>
      </c>
      <c r="T710" t="s">
        <v>30</v>
      </c>
    </row>
    <row r="711" spans="1:20" x14ac:dyDescent="0.3">
      <c r="A711">
        <v>11108</v>
      </c>
      <c r="B711" s="2">
        <v>45760</v>
      </c>
      <c r="C711" t="s">
        <v>277</v>
      </c>
      <c r="D711" t="s">
        <v>32</v>
      </c>
      <c r="E711" t="s">
        <v>22</v>
      </c>
      <c r="F711" t="s">
        <v>23</v>
      </c>
      <c r="G711" t="s">
        <v>24</v>
      </c>
      <c r="I711" t="s">
        <v>366</v>
      </c>
      <c r="J711">
        <v>758</v>
      </c>
      <c r="K711">
        <v>14</v>
      </c>
      <c r="L711" t="s">
        <v>68</v>
      </c>
      <c r="M711">
        <v>180</v>
      </c>
      <c r="N711">
        <v>65.7</v>
      </c>
      <c r="O711">
        <v>71.7</v>
      </c>
      <c r="P711">
        <v>6.09</v>
      </c>
      <c r="Q711">
        <v>3.91</v>
      </c>
      <c r="R711" t="s">
        <v>240</v>
      </c>
      <c r="S711" t="s">
        <v>73</v>
      </c>
      <c r="T711" t="s">
        <v>30</v>
      </c>
    </row>
    <row r="712" spans="1:20" x14ac:dyDescent="0.3">
      <c r="A712">
        <v>10093</v>
      </c>
      <c r="B712" s="2">
        <v>45883</v>
      </c>
      <c r="C712" t="s">
        <v>360</v>
      </c>
      <c r="D712" t="s">
        <v>59</v>
      </c>
      <c r="E712" t="s">
        <v>107</v>
      </c>
      <c r="F712" t="s">
        <v>23</v>
      </c>
      <c r="G712" t="s">
        <v>42</v>
      </c>
      <c r="H712" t="s">
        <v>90</v>
      </c>
      <c r="I712" t="s">
        <v>380</v>
      </c>
      <c r="J712">
        <v>855</v>
      </c>
      <c r="K712">
        <v>29</v>
      </c>
      <c r="L712" t="s">
        <v>57</v>
      </c>
      <c r="M712">
        <v>109</v>
      </c>
      <c r="N712">
        <v>29.1</v>
      </c>
      <c r="O712">
        <v>76.099999999999994</v>
      </c>
      <c r="P712">
        <v>4.32</v>
      </c>
      <c r="Q712">
        <v>0.43</v>
      </c>
      <c r="R712" t="s">
        <v>63</v>
      </c>
      <c r="S712" t="s">
        <v>29</v>
      </c>
      <c r="T712" t="s">
        <v>48</v>
      </c>
    </row>
    <row r="713" spans="1:20" x14ac:dyDescent="0.3">
      <c r="A713">
        <v>10667</v>
      </c>
      <c r="B713" s="2">
        <v>45661</v>
      </c>
      <c r="C713" t="s">
        <v>31</v>
      </c>
      <c r="D713" t="s">
        <v>21</v>
      </c>
      <c r="E713" t="s">
        <v>40</v>
      </c>
      <c r="F713" t="s">
        <v>23</v>
      </c>
      <c r="G713" t="s">
        <v>134</v>
      </c>
      <c r="H713" t="s">
        <v>69</v>
      </c>
      <c r="I713" t="s">
        <v>358</v>
      </c>
      <c r="J713">
        <v>1153</v>
      </c>
      <c r="K713">
        <v>3</v>
      </c>
      <c r="L713" t="s">
        <v>68</v>
      </c>
      <c r="M713">
        <v>17</v>
      </c>
      <c r="N713">
        <v>40.6</v>
      </c>
      <c r="O713">
        <v>65.3</v>
      </c>
      <c r="P713">
        <v>4.49</v>
      </c>
      <c r="Q713">
        <v>3.63</v>
      </c>
      <c r="R713" t="s">
        <v>153</v>
      </c>
      <c r="S713" t="s">
        <v>29</v>
      </c>
      <c r="T713" t="s">
        <v>30</v>
      </c>
    </row>
    <row r="714" spans="1:20" x14ac:dyDescent="0.3">
      <c r="A714">
        <v>10794</v>
      </c>
      <c r="B714" s="2">
        <v>45900</v>
      </c>
      <c r="C714" t="s">
        <v>20</v>
      </c>
      <c r="D714" t="s">
        <v>59</v>
      </c>
      <c r="E714" t="s">
        <v>22</v>
      </c>
      <c r="F714" t="s">
        <v>23</v>
      </c>
      <c r="G714" t="s">
        <v>89</v>
      </c>
      <c r="H714" t="s">
        <v>69</v>
      </c>
      <c r="I714" t="s">
        <v>364</v>
      </c>
      <c r="J714">
        <v>803</v>
      </c>
      <c r="K714">
        <v>11</v>
      </c>
      <c r="L714" t="s">
        <v>37</v>
      </c>
      <c r="M714">
        <v>142</v>
      </c>
      <c r="N714">
        <v>35.799999999999997</v>
      </c>
      <c r="O714">
        <v>69.099999999999994</v>
      </c>
      <c r="P714">
        <v>5.36</v>
      </c>
      <c r="Q714">
        <v>2.5499999999999998</v>
      </c>
      <c r="R714" t="s">
        <v>125</v>
      </c>
      <c r="S714" t="s">
        <v>39</v>
      </c>
      <c r="T714" t="s">
        <v>30</v>
      </c>
    </row>
    <row r="715" spans="1:20" x14ac:dyDescent="0.3">
      <c r="A715">
        <v>10195</v>
      </c>
      <c r="B715" s="2">
        <v>45860</v>
      </c>
      <c r="C715" t="s">
        <v>31</v>
      </c>
      <c r="D715" t="s">
        <v>64</v>
      </c>
      <c r="E715" t="s">
        <v>33</v>
      </c>
      <c r="F715" t="s">
        <v>98</v>
      </c>
      <c r="G715" t="s">
        <v>74</v>
      </c>
      <c r="H715" t="s">
        <v>88</v>
      </c>
      <c r="I715" t="s">
        <v>83</v>
      </c>
      <c r="J715">
        <v>1229</v>
      </c>
      <c r="K715">
        <v>45</v>
      </c>
      <c r="L715" t="s">
        <v>57</v>
      </c>
      <c r="M715">
        <v>79</v>
      </c>
      <c r="N715">
        <v>42</v>
      </c>
      <c r="O715">
        <v>61.8</v>
      </c>
      <c r="P715">
        <v>6.09</v>
      </c>
      <c r="Q715">
        <v>3.99</v>
      </c>
      <c r="R715" t="s">
        <v>232</v>
      </c>
      <c r="S715" t="s">
        <v>29</v>
      </c>
      <c r="T715" t="s">
        <v>48</v>
      </c>
    </row>
    <row r="716" spans="1:20" x14ac:dyDescent="0.3">
      <c r="A716">
        <v>10281</v>
      </c>
      <c r="B716" s="2">
        <v>45961</v>
      </c>
      <c r="C716" t="s">
        <v>49</v>
      </c>
      <c r="D716" t="s">
        <v>59</v>
      </c>
      <c r="E716" t="s">
        <v>22</v>
      </c>
      <c r="F716" t="s">
        <v>23</v>
      </c>
      <c r="G716" t="s">
        <v>50</v>
      </c>
      <c r="H716" t="s">
        <v>51</v>
      </c>
      <c r="I716" t="s">
        <v>220</v>
      </c>
      <c r="J716">
        <v>1005</v>
      </c>
      <c r="K716">
        <v>9</v>
      </c>
      <c r="L716" t="s">
        <v>27</v>
      </c>
      <c r="M716">
        <v>128</v>
      </c>
      <c r="N716">
        <v>46.6</v>
      </c>
      <c r="O716">
        <v>75.5</v>
      </c>
      <c r="P716">
        <v>5.19</v>
      </c>
      <c r="Q716">
        <v>3.59</v>
      </c>
      <c r="R716" t="s">
        <v>222</v>
      </c>
      <c r="S716" t="s">
        <v>29</v>
      </c>
      <c r="T716" t="s">
        <v>30</v>
      </c>
    </row>
    <row r="717" spans="1:20" x14ac:dyDescent="0.3">
      <c r="A717">
        <v>10696</v>
      </c>
      <c r="B717" s="2">
        <v>45693</v>
      </c>
      <c r="C717" t="s">
        <v>49</v>
      </c>
      <c r="D717" t="s">
        <v>32</v>
      </c>
      <c r="E717" t="s">
        <v>107</v>
      </c>
      <c r="F717" t="s">
        <v>98</v>
      </c>
      <c r="G717" t="s">
        <v>95</v>
      </c>
      <c r="H717" t="s">
        <v>192</v>
      </c>
      <c r="I717" t="s">
        <v>323</v>
      </c>
      <c r="J717">
        <v>1003</v>
      </c>
      <c r="K717">
        <v>5</v>
      </c>
      <c r="L717" t="s">
        <v>68</v>
      </c>
      <c r="M717">
        <v>38</v>
      </c>
      <c r="N717">
        <v>52</v>
      </c>
      <c r="O717">
        <v>75</v>
      </c>
      <c r="P717">
        <v>5.34</v>
      </c>
      <c r="Q717">
        <v>2.75</v>
      </c>
      <c r="R717" t="s">
        <v>87</v>
      </c>
      <c r="S717" t="s">
        <v>73</v>
      </c>
      <c r="T717" t="s">
        <v>30</v>
      </c>
    </row>
    <row r="718" spans="1:20" x14ac:dyDescent="0.3">
      <c r="A718">
        <v>10360</v>
      </c>
      <c r="B718" s="2">
        <v>45776</v>
      </c>
      <c r="C718" t="s">
        <v>49</v>
      </c>
      <c r="D718" t="s">
        <v>59</v>
      </c>
      <c r="E718" t="s">
        <v>33</v>
      </c>
      <c r="F718" t="s">
        <v>41</v>
      </c>
      <c r="G718" t="s">
        <v>34</v>
      </c>
      <c r="H718" t="s">
        <v>287</v>
      </c>
      <c r="I718" t="s">
        <v>346</v>
      </c>
      <c r="J718">
        <v>548</v>
      </c>
      <c r="K718">
        <v>39</v>
      </c>
      <c r="L718" t="s">
        <v>27</v>
      </c>
      <c r="M718">
        <v>85</v>
      </c>
      <c r="N718">
        <v>27.5</v>
      </c>
      <c r="O718">
        <v>71.8</v>
      </c>
      <c r="P718">
        <v>6.1</v>
      </c>
      <c r="Q718">
        <v>2.59</v>
      </c>
      <c r="R718" t="s">
        <v>240</v>
      </c>
      <c r="S718" t="s">
        <v>47</v>
      </c>
      <c r="T718" t="s">
        <v>48</v>
      </c>
    </row>
    <row r="719" spans="1:20" x14ac:dyDescent="0.3">
      <c r="A719">
        <v>10520</v>
      </c>
      <c r="B719" s="2">
        <v>45803</v>
      </c>
      <c r="C719" t="s">
        <v>31</v>
      </c>
      <c r="D719" t="s">
        <v>21</v>
      </c>
      <c r="E719" t="s">
        <v>22</v>
      </c>
      <c r="F719" t="s">
        <v>41</v>
      </c>
      <c r="G719" t="s">
        <v>109</v>
      </c>
      <c r="H719" t="s">
        <v>82</v>
      </c>
      <c r="I719" t="s">
        <v>233</v>
      </c>
      <c r="J719">
        <v>1116</v>
      </c>
      <c r="K719">
        <v>12</v>
      </c>
      <c r="L719" t="s">
        <v>57</v>
      </c>
      <c r="M719">
        <v>64</v>
      </c>
      <c r="N719">
        <v>32.700000000000003</v>
      </c>
      <c r="O719">
        <v>77.599999999999994</v>
      </c>
      <c r="P719">
        <v>6.02</v>
      </c>
      <c r="Q719">
        <v>1.98</v>
      </c>
      <c r="R719" t="s">
        <v>186</v>
      </c>
      <c r="S719" t="s">
        <v>29</v>
      </c>
      <c r="T719" t="s">
        <v>30</v>
      </c>
    </row>
    <row r="720" spans="1:20" x14ac:dyDescent="0.3">
      <c r="A720">
        <v>11243</v>
      </c>
      <c r="B720" s="2">
        <v>45684</v>
      </c>
      <c r="C720" t="s">
        <v>20</v>
      </c>
      <c r="D720" t="s">
        <v>21</v>
      </c>
      <c r="E720" t="s">
        <v>22</v>
      </c>
      <c r="F720" t="s">
        <v>81</v>
      </c>
      <c r="G720" t="s">
        <v>34</v>
      </c>
      <c r="H720" t="s">
        <v>263</v>
      </c>
      <c r="I720" t="s">
        <v>275</v>
      </c>
      <c r="J720">
        <v>1347</v>
      </c>
      <c r="K720">
        <v>16</v>
      </c>
      <c r="L720" t="s">
        <v>57</v>
      </c>
      <c r="M720">
        <v>155</v>
      </c>
      <c r="N720">
        <v>39.5</v>
      </c>
      <c r="O720">
        <v>64.900000000000006</v>
      </c>
      <c r="P720">
        <v>5.81</v>
      </c>
      <c r="Q720">
        <v>2.35</v>
      </c>
      <c r="R720" t="s">
        <v>137</v>
      </c>
      <c r="S720" t="s">
        <v>29</v>
      </c>
      <c r="T720" t="s">
        <v>30</v>
      </c>
    </row>
    <row r="721" spans="1:20" x14ac:dyDescent="0.3">
      <c r="A721">
        <v>11456</v>
      </c>
      <c r="B721" s="2">
        <v>45669</v>
      </c>
      <c r="C721" t="s">
        <v>207</v>
      </c>
      <c r="D721" t="s">
        <v>21</v>
      </c>
      <c r="E721" t="s">
        <v>22</v>
      </c>
      <c r="F721" t="s">
        <v>81</v>
      </c>
      <c r="G721" t="s">
        <v>134</v>
      </c>
      <c r="H721" t="s">
        <v>265</v>
      </c>
      <c r="I721" t="s">
        <v>197</v>
      </c>
      <c r="J721">
        <v>1578</v>
      </c>
      <c r="K721">
        <v>115</v>
      </c>
      <c r="L721" t="s">
        <v>37</v>
      </c>
      <c r="M721">
        <v>150</v>
      </c>
      <c r="N721">
        <v>45.4</v>
      </c>
      <c r="O721">
        <v>79.900000000000006</v>
      </c>
      <c r="P721">
        <v>4.99</v>
      </c>
      <c r="Q721">
        <v>3.9</v>
      </c>
      <c r="R721" t="s">
        <v>245</v>
      </c>
      <c r="S721" t="s">
        <v>29</v>
      </c>
      <c r="T721" t="s">
        <v>48</v>
      </c>
    </row>
    <row r="722" spans="1:20" x14ac:dyDescent="0.3">
      <c r="A722">
        <v>10183</v>
      </c>
      <c r="B722" s="2">
        <v>45794</v>
      </c>
      <c r="C722" t="s">
        <v>31</v>
      </c>
      <c r="D722" t="s">
        <v>64</v>
      </c>
      <c r="E722" t="s">
        <v>33</v>
      </c>
      <c r="F722" t="s">
        <v>81</v>
      </c>
      <c r="G722" t="s">
        <v>95</v>
      </c>
      <c r="H722" t="s">
        <v>101</v>
      </c>
      <c r="I722" t="s">
        <v>104</v>
      </c>
      <c r="J722">
        <v>696</v>
      </c>
      <c r="K722">
        <v>15</v>
      </c>
      <c r="L722" t="s">
        <v>71</v>
      </c>
      <c r="M722">
        <v>179</v>
      </c>
      <c r="N722">
        <v>36.700000000000003</v>
      </c>
      <c r="O722">
        <v>77.2</v>
      </c>
      <c r="Q722">
        <v>0.65</v>
      </c>
      <c r="R722" t="s">
        <v>38</v>
      </c>
      <c r="S722" t="s">
        <v>29</v>
      </c>
      <c r="T722" t="s">
        <v>30</v>
      </c>
    </row>
    <row r="723" spans="1:20" x14ac:dyDescent="0.3">
      <c r="A723">
        <v>11035</v>
      </c>
      <c r="B723" s="2">
        <v>45817</v>
      </c>
      <c r="C723" t="s">
        <v>49</v>
      </c>
      <c r="D723" t="s">
        <v>64</v>
      </c>
      <c r="E723" t="s">
        <v>22</v>
      </c>
      <c r="F723" t="s">
        <v>41</v>
      </c>
      <c r="G723" t="s">
        <v>134</v>
      </c>
      <c r="H723" t="s">
        <v>177</v>
      </c>
      <c r="I723" t="s">
        <v>333</v>
      </c>
      <c r="J723">
        <v>1341</v>
      </c>
      <c r="K723">
        <v>51</v>
      </c>
      <c r="L723" t="s">
        <v>57</v>
      </c>
      <c r="M723">
        <v>144</v>
      </c>
      <c r="N723">
        <v>38.4</v>
      </c>
      <c r="O723">
        <v>61.3</v>
      </c>
      <c r="P723">
        <v>3.85</v>
      </c>
      <c r="Q723">
        <v>4.25</v>
      </c>
      <c r="R723" t="s">
        <v>72</v>
      </c>
      <c r="S723" t="s">
        <v>73</v>
      </c>
      <c r="T723" t="s">
        <v>48</v>
      </c>
    </row>
    <row r="724" spans="1:20" x14ac:dyDescent="0.3">
      <c r="A724">
        <v>10111</v>
      </c>
      <c r="B724" s="2">
        <v>45795</v>
      </c>
      <c r="C724" t="s">
        <v>49</v>
      </c>
      <c r="D724" t="s">
        <v>32</v>
      </c>
      <c r="E724" t="s">
        <v>22</v>
      </c>
      <c r="F724" t="s">
        <v>41</v>
      </c>
      <c r="G724" t="s">
        <v>74</v>
      </c>
      <c r="H724" t="s">
        <v>90</v>
      </c>
      <c r="I724" t="s">
        <v>256</v>
      </c>
      <c r="J724">
        <v>573</v>
      </c>
      <c r="K724">
        <v>4</v>
      </c>
      <c r="L724" t="s">
        <v>27</v>
      </c>
      <c r="M724">
        <v>85</v>
      </c>
      <c r="N724">
        <v>37.9</v>
      </c>
      <c r="O724">
        <v>61.6</v>
      </c>
      <c r="P724">
        <v>4.08</v>
      </c>
      <c r="Q724">
        <v>0.28999999999999998</v>
      </c>
      <c r="R724" t="s">
        <v>105</v>
      </c>
      <c r="S724" t="s">
        <v>29</v>
      </c>
      <c r="T724" t="s">
        <v>30</v>
      </c>
    </row>
    <row r="725" spans="1:20" x14ac:dyDescent="0.3">
      <c r="A725">
        <v>10043</v>
      </c>
      <c r="B725" s="2">
        <v>45699</v>
      </c>
      <c r="C725" t="s">
        <v>31</v>
      </c>
      <c r="D725" t="s">
        <v>32</v>
      </c>
      <c r="E725" t="s">
        <v>22</v>
      </c>
      <c r="F725" t="s">
        <v>41</v>
      </c>
      <c r="G725" t="s">
        <v>50</v>
      </c>
      <c r="H725" t="s">
        <v>287</v>
      </c>
      <c r="I725" t="s">
        <v>316</v>
      </c>
      <c r="J725">
        <v>1270</v>
      </c>
      <c r="K725">
        <v>39</v>
      </c>
      <c r="L725" t="s">
        <v>71</v>
      </c>
      <c r="M725">
        <v>161</v>
      </c>
      <c r="N725">
        <v>38.799999999999997</v>
      </c>
      <c r="O725">
        <v>65.2</v>
      </c>
      <c r="P725">
        <v>5.86</v>
      </c>
      <c r="Q725">
        <v>1.86</v>
      </c>
      <c r="R725" t="s">
        <v>63</v>
      </c>
      <c r="S725" t="s">
        <v>29</v>
      </c>
      <c r="T725" t="s">
        <v>48</v>
      </c>
    </row>
    <row r="726" spans="1:20" x14ac:dyDescent="0.3">
      <c r="A726">
        <v>10926</v>
      </c>
      <c r="B726" s="2">
        <v>45985</v>
      </c>
      <c r="C726" t="s">
        <v>31</v>
      </c>
      <c r="D726" t="s">
        <v>59</v>
      </c>
      <c r="E726" t="s">
        <v>22</v>
      </c>
      <c r="F726" t="s">
        <v>23</v>
      </c>
      <c r="G726" t="s">
        <v>24</v>
      </c>
      <c r="H726" t="s">
        <v>51</v>
      </c>
      <c r="I726" t="s">
        <v>357</v>
      </c>
      <c r="J726">
        <v>1521</v>
      </c>
      <c r="K726">
        <v>18</v>
      </c>
      <c r="L726" t="s">
        <v>27</v>
      </c>
      <c r="M726">
        <v>33</v>
      </c>
      <c r="N726">
        <v>51.3</v>
      </c>
      <c r="O726">
        <v>81.3</v>
      </c>
      <c r="P726">
        <v>5.18</v>
      </c>
      <c r="Q726">
        <v>1.34</v>
      </c>
      <c r="R726" t="s">
        <v>227</v>
      </c>
      <c r="S726" t="s">
        <v>29</v>
      </c>
      <c r="T726" t="s">
        <v>30</v>
      </c>
    </row>
    <row r="727" spans="1:20" x14ac:dyDescent="0.3">
      <c r="A727">
        <v>10205</v>
      </c>
      <c r="B727" s="2">
        <v>45784</v>
      </c>
      <c r="C727" t="s">
        <v>49</v>
      </c>
      <c r="D727" t="s">
        <v>59</v>
      </c>
      <c r="E727" t="s">
        <v>22</v>
      </c>
      <c r="F727" t="s">
        <v>41</v>
      </c>
      <c r="G727" t="s">
        <v>89</v>
      </c>
      <c r="H727" t="s">
        <v>120</v>
      </c>
      <c r="I727" t="s">
        <v>62</v>
      </c>
      <c r="J727">
        <v>1215</v>
      </c>
      <c r="K727">
        <v>34</v>
      </c>
      <c r="L727" t="s">
        <v>27</v>
      </c>
      <c r="M727">
        <v>147</v>
      </c>
      <c r="N727">
        <v>37.5</v>
      </c>
      <c r="O727">
        <v>64.599999999999994</v>
      </c>
      <c r="Q727">
        <v>3.43</v>
      </c>
      <c r="R727" t="s">
        <v>103</v>
      </c>
      <c r="S727" t="s">
        <v>39</v>
      </c>
      <c r="T727" t="s">
        <v>30</v>
      </c>
    </row>
    <row r="728" spans="1:20" x14ac:dyDescent="0.3">
      <c r="A728">
        <v>11120</v>
      </c>
      <c r="B728" s="2">
        <v>45715</v>
      </c>
      <c r="C728" t="s">
        <v>20</v>
      </c>
      <c r="D728" t="s">
        <v>59</v>
      </c>
      <c r="E728" t="s">
        <v>33</v>
      </c>
      <c r="F728" t="s">
        <v>41</v>
      </c>
      <c r="G728" t="s">
        <v>42</v>
      </c>
      <c r="H728" t="s">
        <v>287</v>
      </c>
      <c r="I728" t="s">
        <v>385</v>
      </c>
      <c r="J728">
        <v>1176</v>
      </c>
      <c r="K728">
        <v>6</v>
      </c>
      <c r="L728" t="s">
        <v>57</v>
      </c>
      <c r="M728">
        <v>119</v>
      </c>
      <c r="N728">
        <v>34.200000000000003</v>
      </c>
      <c r="O728">
        <v>67</v>
      </c>
      <c r="P728">
        <v>4.99</v>
      </c>
      <c r="Q728">
        <v>1.85</v>
      </c>
      <c r="R728" t="s">
        <v>87</v>
      </c>
      <c r="S728" t="s">
        <v>47</v>
      </c>
      <c r="T728" t="s">
        <v>30</v>
      </c>
    </row>
    <row r="729" spans="1:20" x14ac:dyDescent="0.3">
      <c r="A729">
        <v>10053</v>
      </c>
      <c r="B729" s="2">
        <v>45938</v>
      </c>
      <c r="C729" t="s">
        <v>31</v>
      </c>
      <c r="D729" t="s">
        <v>64</v>
      </c>
      <c r="E729" t="s">
        <v>33</v>
      </c>
      <c r="F729" t="s">
        <v>41</v>
      </c>
      <c r="G729" t="s">
        <v>34</v>
      </c>
      <c r="H729" t="s">
        <v>93</v>
      </c>
      <c r="I729" t="s">
        <v>218</v>
      </c>
      <c r="J729">
        <v>1185</v>
      </c>
      <c r="K729">
        <v>9</v>
      </c>
      <c r="L729" t="s">
        <v>27</v>
      </c>
      <c r="M729">
        <v>33</v>
      </c>
      <c r="N729">
        <v>38.200000000000003</v>
      </c>
      <c r="O729">
        <v>65.8</v>
      </c>
      <c r="P729">
        <v>5.36</v>
      </c>
      <c r="Q729">
        <v>1.72</v>
      </c>
      <c r="R729" t="s">
        <v>84</v>
      </c>
      <c r="S729" t="s">
        <v>29</v>
      </c>
      <c r="T729" t="s">
        <v>30</v>
      </c>
    </row>
    <row r="730" spans="1:20" x14ac:dyDescent="0.3">
      <c r="A730">
        <v>10546</v>
      </c>
      <c r="B730" s="2">
        <v>45957</v>
      </c>
      <c r="C730" t="s">
        <v>49</v>
      </c>
      <c r="D730" t="s">
        <v>64</v>
      </c>
      <c r="E730" t="s">
        <v>22</v>
      </c>
      <c r="F730" t="s">
        <v>41</v>
      </c>
      <c r="G730" t="s">
        <v>109</v>
      </c>
      <c r="H730" t="s">
        <v>123</v>
      </c>
      <c r="I730" t="s">
        <v>330</v>
      </c>
      <c r="J730">
        <v>1358</v>
      </c>
      <c r="K730">
        <v>11</v>
      </c>
      <c r="L730" t="s">
        <v>45</v>
      </c>
      <c r="M730">
        <v>126</v>
      </c>
      <c r="N730">
        <v>46.6</v>
      </c>
      <c r="O730">
        <v>56.3</v>
      </c>
      <c r="P730">
        <v>4.37</v>
      </c>
      <c r="Q730">
        <v>3.03</v>
      </c>
      <c r="R730" t="s">
        <v>77</v>
      </c>
      <c r="S730" t="s">
        <v>47</v>
      </c>
      <c r="T730" t="s">
        <v>30</v>
      </c>
    </row>
    <row r="731" spans="1:20" x14ac:dyDescent="0.3">
      <c r="A731">
        <v>11326</v>
      </c>
      <c r="B731" s="2">
        <v>46014</v>
      </c>
      <c r="C731" t="s">
        <v>31</v>
      </c>
      <c r="D731" t="s">
        <v>32</v>
      </c>
      <c r="E731" t="s">
        <v>33</v>
      </c>
      <c r="F731" t="s">
        <v>81</v>
      </c>
      <c r="G731" t="s">
        <v>89</v>
      </c>
      <c r="H731" t="s">
        <v>93</v>
      </c>
      <c r="I731" t="s">
        <v>197</v>
      </c>
      <c r="J731">
        <v>1012</v>
      </c>
      <c r="K731">
        <v>6</v>
      </c>
      <c r="L731" t="s">
        <v>71</v>
      </c>
      <c r="M731">
        <v>122</v>
      </c>
      <c r="N731">
        <v>37.6</v>
      </c>
      <c r="O731">
        <v>70.400000000000006</v>
      </c>
      <c r="P731">
        <v>6.27</v>
      </c>
      <c r="Q731">
        <v>1.57</v>
      </c>
      <c r="R731" t="s">
        <v>28</v>
      </c>
      <c r="S731" t="s">
        <v>73</v>
      </c>
      <c r="T731" t="s">
        <v>30</v>
      </c>
    </row>
    <row r="732" spans="1:20" x14ac:dyDescent="0.3">
      <c r="A732">
        <v>10906</v>
      </c>
      <c r="B732" s="2">
        <v>45770</v>
      </c>
      <c r="C732" t="s">
        <v>20</v>
      </c>
      <c r="D732" t="s">
        <v>64</v>
      </c>
      <c r="E732" t="s">
        <v>33</v>
      </c>
      <c r="F732" t="s">
        <v>23</v>
      </c>
      <c r="G732" t="s">
        <v>113</v>
      </c>
      <c r="H732" t="s">
        <v>101</v>
      </c>
      <c r="I732" t="s">
        <v>294</v>
      </c>
      <c r="J732">
        <v>725</v>
      </c>
      <c r="K732">
        <v>7</v>
      </c>
      <c r="L732" t="s">
        <v>71</v>
      </c>
      <c r="M732">
        <v>78</v>
      </c>
      <c r="N732">
        <v>32.5</v>
      </c>
      <c r="O732">
        <v>70.3</v>
      </c>
      <c r="P732">
        <v>4.43</v>
      </c>
      <c r="Q732">
        <v>2.74</v>
      </c>
      <c r="R732" t="s">
        <v>153</v>
      </c>
      <c r="S732" t="s">
        <v>73</v>
      </c>
      <c r="T732" t="s">
        <v>30</v>
      </c>
    </row>
    <row r="733" spans="1:20" x14ac:dyDescent="0.3">
      <c r="A733">
        <v>11031</v>
      </c>
      <c r="B733" s="2">
        <v>45828</v>
      </c>
      <c r="C733" t="s">
        <v>106</v>
      </c>
      <c r="D733" t="s">
        <v>32</v>
      </c>
      <c r="E733" t="s">
        <v>22</v>
      </c>
      <c r="F733" t="s">
        <v>23</v>
      </c>
      <c r="G733" t="s">
        <v>60</v>
      </c>
      <c r="H733" t="s">
        <v>114</v>
      </c>
      <c r="I733" t="s">
        <v>198</v>
      </c>
      <c r="J733">
        <v>1138</v>
      </c>
      <c r="K733">
        <v>31</v>
      </c>
      <c r="L733" t="s">
        <v>45</v>
      </c>
      <c r="M733">
        <v>177</v>
      </c>
      <c r="N733">
        <v>55.4</v>
      </c>
      <c r="O733">
        <v>68.7</v>
      </c>
      <c r="P733">
        <v>5.57</v>
      </c>
      <c r="Q733">
        <v>2.97</v>
      </c>
      <c r="R733" t="s">
        <v>143</v>
      </c>
      <c r="S733" t="s">
        <v>29</v>
      </c>
      <c r="T733" t="s">
        <v>30</v>
      </c>
    </row>
    <row r="734" spans="1:20" x14ac:dyDescent="0.3">
      <c r="A734">
        <v>11081</v>
      </c>
      <c r="B734" s="2">
        <v>45788</v>
      </c>
      <c r="C734" t="s">
        <v>49</v>
      </c>
      <c r="D734" t="s">
        <v>64</v>
      </c>
      <c r="E734" t="s">
        <v>107</v>
      </c>
      <c r="F734" t="s">
        <v>108</v>
      </c>
      <c r="G734" t="s">
        <v>134</v>
      </c>
      <c r="H734" t="s">
        <v>177</v>
      </c>
      <c r="I734" t="s">
        <v>52</v>
      </c>
      <c r="J734">
        <v>1227</v>
      </c>
      <c r="K734">
        <v>14</v>
      </c>
      <c r="L734" t="s">
        <v>45</v>
      </c>
      <c r="M734">
        <v>168</v>
      </c>
      <c r="N734">
        <v>41.1</v>
      </c>
      <c r="O734">
        <v>68.5</v>
      </c>
      <c r="P734">
        <v>5.0599999999999996</v>
      </c>
      <c r="Q734">
        <v>2.66</v>
      </c>
      <c r="R734" t="s">
        <v>159</v>
      </c>
      <c r="S734" t="s">
        <v>47</v>
      </c>
      <c r="T734" t="s">
        <v>30</v>
      </c>
    </row>
    <row r="735" spans="1:20" x14ac:dyDescent="0.3">
      <c r="A735">
        <v>10184</v>
      </c>
      <c r="B735" s="2">
        <v>45952</v>
      </c>
      <c r="C735" t="s">
        <v>49</v>
      </c>
      <c r="D735" t="s">
        <v>64</v>
      </c>
      <c r="E735" t="s">
        <v>40</v>
      </c>
      <c r="F735" t="s">
        <v>23</v>
      </c>
      <c r="G735" t="s">
        <v>60</v>
      </c>
      <c r="H735" t="s">
        <v>35</v>
      </c>
      <c r="I735" t="s">
        <v>36</v>
      </c>
      <c r="J735">
        <v>542</v>
      </c>
      <c r="K735">
        <v>5</v>
      </c>
      <c r="L735" t="s">
        <v>27</v>
      </c>
      <c r="M735">
        <v>11</v>
      </c>
      <c r="N735">
        <v>45.8</v>
      </c>
      <c r="O735">
        <v>82.7</v>
      </c>
      <c r="P735">
        <v>5.54</v>
      </c>
      <c r="Q735">
        <v>3.75</v>
      </c>
      <c r="R735" t="s">
        <v>46</v>
      </c>
      <c r="S735" t="s">
        <v>39</v>
      </c>
      <c r="T735" t="s">
        <v>30</v>
      </c>
    </row>
    <row r="736" spans="1:20" x14ac:dyDescent="0.3">
      <c r="A736">
        <v>10138</v>
      </c>
      <c r="B736" s="2">
        <v>45725</v>
      </c>
      <c r="C736" t="s">
        <v>20</v>
      </c>
      <c r="D736" t="s">
        <v>64</v>
      </c>
      <c r="E736" t="s">
        <v>22</v>
      </c>
      <c r="F736" t="s">
        <v>41</v>
      </c>
      <c r="G736" t="s">
        <v>42</v>
      </c>
      <c r="H736" t="s">
        <v>90</v>
      </c>
      <c r="I736" t="s">
        <v>289</v>
      </c>
      <c r="J736">
        <v>526</v>
      </c>
      <c r="K736">
        <v>22</v>
      </c>
      <c r="L736" t="s">
        <v>57</v>
      </c>
      <c r="M736">
        <v>57</v>
      </c>
      <c r="N736">
        <v>40.5</v>
      </c>
      <c r="O736">
        <v>81.8</v>
      </c>
      <c r="P736">
        <v>4.3499999999999996</v>
      </c>
      <c r="Q736">
        <v>1.84</v>
      </c>
      <c r="R736" t="s">
        <v>186</v>
      </c>
      <c r="S736" t="s">
        <v>29</v>
      </c>
      <c r="T736" t="s">
        <v>48</v>
      </c>
    </row>
    <row r="737" spans="1:20" x14ac:dyDescent="0.3">
      <c r="A737">
        <v>10983</v>
      </c>
      <c r="B737" s="2">
        <v>45680</v>
      </c>
      <c r="C737" t="s">
        <v>31</v>
      </c>
      <c r="D737" t="s">
        <v>32</v>
      </c>
      <c r="E737" t="s">
        <v>33</v>
      </c>
      <c r="F737" t="s">
        <v>81</v>
      </c>
      <c r="G737" t="s">
        <v>89</v>
      </c>
      <c r="H737" t="s">
        <v>138</v>
      </c>
      <c r="I737" t="s">
        <v>218</v>
      </c>
      <c r="J737">
        <v>1533</v>
      </c>
      <c r="K737">
        <v>4</v>
      </c>
      <c r="L737" t="s">
        <v>37</v>
      </c>
      <c r="M737">
        <v>62</v>
      </c>
      <c r="N737">
        <v>38.6</v>
      </c>
      <c r="O737">
        <v>75.8</v>
      </c>
      <c r="P737">
        <v>6.44</v>
      </c>
      <c r="Q737">
        <v>4.75</v>
      </c>
      <c r="R737" t="s">
        <v>122</v>
      </c>
      <c r="S737" t="s">
        <v>47</v>
      </c>
      <c r="T737" t="s">
        <v>30</v>
      </c>
    </row>
    <row r="738" spans="1:20" x14ac:dyDescent="0.3">
      <c r="A738">
        <v>10081</v>
      </c>
      <c r="B738" s="2">
        <v>45998</v>
      </c>
      <c r="C738" t="s">
        <v>20</v>
      </c>
      <c r="D738" t="s">
        <v>32</v>
      </c>
      <c r="E738" t="s">
        <v>107</v>
      </c>
      <c r="F738" t="s">
        <v>23</v>
      </c>
      <c r="G738" t="s">
        <v>74</v>
      </c>
      <c r="H738" t="s">
        <v>131</v>
      </c>
      <c r="I738" t="s">
        <v>289</v>
      </c>
      <c r="J738">
        <v>600</v>
      </c>
      <c r="K738">
        <v>1</v>
      </c>
      <c r="L738" t="s">
        <v>37</v>
      </c>
      <c r="M738">
        <v>179</v>
      </c>
      <c r="N738">
        <v>48.1</v>
      </c>
      <c r="O738">
        <v>76</v>
      </c>
      <c r="P738">
        <v>5.32</v>
      </c>
      <c r="Q738">
        <v>3.2</v>
      </c>
      <c r="R738" t="s">
        <v>183</v>
      </c>
      <c r="S738" t="s">
        <v>29</v>
      </c>
      <c r="T738" t="s">
        <v>30</v>
      </c>
    </row>
    <row r="739" spans="1:20" x14ac:dyDescent="0.3">
      <c r="A739">
        <v>11223</v>
      </c>
      <c r="B739" s="2">
        <v>45925</v>
      </c>
      <c r="C739" t="s">
        <v>49</v>
      </c>
      <c r="D739" t="s">
        <v>64</v>
      </c>
      <c r="E739" t="s">
        <v>33</v>
      </c>
      <c r="F739" t="s">
        <v>41</v>
      </c>
      <c r="G739" t="s">
        <v>109</v>
      </c>
      <c r="H739" t="s">
        <v>265</v>
      </c>
      <c r="I739" t="s">
        <v>365</v>
      </c>
      <c r="J739">
        <v>712</v>
      </c>
      <c r="K739">
        <v>6</v>
      </c>
      <c r="L739" t="s">
        <v>68</v>
      </c>
      <c r="M739">
        <v>17</v>
      </c>
      <c r="N739">
        <v>44.5</v>
      </c>
      <c r="O739">
        <v>72.099999999999994</v>
      </c>
      <c r="Q739">
        <v>2.91</v>
      </c>
      <c r="R739" t="s">
        <v>92</v>
      </c>
      <c r="S739" t="s">
        <v>73</v>
      </c>
      <c r="T739" t="s">
        <v>30</v>
      </c>
    </row>
    <row r="740" spans="1:20" x14ac:dyDescent="0.3">
      <c r="A740">
        <v>10106</v>
      </c>
      <c r="B740" s="2">
        <v>45848</v>
      </c>
      <c r="C740" t="s">
        <v>49</v>
      </c>
      <c r="D740" t="s">
        <v>32</v>
      </c>
      <c r="E740" t="s">
        <v>40</v>
      </c>
      <c r="F740" t="s">
        <v>41</v>
      </c>
      <c r="G740" t="s">
        <v>50</v>
      </c>
      <c r="H740" t="s">
        <v>169</v>
      </c>
      <c r="I740" t="s">
        <v>236</v>
      </c>
      <c r="J740">
        <v>537</v>
      </c>
      <c r="K740">
        <v>14</v>
      </c>
      <c r="L740" t="s">
        <v>71</v>
      </c>
      <c r="M740">
        <v>29</v>
      </c>
      <c r="N740">
        <v>37.6</v>
      </c>
      <c r="O740">
        <v>75.8</v>
      </c>
      <c r="P740">
        <v>5</v>
      </c>
      <c r="Q740">
        <v>2.78</v>
      </c>
      <c r="R740" t="s">
        <v>38</v>
      </c>
      <c r="S740" t="s">
        <v>47</v>
      </c>
      <c r="T740" t="s">
        <v>30</v>
      </c>
    </row>
    <row r="741" spans="1:20" x14ac:dyDescent="0.3">
      <c r="A741">
        <v>10542</v>
      </c>
      <c r="B741" s="2">
        <v>45686</v>
      </c>
      <c r="C741" t="s">
        <v>31</v>
      </c>
      <c r="D741" t="s">
        <v>64</v>
      </c>
      <c r="E741" t="s">
        <v>22</v>
      </c>
      <c r="F741" t="s">
        <v>41</v>
      </c>
      <c r="G741" t="s">
        <v>89</v>
      </c>
      <c r="H741" t="s">
        <v>123</v>
      </c>
      <c r="I741" t="s">
        <v>312</v>
      </c>
      <c r="J741">
        <v>745</v>
      </c>
      <c r="K741">
        <v>5</v>
      </c>
      <c r="L741" t="s">
        <v>71</v>
      </c>
      <c r="M741">
        <v>180</v>
      </c>
      <c r="N741">
        <v>42.8</v>
      </c>
      <c r="O741">
        <v>59.7</v>
      </c>
      <c r="P741">
        <v>5.72</v>
      </c>
      <c r="Q741">
        <v>2.9</v>
      </c>
      <c r="R741" t="s">
        <v>209</v>
      </c>
      <c r="S741" t="s">
        <v>29</v>
      </c>
      <c r="T741" t="s">
        <v>30</v>
      </c>
    </row>
    <row r="742" spans="1:20" x14ac:dyDescent="0.3">
      <c r="A742">
        <v>11481</v>
      </c>
      <c r="B742" s="2">
        <v>45892</v>
      </c>
      <c r="C742" t="s">
        <v>31</v>
      </c>
      <c r="D742" t="s">
        <v>59</v>
      </c>
      <c r="E742" t="s">
        <v>40</v>
      </c>
      <c r="F742" t="s">
        <v>41</v>
      </c>
      <c r="G742" t="s">
        <v>34</v>
      </c>
      <c r="H742" t="s">
        <v>215</v>
      </c>
      <c r="I742" t="s">
        <v>379</v>
      </c>
      <c r="J742">
        <v>646</v>
      </c>
      <c r="K742">
        <v>7</v>
      </c>
      <c r="L742" t="s">
        <v>45</v>
      </c>
      <c r="M742">
        <v>94</v>
      </c>
      <c r="N742">
        <v>36.700000000000003</v>
      </c>
      <c r="O742">
        <v>75.400000000000006</v>
      </c>
      <c r="P742">
        <v>5.29</v>
      </c>
      <c r="Q742">
        <v>5.42</v>
      </c>
      <c r="R742" t="s">
        <v>128</v>
      </c>
      <c r="S742" t="s">
        <v>73</v>
      </c>
      <c r="T742" t="s">
        <v>30</v>
      </c>
    </row>
    <row r="743" spans="1:20" x14ac:dyDescent="0.3">
      <c r="A743">
        <v>10481</v>
      </c>
      <c r="B743" s="2">
        <v>45706</v>
      </c>
      <c r="C743" t="s">
        <v>20</v>
      </c>
      <c r="D743" t="s">
        <v>32</v>
      </c>
      <c r="E743" t="s">
        <v>33</v>
      </c>
      <c r="F743" t="s">
        <v>81</v>
      </c>
      <c r="G743" t="s">
        <v>60</v>
      </c>
      <c r="H743" t="s">
        <v>190</v>
      </c>
      <c r="I743" t="s">
        <v>372</v>
      </c>
      <c r="J743">
        <v>1391</v>
      </c>
      <c r="K743">
        <v>137</v>
      </c>
      <c r="L743" t="s">
        <v>71</v>
      </c>
      <c r="M743">
        <v>97</v>
      </c>
      <c r="N743">
        <v>35.799999999999997</v>
      </c>
      <c r="O743">
        <v>86.4</v>
      </c>
      <c r="P743">
        <v>4.67</v>
      </c>
      <c r="Q743">
        <v>3.84</v>
      </c>
      <c r="R743" t="s">
        <v>80</v>
      </c>
      <c r="S743" t="s">
        <v>47</v>
      </c>
      <c r="T743" t="s">
        <v>48</v>
      </c>
    </row>
    <row r="744" spans="1:20" x14ac:dyDescent="0.3">
      <c r="A744">
        <v>10166</v>
      </c>
      <c r="B744" s="2">
        <v>45930</v>
      </c>
      <c r="C744" t="s">
        <v>277</v>
      </c>
      <c r="D744" t="s">
        <v>64</v>
      </c>
      <c r="E744" t="s">
        <v>40</v>
      </c>
      <c r="F744" t="s">
        <v>41</v>
      </c>
      <c r="G744" t="s">
        <v>74</v>
      </c>
      <c r="H744" t="s">
        <v>35</v>
      </c>
      <c r="I744" t="s">
        <v>301</v>
      </c>
      <c r="J744">
        <v>611</v>
      </c>
      <c r="K744">
        <v>7</v>
      </c>
      <c r="L744" t="s">
        <v>45</v>
      </c>
      <c r="M744" t="s">
        <v>386</v>
      </c>
      <c r="N744">
        <v>46.2</v>
      </c>
      <c r="O744">
        <v>70.5</v>
      </c>
      <c r="P744">
        <v>5.63</v>
      </c>
      <c r="Q744">
        <v>3.78</v>
      </c>
      <c r="R744" t="s">
        <v>202</v>
      </c>
      <c r="S744" t="s">
        <v>39</v>
      </c>
      <c r="T744" t="s">
        <v>30</v>
      </c>
    </row>
    <row r="745" spans="1:20" x14ac:dyDescent="0.3">
      <c r="A745">
        <v>10249</v>
      </c>
      <c r="B745" s="2">
        <v>45936</v>
      </c>
      <c r="C745" t="s">
        <v>31</v>
      </c>
      <c r="D745" t="s">
        <v>59</v>
      </c>
      <c r="E745" t="s">
        <v>40</v>
      </c>
      <c r="F745" t="s">
        <v>41</v>
      </c>
      <c r="G745" t="s">
        <v>24</v>
      </c>
      <c r="H745" t="s">
        <v>88</v>
      </c>
      <c r="I745" t="s">
        <v>231</v>
      </c>
      <c r="J745">
        <v>461</v>
      </c>
      <c r="K745">
        <v>7</v>
      </c>
      <c r="L745" t="s">
        <v>68</v>
      </c>
      <c r="M745">
        <v>145</v>
      </c>
      <c r="N745">
        <v>40.200000000000003</v>
      </c>
      <c r="O745">
        <v>68</v>
      </c>
      <c r="P745">
        <v>4.43</v>
      </c>
      <c r="Q745">
        <v>3.35</v>
      </c>
      <c r="R745" t="s">
        <v>72</v>
      </c>
      <c r="S745" t="s">
        <v>39</v>
      </c>
      <c r="T745" t="s">
        <v>30</v>
      </c>
    </row>
    <row r="746" spans="1:20" x14ac:dyDescent="0.3">
      <c r="A746">
        <v>10308</v>
      </c>
      <c r="B746" s="2">
        <v>46012</v>
      </c>
      <c r="C746" t="s">
        <v>20</v>
      </c>
      <c r="D746" t="s">
        <v>64</v>
      </c>
      <c r="E746" t="s">
        <v>33</v>
      </c>
      <c r="F746" t="s">
        <v>98</v>
      </c>
      <c r="G746" t="s">
        <v>34</v>
      </c>
      <c r="H746" t="s">
        <v>252</v>
      </c>
      <c r="I746" t="s">
        <v>166</v>
      </c>
      <c r="J746">
        <v>910</v>
      </c>
      <c r="K746">
        <v>12</v>
      </c>
      <c r="L746" t="s">
        <v>45</v>
      </c>
      <c r="M746">
        <v>96</v>
      </c>
      <c r="N746">
        <v>49.3</v>
      </c>
      <c r="O746">
        <v>78.099999999999994</v>
      </c>
      <c r="P746">
        <v>5.95</v>
      </c>
      <c r="Q746">
        <v>2.15</v>
      </c>
      <c r="R746" t="s">
        <v>130</v>
      </c>
      <c r="S746" t="s">
        <v>47</v>
      </c>
      <c r="T746" t="s">
        <v>30</v>
      </c>
    </row>
    <row r="747" spans="1:20" x14ac:dyDescent="0.3">
      <c r="A747">
        <v>10447</v>
      </c>
      <c r="B747" s="2">
        <v>45736</v>
      </c>
      <c r="C747" t="s">
        <v>49</v>
      </c>
      <c r="D747" t="s">
        <v>64</v>
      </c>
      <c r="E747" t="s">
        <v>40</v>
      </c>
      <c r="F747" t="s">
        <v>23</v>
      </c>
      <c r="G747" t="s">
        <v>74</v>
      </c>
      <c r="H747" t="s">
        <v>141</v>
      </c>
      <c r="I747" t="s">
        <v>377</v>
      </c>
      <c r="J747">
        <v>1072</v>
      </c>
      <c r="K747">
        <v>3</v>
      </c>
      <c r="L747" t="s">
        <v>68</v>
      </c>
      <c r="M747">
        <v>155</v>
      </c>
      <c r="N747">
        <v>55.7</v>
      </c>
      <c r="O747">
        <v>78.7</v>
      </c>
      <c r="P747">
        <v>4.84</v>
      </c>
      <c r="Q747">
        <v>2.39</v>
      </c>
      <c r="R747" t="s">
        <v>133</v>
      </c>
      <c r="S747" t="s">
        <v>73</v>
      </c>
      <c r="T747" t="s">
        <v>30</v>
      </c>
    </row>
    <row r="748" spans="1:20" x14ac:dyDescent="0.3">
      <c r="A748">
        <v>10755</v>
      </c>
      <c r="B748" s="2">
        <v>45760</v>
      </c>
      <c r="C748" t="s">
        <v>49</v>
      </c>
      <c r="D748" t="s">
        <v>32</v>
      </c>
      <c r="E748" t="s">
        <v>40</v>
      </c>
      <c r="F748" t="s">
        <v>23</v>
      </c>
      <c r="G748" t="s">
        <v>34</v>
      </c>
      <c r="H748" t="s">
        <v>175</v>
      </c>
      <c r="I748" t="s">
        <v>104</v>
      </c>
      <c r="J748">
        <v>493</v>
      </c>
      <c r="K748">
        <v>6</v>
      </c>
      <c r="L748" t="s">
        <v>37</v>
      </c>
      <c r="M748">
        <v>140</v>
      </c>
      <c r="N748">
        <v>51.1</v>
      </c>
      <c r="O748">
        <v>66.3</v>
      </c>
      <c r="P748">
        <v>5.94</v>
      </c>
      <c r="Q748">
        <v>4.79</v>
      </c>
      <c r="R748" t="s">
        <v>147</v>
      </c>
      <c r="S748" t="s">
        <v>47</v>
      </c>
      <c r="T748" t="s">
        <v>30</v>
      </c>
    </row>
    <row r="749" spans="1:20" x14ac:dyDescent="0.3">
      <c r="A749">
        <v>10335</v>
      </c>
      <c r="B749" s="2">
        <v>45865</v>
      </c>
      <c r="C749" t="s">
        <v>49</v>
      </c>
      <c r="D749" t="s">
        <v>64</v>
      </c>
      <c r="E749" t="s">
        <v>107</v>
      </c>
      <c r="F749" t="s">
        <v>41</v>
      </c>
      <c r="G749" t="s">
        <v>95</v>
      </c>
      <c r="H749" t="s">
        <v>252</v>
      </c>
      <c r="I749" t="s">
        <v>333</v>
      </c>
      <c r="J749">
        <v>478</v>
      </c>
      <c r="K749">
        <v>2</v>
      </c>
      <c r="L749" t="s">
        <v>71</v>
      </c>
      <c r="M749">
        <v>70</v>
      </c>
      <c r="N749">
        <v>48.7</v>
      </c>
      <c r="O749">
        <v>76.2</v>
      </c>
      <c r="P749">
        <v>5.05</v>
      </c>
      <c r="Q749">
        <v>2.58</v>
      </c>
      <c r="R749" t="s">
        <v>216</v>
      </c>
      <c r="S749" t="s">
        <v>47</v>
      </c>
      <c r="T749" t="s">
        <v>30</v>
      </c>
    </row>
    <row r="750" spans="1:20" x14ac:dyDescent="0.3">
      <c r="A750">
        <v>10098</v>
      </c>
      <c r="B750" s="2">
        <v>45664</v>
      </c>
      <c r="C750" t="s">
        <v>31</v>
      </c>
      <c r="D750" t="s">
        <v>21</v>
      </c>
      <c r="E750" t="s">
        <v>33</v>
      </c>
      <c r="F750" t="s">
        <v>81</v>
      </c>
      <c r="G750" t="s">
        <v>109</v>
      </c>
      <c r="H750" t="s">
        <v>96</v>
      </c>
      <c r="I750" t="s">
        <v>303</v>
      </c>
      <c r="J750">
        <v>871</v>
      </c>
      <c r="K750">
        <v>7</v>
      </c>
      <c r="L750" t="s">
        <v>27</v>
      </c>
      <c r="M750">
        <v>134</v>
      </c>
      <c r="N750">
        <v>40.4</v>
      </c>
      <c r="O750">
        <v>63.6</v>
      </c>
      <c r="P750">
        <v>5.51</v>
      </c>
      <c r="Q750">
        <v>4.3</v>
      </c>
      <c r="R750" t="s">
        <v>174</v>
      </c>
      <c r="S750" t="s">
        <v>29</v>
      </c>
      <c r="T750" t="s">
        <v>30</v>
      </c>
    </row>
    <row r="751" spans="1:20" x14ac:dyDescent="0.3">
      <c r="A751">
        <v>11079</v>
      </c>
      <c r="B751" s="2">
        <v>45746</v>
      </c>
      <c r="C751" t="s">
        <v>20</v>
      </c>
      <c r="D751" t="s">
        <v>59</v>
      </c>
      <c r="E751" t="s">
        <v>40</v>
      </c>
      <c r="F751" t="s">
        <v>23</v>
      </c>
      <c r="G751" t="s">
        <v>54</v>
      </c>
      <c r="H751" t="s">
        <v>172</v>
      </c>
      <c r="I751" t="s">
        <v>97</v>
      </c>
      <c r="J751">
        <v>1297</v>
      </c>
      <c r="K751">
        <v>10</v>
      </c>
      <c r="L751" t="s">
        <v>57</v>
      </c>
      <c r="M751">
        <v>84</v>
      </c>
      <c r="N751">
        <v>34.1</v>
      </c>
      <c r="O751">
        <v>68</v>
      </c>
      <c r="P751">
        <v>5.77</v>
      </c>
      <c r="Q751">
        <v>0.72</v>
      </c>
      <c r="R751" t="s">
        <v>174</v>
      </c>
      <c r="S751" t="s">
        <v>39</v>
      </c>
      <c r="T751" t="s">
        <v>30</v>
      </c>
    </row>
    <row r="752" spans="1:20" x14ac:dyDescent="0.3">
      <c r="A752">
        <v>10738</v>
      </c>
      <c r="B752" s="2">
        <v>45967</v>
      </c>
      <c r="C752" t="s">
        <v>49</v>
      </c>
      <c r="D752" t="s">
        <v>32</v>
      </c>
      <c r="E752" t="s">
        <v>33</v>
      </c>
      <c r="F752" t="s">
        <v>41</v>
      </c>
      <c r="G752" t="s">
        <v>74</v>
      </c>
      <c r="H752" t="s">
        <v>141</v>
      </c>
      <c r="I752" t="s">
        <v>306</v>
      </c>
      <c r="J752">
        <v>1202</v>
      </c>
      <c r="K752">
        <v>17</v>
      </c>
      <c r="L752" t="s">
        <v>57</v>
      </c>
      <c r="M752">
        <v>116</v>
      </c>
      <c r="N752">
        <v>49.2</v>
      </c>
      <c r="O752">
        <v>65.599999999999994</v>
      </c>
      <c r="P752">
        <v>5.37</v>
      </c>
      <c r="Q752">
        <v>1.23</v>
      </c>
      <c r="R752" t="s">
        <v>87</v>
      </c>
      <c r="S752" t="s">
        <v>39</v>
      </c>
      <c r="T752" t="s">
        <v>30</v>
      </c>
    </row>
    <row r="753" spans="1:20" x14ac:dyDescent="0.3">
      <c r="A753">
        <v>10847</v>
      </c>
      <c r="B753" s="2">
        <v>45775</v>
      </c>
      <c r="C753" t="s">
        <v>106</v>
      </c>
      <c r="D753" t="s">
        <v>59</v>
      </c>
      <c r="E753" t="s">
        <v>22</v>
      </c>
      <c r="F753" t="s">
        <v>41</v>
      </c>
      <c r="G753" t="s">
        <v>113</v>
      </c>
      <c r="H753" t="s">
        <v>177</v>
      </c>
      <c r="I753" t="s">
        <v>374</v>
      </c>
      <c r="J753">
        <v>1415</v>
      </c>
      <c r="K753">
        <v>11</v>
      </c>
      <c r="L753" t="s">
        <v>57</v>
      </c>
      <c r="M753">
        <v>137</v>
      </c>
      <c r="N753">
        <v>37.200000000000003</v>
      </c>
      <c r="O753">
        <v>71.599999999999994</v>
      </c>
      <c r="P753">
        <v>5.4</v>
      </c>
      <c r="Q753">
        <v>1.35</v>
      </c>
      <c r="R753" t="s">
        <v>143</v>
      </c>
      <c r="S753" t="s">
        <v>29</v>
      </c>
      <c r="T753" t="s">
        <v>30</v>
      </c>
    </row>
    <row r="754" spans="1:20" x14ac:dyDescent="0.3">
      <c r="A754">
        <v>11236</v>
      </c>
      <c r="B754" s="2">
        <v>45765</v>
      </c>
      <c r="C754" t="s">
        <v>49</v>
      </c>
      <c r="D754" t="s">
        <v>59</v>
      </c>
      <c r="E754" t="s">
        <v>33</v>
      </c>
      <c r="F754" t="s">
        <v>41</v>
      </c>
      <c r="G754" t="s">
        <v>74</v>
      </c>
      <c r="H754" t="s">
        <v>114</v>
      </c>
      <c r="I754" t="s">
        <v>338</v>
      </c>
      <c r="J754">
        <v>800</v>
      </c>
      <c r="K754">
        <v>11</v>
      </c>
      <c r="L754" t="s">
        <v>57</v>
      </c>
      <c r="M754">
        <v>35</v>
      </c>
      <c r="N754">
        <v>41.9</v>
      </c>
      <c r="O754">
        <v>70.2</v>
      </c>
      <c r="P754">
        <v>5.63</v>
      </c>
      <c r="Q754">
        <v>4.1399999999999997</v>
      </c>
      <c r="R754" t="s">
        <v>186</v>
      </c>
      <c r="S754" t="s">
        <v>47</v>
      </c>
      <c r="T754" t="s">
        <v>30</v>
      </c>
    </row>
    <row r="755" spans="1:20" x14ac:dyDescent="0.3">
      <c r="A755">
        <v>10103</v>
      </c>
      <c r="B755" s="2">
        <v>45797</v>
      </c>
      <c r="C755" t="s">
        <v>31</v>
      </c>
      <c r="D755" t="s">
        <v>21</v>
      </c>
      <c r="E755" t="s">
        <v>33</v>
      </c>
      <c r="F755" t="s">
        <v>41</v>
      </c>
      <c r="G755" t="s">
        <v>109</v>
      </c>
      <c r="H755" t="s">
        <v>177</v>
      </c>
      <c r="I755" t="s">
        <v>324</v>
      </c>
      <c r="J755">
        <v>618</v>
      </c>
      <c r="K755">
        <v>9</v>
      </c>
      <c r="L755" t="s">
        <v>68</v>
      </c>
      <c r="M755">
        <v>148</v>
      </c>
      <c r="N755">
        <v>45.8</v>
      </c>
      <c r="O755">
        <v>80.599999999999994</v>
      </c>
      <c r="P755">
        <v>4.91</v>
      </c>
      <c r="Q755">
        <v>1.88</v>
      </c>
      <c r="R755" t="s">
        <v>222</v>
      </c>
      <c r="S755" t="s">
        <v>29</v>
      </c>
      <c r="T755" t="s">
        <v>30</v>
      </c>
    </row>
    <row r="756" spans="1:20" x14ac:dyDescent="0.3">
      <c r="A756">
        <v>10435</v>
      </c>
      <c r="B756" s="2">
        <v>45705</v>
      </c>
      <c r="C756" t="s">
        <v>31</v>
      </c>
      <c r="D756" t="s">
        <v>32</v>
      </c>
      <c r="E756" t="s">
        <v>22</v>
      </c>
      <c r="F756" t="s">
        <v>81</v>
      </c>
      <c r="G756" t="s">
        <v>113</v>
      </c>
      <c r="H756" t="s">
        <v>123</v>
      </c>
      <c r="I756" t="s">
        <v>289</v>
      </c>
      <c r="J756">
        <v>1597</v>
      </c>
      <c r="K756" t="s">
        <v>387</v>
      </c>
      <c r="L756" t="s">
        <v>57</v>
      </c>
      <c r="M756">
        <v>72</v>
      </c>
      <c r="N756">
        <v>41.2</v>
      </c>
      <c r="O756">
        <v>75.599999999999994</v>
      </c>
      <c r="P756">
        <v>5.87</v>
      </c>
      <c r="Q756">
        <v>2.41</v>
      </c>
      <c r="R756" t="s">
        <v>105</v>
      </c>
      <c r="S756" t="s">
        <v>29</v>
      </c>
      <c r="T756" t="s">
        <v>30</v>
      </c>
    </row>
    <row r="757" spans="1:20" x14ac:dyDescent="0.3">
      <c r="A757">
        <v>10075</v>
      </c>
      <c r="B757" s="2">
        <v>45868</v>
      </c>
      <c r="C757" t="s">
        <v>49</v>
      </c>
      <c r="D757" t="s">
        <v>64</v>
      </c>
      <c r="E757" t="s">
        <v>107</v>
      </c>
      <c r="F757" t="s">
        <v>41</v>
      </c>
      <c r="G757" t="s">
        <v>113</v>
      </c>
      <c r="H757" t="s">
        <v>263</v>
      </c>
      <c r="I757" t="s">
        <v>295</v>
      </c>
      <c r="J757">
        <v>1134</v>
      </c>
      <c r="K757">
        <v>5</v>
      </c>
      <c r="L757" t="s">
        <v>37</v>
      </c>
      <c r="M757">
        <v>39</v>
      </c>
      <c r="N757">
        <v>39.1</v>
      </c>
      <c r="O757">
        <v>60.7</v>
      </c>
      <c r="P757">
        <v>5.59</v>
      </c>
      <c r="Q757">
        <v>2.34</v>
      </c>
      <c r="R757" t="s">
        <v>240</v>
      </c>
      <c r="S757" t="s">
        <v>29</v>
      </c>
      <c r="T757" t="s">
        <v>30</v>
      </c>
    </row>
    <row r="758" spans="1:20" x14ac:dyDescent="0.3">
      <c r="A758">
        <v>11353</v>
      </c>
      <c r="B758" s="2">
        <v>45760</v>
      </c>
      <c r="C758" t="s">
        <v>31</v>
      </c>
      <c r="D758" t="s">
        <v>64</v>
      </c>
      <c r="E758" t="s">
        <v>33</v>
      </c>
      <c r="F758" t="s">
        <v>41</v>
      </c>
      <c r="G758" t="s">
        <v>113</v>
      </c>
      <c r="I758" t="s">
        <v>129</v>
      </c>
      <c r="J758">
        <v>1164</v>
      </c>
      <c r="K758">
        <v>16</v>
      </c>
      <c r="L758" t="s">
        <v>57</v>
      </c>
      <c r="M758">
        <v>55</v>
      </c>
      <c r="N758">
        <v>51.2</v>
      </c>
      <c r="O758">
        <v>77.8</v>
      </c>
      <c r="P758">
        <v>5.0199999999999996</v>
      </c>
      <c r="Q758">
        <v>1</v>
      </c>
      <c r="R758" t="s">
        <v>186</v>
      </c>
      <c r="S758" t="s">
        <v>29</v>
      </c>
      <c r="T758" t="s">
        <v>30</v>
      </c>
    </row>
    <row r="759" spans="1:20" x14ac:dyDescent="0.3">
      <c r="A759">
        <v>10887</v>
      </c>
      <c r="B759" s="2">
        <v>45753</v>
      </c>
      <c r="C759" t="s">
        <v>20</v>
      </c>
      <c r="D759" t="s">
        <v>32</v>
      </c>
      <c r="E759" t="s">
        <v>107</v>
      </c>
      <c r="F759" t="s">
        <v>23</v>
      </c>
      <c r="G759" t="s">
        <v>95</v>
      </c>
      <c r="H759" t="s">
        <v>35</v>
      </c>
      <c r="I759" t="s">
        <v>332</v>
      </c>
      <c r="J759">
        <v>530</v>
      </c>
      <c r="K759">
        <v>15</v>
      </c>
      <c r="L759" t="s">
        <v>45</v>
      </c>
      <c r="M759">
        <v>152</v>
      </c>
      <c r="N759">
        <v>29.4</v>
      </c>
      <c r="O759">
        <v>71.599999999999994</v>
      </c>
      <c r="P759">
        <v>3.97</v>
      </c>
      <c r="Q759">
        <v>5.2</v>
      </c>
      <c r="R759" t="s">
        <v>147</v>
      </c>
      <c r="S759" t="s">
        <v>39</v>
      </c>
      <c r="T759" t="s">
        <v>30</v>
      </c>
    </row>
    <row r="760" spans="1:20" x14ac:dyDescent="0.3">
      <c r="A760">
        <v>11372</v>
      </c>
      <c r="B760" s="2">
        <v>45755</v>
      </c>
      <c r="C760" t="s">
        <v>49</v>
      </c>
      <c r="D760" t="s">
        <v>32</v>
      </c>
      <c r="E760" t="s">
        <v>40</v>
      </c>
      <c r="F760" t="s">
        <v>41</v>
      </c>
      <c r="G760" t="s">
        <v>34</v>
      </c>
      <c r="H760" t="s">
        <v>175</v>
      </c>
      <c r="I760" t="s">
        <v>231</v>
      </c>
      <c r="J760">
        <v>1052</v>
      </c>
      <c r="K760">
        <v>40</v>
      </c>
      <c r="L760" t="s">
        <v>71</v>
      </c>
      <c r="M760">
        <v>106</v>
      </c>
      <c r="N760">
        <v>40.200000000000003</v>
      </c>
      <c r="O760">
        <v>69.599999999999994</v>
      </c>
      <c r="P760">
        <v>4.9800000000000004</v>
      </c>
      <c r="Q760">
        <v>4.29</v>
      </c>
      <c r="R760" t="s">
        <v>232</v>
      </c>
      <c r="S760" t="s">
        <v>29</v>
      </c>
      <c r="T760" t="s">
        <v>48</v>
      </c>
    </row>
    <row r="761" spans="1:20" x14ac:dyDescent="0.3">
      <c r="A761">
        <v>10303</v>
      </c>
      <c r="B761" s="2">
        <v>45972</v>
      </c>
      <c r="C761" t="s">
        <v>49</v>
      </c>
      <c r="D761" t="s">
        <v>32</v>
      </c>
      <c r="E761" t="s">
        <v>107</v>
      </c>
      <c r="F761" t="s">
        <v>274</v>
      </c>
      <c r="G761" t="s">
        <v>113</v>
      </c>
      <c r="H761" t="s">
        <v>25</v>
      </c>
      <c r="I761" t="s">
        <v>388</v>
      </c>
      <c r="J761">
        <v>1549</v>
      </c>
      <c r="K761">
        <v>17</v>
      </c>
      <c r="L761" t="s">
        <v>71</v>
      </c>
      <c r="M761">
        <v>171</v>
      </c>
      <c r="N761">
        <v>39.5</v>
      </c>
      <c r="O761">
        <v>76.2</v>
      </c>
      <c r="P761">
        <v>5.82</v>
      </c>
      <c r="Q761">
        <v>2.7</v>
      </c>
      <c r="R761" t="s">
        <v>147</v>
      </c>
      <c r="S761" t="s">
        <v>39</v>
      </c>
      <c r="T761" t="s">
        <v>30</v>
      </c>
    </row>
    <row r="762" spans="1:20" x14ac:dyDescent="0.3">
      <c r="A762">
        <v>11275</v>
      </c>
      <c r="B762" s="2">
        <v>45889</v>
      </c>
      <c r="C762" t="s">
        <v>31</v>
      </c>
      <c r="D762" t="s">
        <v>32</v>
      </c>
      <c r="E762" t="s">
        <v>107</v>
      </c>
      <c r="F762" t="s">
        <v>41</v>
      </c>
      <c r="G762" t="s">
        <v>54</v>
      </c>
      <c r="H762" t="s">
        <v>190</v>
      </c>
      <c r="I762" t="s">
        <v>364</v>
      </c>
      <c r="J762">
        <v>682</v>
      </c>
      <c r="K762">
        <v>3</v>
      </c>
      <c r="L762" t="s">
        <v>57</v>
      </c>
      <c r="M762">
        <v>68</v>
      </c>
      <c r="N762">
        <v>43.8</v>
      </c>
      <c r="O762">
        <v>60.1</v>
      </c>
      <c r="P762">
        <v>4.55</v>
      </c>
      <c r="Q762">
        <v>1.87</v>
      </c>
      <c r="R762" t="s">
        <v>245</v>
      </c>
      <c r="S762" t="s">
        <v>47</v>
      </c>
      <c r="T762" t="s">
        <v>30</v>
      </c>
    </row>
    <row r="763" spans="1:20" x14ac:dyDescent="0.3">
      <c r="A763">
        <v>11234</v>
      </c>
      <c r="B763" s="2">
        <v>45927</v>
      </c>
      <c r="C763" t="s">
        <v>20</v>
      </c>
      <c r="D763" t="s">
        <v>64</v>
      </c>
      <c r="E763" t="s">
        <v>33</v>
      </c>
      <c r="F763" t="s">
        <v>23</v>
      </c>
      <c r="G763" t="s">
        <v>34</v>
      </c>
      <c r="H763" t="s">
        <v>78</v>
      </c>
      <c r="I763" t="s">
        <v>380</v>
      </c>
      <c r="J763">
        <v>754</v>
      </c>
      <c r="K763">
        <v>22</v>
      </c>
      <c r="L763" t="s">
        <v>37</v>
      </c>
      <c r="M763">
        <v>177</v>
      </c>
      <c r="N763">
        <v>41.7</v>
      </c>
      <c r="O763">
        <v>76.099999999999994</v>
      </c>
      <c r="P763">
        <v>4.32</v>
      </c>
      <c r="Q763">
        <v>3.67</v>
      </c>
      <c r="R763" t="s">
        <v>87</v>
      </c>
      <c r="S763" t="s">
        <v>29</v>
      </c>
      <c r="T763" t="s">
        <v>30</v>
      </c>
    </row>
    <row r="764" spans="1:20" x14ac:dyDescent="0.3">
      <c r="A764">
        <v>10763</v>
      </c>
      <c r="B764" s="2">
        <v>45759</v>
      </c>
      <c r="C764" t="s">
        <v>20</v>
      </c>
      <c r="D764" t="s">
        <v>32</v>
      </c>
      <c r="E764" t="s">
        <v>40</v>
      </c>
      <c r="F764" t="s">
        <v>41</v>
      </c>
      <c r="G764" t="s">
        <v>109</v>
      </c>
      <c r="H764" t="s">
        <v>263</v>
      </c>
      <c r="I764" t="s">
        <v>115</v>
      </c>
      <c r="J764">
        <v>581</v>
      </c>
      <c r="K764">
        <v>4</v>
      </c>
      <c r="L764" t="s">
        <v>45</v>
      </c>
      <c r="M764">
        <v>39</v>
      </c>
      <c r="N764">
        <v>52.7</v>
      </c>
      <c r="O764">
        <v>55.5</v>
      </c>
      <c r="P764">
        <v>4.9400000000000004</v>
      </c>
      <c r="Q764">
        <v>3.61</v>
      </c>
      <c r="R764" t="s">
        <v>105</v>
      </c>
      <c r="S764" t="s">
        <v>47</v>
      </c>
      <c r="T764" t="s">
        <v>30</v>
      </c>
    </row>
    <row r="765" spans="1:20" x14ac:dyDescent="0.3">
      <c r="A765">
        <v>10734</v>
      </c>
      <c r="B765" s="2">
        <v>45804</v>
      </c>
      <c r="C765" t="s">
        <v>49</v>
      </c>
      <c r="D765" t="s">
        <v>21</v>
      </c>
      <c r="E765" t="s">
        <v>33</v>
      </c>
      <c r="F765" t="s">
        <v>274</v>
      </c>
      <c r="G765" t="s">
        <v>113</v>
      </c>
      <c r="H765" t="s">
        <v>82</v>
      </c>
      <c r="I765" t="s">
        <v>124</v>
      </c>
      <c r="J765">
        <v>483</v>
      </c>
      <c r="K765">
        <v>3</v>
      </c>
      <c r="L765" t="s">
        <v>37</v>
      </c>
      <c r="M765">
        <v>54</v>
      </c>
      <c r="N765">
        <v>33.200000000000003</v>
      </c>
      <c r="O765">
        <v>68.8</v>
      </c>
      <c r="P765">
        <v>4.3600000000000003</v>
      </c>
      <c r="Q765">
        <v>2.2999999999999998</v>
      </c>
      <c r="R765" t="s">
        <v>130</v>
      </c>
      <c r="S765" t="s">
        <v>73</v>
      </c>
      <c r="T765" t="s">
        <v>30</v>
      </c>
    </row>
    <row r="766" spans="1:20" x14ac:dyDescent="0.3">
      <c r="A766">
        <v>10389</v>
      </c>
      <c r="B766" s="2">
        <v>45793</v>
      </c>
      <c r="C766" t="s">
        <v>31</v>
      </c>
      <c r="D766" t="s">
        <v>32</v>
      </c>
      <c r="E766" t="s">
        <v>40</v>
      </c>
      <c r="F766" t="s">
        <v>274</v>
      </c>
      <c r="G766" t="s">
        <v>74</v>
      </c>
      <c r="H766" t="s">
        <v>51</v>
      </c>
      <c r="I766" t="s">
        <v>359</v>
      </c>
      <c r="J766">
        <v>635</v>
      </c>
      <c r="K766">
        <v>4</v>
      </c>
      <c r="L766" t="s">
        <v>68</v>
      </c>
      <c r="M766">
        <v>146</v>
      </c>
      <c r="N766">
        <v>41.6</v>
      </c>
      <c r="O766">
        <v>81.5</v>
      </c>
      <c r="P766">
        <v>5.47</v>
      </c>
      <c r="Q766">
        <v>2.73</v>
      </c>
      <c r="R766" t="s">
        <v>280</v>
      </c>
      <c r="S766" t="s">
        <v>47</v>
      </c>
      <c r="T766" t="s">
        <v>30</v>
      </c>
    </row>
    <row r="767" spans="1:20" x14ac:dyDescent="0.3">
      <c r="A767">
        <v>10236</v>
      </c>
      <c r="B767" s="2">
        <v>45983</v>
      </c>
      <c r="C767" t="s">
        <v>20</v>
      </c>
      <c r="D767" t="s">
        <v>21</v>
      </c>
      <c r="E767" t="s">
        <v>40</v>
      </c>
      <c r="F767" t="s">
        <v>98</v>
      </c>
      <c r="G767" t="s">
        <v>54</v>
      </c>
      <c r="H767" t="s">
        <v>61</v>
      </c>
      <c r="I767" t="s">
        <v>298</v>
      </c>
      <c r="J767">
        <v>642</v>
      </c>
      <c r="K767" t="s">
        <v>389</v>
      </c>
      <c r="L767" t="s">
        <v>68</v>
      </c>
      <c r="M767">
        <v>112</v>
      </c>
      <c r="N767">
        <v>49.7</v>
      </c>
      <c r="O767">
        <v>80.5</v>
      </c>
      <c r="P767">
        <v>5.63</v>
      </c>
      <c r="Q767">
        <v>3.2</v>
      </c>
      <c r="R767" t="s">
        <v>155</v>
      </c>
      <c r="S767" t="s">
        <v>29</v>
      </c>
      <c r="T767" t="s">
        <v>30</v>
      </c>
    </row>
    <row r="768" spans="1:20" x14ac:dyDescent="0.3">
      <c r="A768">
        <v>11264</v>
      </c>
      <c r="B768" s="2">
        <v>45673</v>
      </c>
      <c r="C768" t="s">
        <v>360</v>
      </c>
      <c r="D768" t="s">
        <v>32</v>
      </c>
      <c r="E768" t="s">
        <v>22</v>
      </c>
      <c r="F768" t="s">
        <v>41</v>
      </c>
      <c r="G768" t="s">
        <v>54</v>
      </c>
      <c r="H768" t="s">
        <v>126</v>
      </c>
      <c r="I768" t="s">
        <v>374</v>
      </c>
      <c r="J768">
        <v>1103</v>
      </c>
      <c r="K768">
        <v>7</v>
      </c>
      <c r="L768" t="s">
        <v>27</v>
      </c>
      <c r="M768">
        <v>150</v>
      </c>
      <c r="N768">
        <v>38.6</v>
      </c>
      <c r="O768">
        <v>57.3</v>
      </c>
      <c r="P768">
        <v>5.14</v>
      </c>
      <c r="Q768">
        <v>4.1900000000000004</v>
      </c>
      <c r="R768" t="s">
        <v>128</v>
      </c>
      <c r="S768" t="s">
        <v>47</v>
      </c>
      <c r="T768" t="s">
        <v>30</v>
      </c>
    </row>
    <row r="769" spans="1:20" x14ac:dyDescent="0.3">
      <c r="A769">
        <v>10268</v>
      </c>
      <c r="B769" s="2">
        <v>45689</v>
      </c>
      <c r="C769" t="s">
        <v>20</v>
      </c>
      <c r="D769" t="s">
        <v>21</v>
      </c>
      <c r="E769" t="s">
        <v>33</v>
      </c>
      <c r="F769" t="s">
        <v>23</v>
      </c>
      <c r="G769" t="s">
        <v>34</v>
      </c>
      <c r="H769" t="s">
        <v>213</v>
      </c>
      <c r="I769" t="s">
        <v>338</v>
      </c>
      <c r="J769">
        <v>546</v>
      </c>
      <c r="K769">
        <v>6</v>
      </c>
      <c r="L769" t="s">
        <v>71</v>
      </c>
      <c r="M769">
        <v>38</v>
      </c>
      <c r="N769">
        <v>41.3</v>
      </c>
      <c r="O769">
        <v>68.400000000000006</v>
      </c>
      <c r="P769">
        <v>4.74</v>
      </c>
      <c r="Q769">
        <v>4</v>
      </c>
      <c r="R769" t="s">
        <v>159</v>
      </c>
      <c r="S769" t="s">
        <v>39</v>
      </c>
      <c r="T769" t="s">
        <v>30</v>
      </c>
    </row>
    <row r="770" spans="1:20" x14ac:dyDescent="0.3">
      <c r="A770">
        <v>10306</v>
      </c>
      <c r="B770" s="2">
        <v>45855</v>
      </c>
      <c r="C770" t="s">
        <v>49</v>
      </c>
      <c r="D770" t="s">
        <v>59</v>
      </c>
      <c r="E770" t="s">
        <v>22</v>
      </c>
      <c r="F770" t="s">
        <v>41</v>
      </c>
      <c r="G770" t="s">
        <v>42</v>
      </c>
      <c r="H770" t="s">
        <v>169</v>
      </c>
      <c r="I770" t="s">
        <v>163</v>
      </c>
      <c r="J770">
        <v>466</v>
      </c>
      <c r="K770">
        <v>2</v>
      </c>
      <c r="L770" t="s">
        <v>37</v>
      </c>
      <c r="M770">
        <v>82</v>
      </c>
      <c r="N770">
        <v>39.700000000000003</v>
      </c>
      <c r="O770">
        <v>82.1</v>
      </c>
      <c r="P770">
        <v>5.52</v>
      </c>
      <c r="Q770">
        <v>2.61</v>
      </c>
      <c r="R770" t="s">
        <v>58</v>
      </c>
      <c r="S770" t="s">
        <v>29</v>
      </c>
      <c r="T770" t="s">
        <v>30</v>
      </c>
    </row>
    <row r="771" spans="1:20" x14ac:dyDescent="0.3">
      <c r="A771">
        <v>10118</v>
      </c>
      <c r="B771" s="2">
        <v>45924</v>
      </c>
      <c r="C771" t="s">
        <v>49</v>
      </c>
      <c r="D771" t="s">
        <v>21</v>
      </c>
      <c r="E771" t="s">
        <v>107</v>
      </c>
      <c r="F771" t="s">
        <v>23</v>
      </c>
      <c r="G771" t="s">
        <v>24</v>
      </c>
      <c r="H771" t="s">
        <v>120</v>
      </c>
      <c r="I771" t="s">
        <v>185</v>
      </c>
      <c r="J771">
        <v>1128</v>
      </c>
      <c r="K771">
        <v>40</v>
      </c>
      <c r="L771" t="s">
        <v>71</v>
      </c>
      <c r="M771">
        <v>76</v>
      </c>
      <c r="N771">
        <v>38.9</v>
      </c>
      <c r="O771">
        <v>82.2</v>
      </c>
      <c r="P771">
        <v>5.25</v>
      </c>
      <c r="Q771">
        <v>3.74</v>
      </c>
      <c r="R771" t="s">
        <v>80</v>
      </c>
      <c r="S771" t="s">
        <v>47</v>
      </c>
      <c r="T771" t="s">
        <v>48</v>
      </c>
    </row>
    <row r="772" spans="1:20" x14ac:dyDescent="0.3">
      <c r="A772">
        <v>11222</v>
      </c>
      <c r="B772" s="2">
        <v>45898</v>
      </c>
      <c r="C772" t="s">
        <v>20</v>
      </c>
      <c r="D772" t="s">
        <v>59</v>
      </c>
      <c r="E772" t="s">
        <v>22</v>
      </c>
      <c r="F772" t="s">
        <v>41</v>
      </c>
      <c r="G772" t="s">
        <v>24</v>
      </c>
      <c r="H772" t="s">
        <v>165</v>
      </c>
      <c r="I772" t="s">
        <v>276</v>
      </c>
      <c r="J772">
        <v>962</v>
      </c>
      <c r="K772">
        <v>14</v>
      </c>
      <c r="L772" t="s">
        <v>68</v>
      </c>
      <c r="M772">
        <v>67</v>
      </c>
      <c r="N772">
        <v>45</v>
      </c>
      <c r="O772">
        <v>71</v>
      </c>
      <c r="P772">
        <v>5.66</v>
      </c>
      <c r="Q772">
        <v>0.18</v>
      </c>
      <c r="R772" t="s">
        <v>159</v>
      </c>
      <c r="S772" t="s">
        <v>47</v>
      </c>
      <c r="T772" t="s">
        <v>30</v>
      </c>
    </row>
    <row r="773" spans="1:20" x14ac:dyDescent="0.3">
      <c r="A773">
        <v>10674</v>
      </c>
      <c r="B773" s="2">
        <v>46006</v>
      </c>
      <c r="C773" t="s">
        <v>31</v>
      </c>
      <c r="D773" t="s">
        <v>59</v>
      </c>
      <c r="E773" t="s">
        <v>40</v>
      </c>
      <c r="F773" t="s">
        <v>41</v>
      </c>
      <c r="G773" t="s">
        <v>42</v>
      </c>
      <c r="H773" t="s">
        <v>177</v>
      </c>
      <c r="I773" t="s">
        <v>324</v>
      </c>
      <c r="J773">
        <v>1580</v>
      </c>
      <c r="K773">
        <v>22</v>
      </c>
      <c r="L773" t="s">
        <v>27</v>
      </c>
      <c r="M773">
        <v>90</v>
      </c>
      <c r="N773">
        <v>42.2</v>
      </c>
      <c r="O773">
        <v>56.3</v>
      </c>
      <c r="P773">
        <v>6.16</v>
      </c>
      <c r="Q773">
        <v>1.97</v>
      </c>
      <c r="R773" t="s">
        <v>122</v>
      </c>
      <c r="S773" t="s">
        <v>73</v>
      </c>
      <c r="T773" t="s">
        <v>30</v>
      </c>
    </row>
    <row r="774" spans="1:20" x14ac:dyDescent="0.3">
      <c r="A774">
        <v>10250</v>
      </c>
      <c r="B774" s="2">
        <v>45725</v>
      </c>
      <c r="C774" t="s">
        <v>49</v>
      </c>
      <c r="D774" t="s">
        <v>64</v>
      </c>
      <c r="E774" t="s">
        <v>33</v>
      </c>
      <c r="F774" t="s">
        <v>23</v>
      </c>
      <c r="G774" t="s">
        <v>60</v>
      </c>
      <c r="H774" t="s">
        <v>123</v>
      </c>
      <c r="I774" t="s">
        <v>26</v>
      </c>
      <c r="J774">
        <v>1529</v>
      </c>
      <c r="K774">
        <v>11</v>
      </c>
      <c r="L774" t="s">
        <v>45</v>
      </c>
      <c r="M774">
        <v>28</v>
      </c>
      <c r="N774">
        <v>35.5</v>
      </c>
      <c r="O774">
        <v>59.2</v>
      </c>
      <c r="P774">
        <v>4.9400000000000004</v>
      </c>
      <c r="Q774">
        <v>2.57</v>
      </c>
      <c r="R774" t="s">
        <v>184</v>
      </c>
      <c r="S774" t="s">
        <v>39</v>
      </c>
      <c r="T774" t="s">
        <v>30</v>
      </c>
    </row>
    <row r="775" spans="1:20" x14ac:dyDescent="0.3">
      <c r="A775">
        <v>11101</v>
      </c>
      <c r="B775" s="2">
        <v>45796</v>
      </c>
      <c r="C775" t="s">
        <v>20</v>
      </c>
      <c r="D775" t="s">
        <v>21</v>
      </c>
      <c r="E775" t="s">
        <v>107</v>
      </c>
      <c r="F775" t="s">
        <v>23</v>
      </c>
      <c r="G775" t="s">
        <v>95</v>
      </c>
      <c r="H775" t="s">
        <v>148</v>
      </c>
      <c r="I775" t="s">
        <v>270</v>
      </c>
      <c r="J775">
        <v>1304</v>
      </c>
      <c r="K775">
        <v>107</v>
      </c>
      <c r="L775" t="s">
        <v>45</v>
      </c>
      <c r="M775">
        <v>10</v>
      </c>
      <c r="N775">
        <v>51.5</v>
      </c>
      <c r="O775">
        <v>66.3</v>
      </c>
      <c r="P775">
        <v>5.5</v>
      </c>
      <c r="Q775">
        <v>1.52</v>
      </c>
      <c r="R775" t="s">
        <v>28</v>
      </c>
      <c r="S775" t="s">
        <v>73</v>
      </c>
      <c r="T775" t="s">
        <v>48</v>
      </c>
    </row>
    <row r="776" spans="1:20" x14ac:dyDescent="0.3">
      <c r="A776">
        <v>11086</v>
      </c>
      <c r="B776" s="2">
        <v>45969</v>
      </c>
      <c r="C776" t="s">
        <v>150</v>
      </c>
      <c r="D776" t="s">
        <v>59</v>
      </c>
      <c r="E776" t="s">
        <v>33</v>
      </c>
      <c r="F776" t="s">
        <v>81</v>
      </c>
      <c r="G776" t="s">
        <v>113</v>
      </c>
      <c r="H776" t="s">
        <v>190</v>
      </c>
      <c r="I776" t="s">
        <v>355</v>
      </c>
      <c r="J776">
        <v>521</v>
      </c>
      <c r="K776">
        <v>6</v>
      </c>
      <c r="L776" t="s">
        <v>37</v>
      </c>
      <c r="M776">
        <v>85</v>
      </c>
      <c r="N776">
        <v>50.4</v>
      </c>
      <c r="O776">
        <v>69</v>
      </c>
      <c r="P776">
        <v>5.58</v>
      </c>
      <c r="Q776">
        <v>3.57</v>
      </c>
      <c r="R776" t="s">
        <v>133</v>
      </c>
      <c r="S776" t="s">
        <v>73</v>
      </c>
      <c r="T776" t="s">
        <v>30</v>
      </c>
    </row>
    <row r="777" spans="1:20" x14ac:dyDescent="0.3">
      <c r="A777">
        <v>10072</v>
      </c>
      <c r="B777" s="2">
        <v>45703</v>
      </c>
      <c r="C777" t="s">
        <v>277</v>
      </c>
      <c r="D777" t="s">
        <v>21</v>
      </c>
      <c r="E777" t="s">
        <v>33</v>
      </c>
      <c r="F777" t="s">
        <v>41</v>
      </c>
      <c r="G777" t="s">
        <v>34</v>
      </c>
      <c r="H777" t="s">
        <v>175</v>
      </c>
      <c r="I777" t="s">
        <v>104</v>
      </c>
      <c r="J777">
        <v>551</v>
      </c>
      <c r="K777">
        <v>8</v>
      </c>
      <c r="L777" t="s">
        <v>68</v>
      </c>
      <c r="M777">
        <v>164</v>
      </c>
      <c r="N777">
        <v>49.2</v>
      </c>
      <c r="O777">
        <v>72.7</v>
      </c>
      <c r="P777">
        <v>4.09</v>
      </c>
      <c r="Q777">
        <v>1.58</v>
      </c>
      <c r="R777" t="s">
        <v>84</v>
      </c>
      <c r="S777" t="s">
        <v>39</v>
      </c>
      <c r="T777" t="s">
        <v>30</v>
      </c>
    </row>
    <row r="778" spans="1:20" x14ac:dyDescent="0.3">
      <c r="A778">
        <v>10095</v>
      </c>
      <c r="B778" s="2">
        <v>45938</v>
      </c>
      <c r="C778" t="s">
        <v>20</v>
      </c>
      <c r="D778" t="s">
        <v>59</v>
      </c>
      <c r="E778" t="s">
        <v>22</v>
      </c>
      <c r="F778" t="s">
        <v>81</v>
      </c>
      <c r="G778" t="s">
        <v>89</v>
      </c>
      <c r="H778" t="s">
        <v>215</v>
      </c>
      <c r="I778" t="s">
        <v>191</v>
      </c>
      <c r="J778">
        <v>1308</v>
      </c>
      <c r="K778">
        <v>14</v>
      </c>
      <c r="L778" t="s">
        <v>45</v>
      </c>
      <c r="M778">
        <v>58</v>
      </c>
      <c r="N778">
        <v>38.4</v>
      </c>
      <c r="O778">
        <v>79.5</v>
      </c>
      <c r="P778">
        <v>4.5599999999999996</v>
      </c>
      <c r="Q778">
        <v>3.19</v>
      </c>
      <c r="R778" t="s">
        <v>105</v>
      </c>
      <c r="S778" t="s">
        <v>29</v>
      </c>
      <c r="T778" t="s">
        <v>30</v>
      </c>
    </row>
    <row r="779" spans="1:20" x14ac:dyDescent="0.3">
      <c r="A779">
        <v>11285</v>
      </c>
      <c r="B779" s="2">
        <v>45951</v>
      </c>
      <c r="C779" t="s">
        <v>31</v>
      </c>
      <c r="D779" t="s">
        <v>21</v>
      </c>
      <c r="E779" t="s">
        <v>40</v>
      </c>
      <c r="F779" t="s">
        <v>81</v>
      </c>
      <c r="G779" t="s">
        <v>74</v>
      </c>
      <c r="H779" t="s">
        <v>69</v>
      </c>
      <c r="I779" t="s">
        <v>220</v>
      </c>
      <c r="J779">
        <v>1162</v>
      </c>
      <c r="K779">
        <v>13</v>
      </c>
      <c r="L779" t="s">
        <v>37</v>
      </c>
      <c r="M779">
        <v>47</v>
      </c>
      <c r="N779">
        <v>35.1</v>
      </c>
      <c r="O779">
        <v>71.7</v>
      </c>
      <c r="P779">
        <v>5.48</v>
      </c>
      <c r="Q779">
        <v>3.52</v>
      </c>
      <c r="R779" t="s">
        <v>143</v>
      </c>
      <c r="S779" t="s">
        <v>29</v>
      </c>
      <c r="T779" t="s">
        <v>30</v>
      </c>
    </row>
    <row r="780" spans="1:20" x14ac:dyDescent="0.3">
      <c r="A780">
        <v>10034</v>
      </c>
      <c r="B780" s="2">
        <v>45679</v>
      </c>
      <c r="C780" t="s">
        <v>20</v>
      </c>
      <c r="D780" t="s">
        <v>59</v>
      </c>
      <c r="E780" t="s">
        <v>22</v>
      </c>
      <c r="F780" t="s">
        <v>41</v>
      </c>
      <c r="G780" t="s">
        <v>54</v>
      </c>
      <c r="H780" t="s">
        <v>93</v>
      </c>
      <c r="I780" t="s">
        <v>226</v>
      </c>
      <c r="J780">
        <v>510</v>
      </c>
      <c r="K780">
        <v>2</v>
      </c>
      <c r="L780" t="s">
        <v>27</v>
      </c>
      <c r="M780">
        <v>38</v>
      </c>
      <c r="N780">
        <v>39.4</v>
      </c>
      <c r="O780">
        <v>65.5</v>
      </c>
      <c r="P780">
        <v>4.7</v>
      </c>
      <c r="Q780">
        <v>2.5</v>
      </c>
      <c r="R780" t="s">
        <v>229</v>
      </c>
      <c r="S780" t="s">
        <v>73</v>
      </c>
      <c r="T780" t="s">
        <v>30</v>
      </c>
    </row>
    <row r="781" spans="1:20" x14ac:dyDescent="0.3">
      <c r="A781">
        <v>11109</v>
      </c>
      <c r="B781" s="2">
        <v>45755</v>
      </c>
      <c r="C781" t="s">
        <v>31</v>
      </c>
      <c r="D781" t="s">
        <v>59</v>
      </c>
      <c r="E781" t="s">
        <v>22</v>
      </c>
      <c r="F781" t="s">
        <v>81</v>
      </c>
      <c r="G781" t="s">
        <v>95</v>
      </c>
      <c r="H781" t="s">
        <v>175</v>
      </c>
      <c r="I781" t="s">
        <v>142</v>
      </c>
      <c r="J781">
        <v>462</v>
      </c>
      <c r="K781">
        <v>13</v>
      </c>
      <c r="L781" t="s">
        <v>68</v>
      </c>
      <c r="M781">
        <v>139</v>
      </c>
      <c r="N781">
        <v>44</v>
      </c>
      <c r="O781">
        <v>72.400000000000006</v>
      </c>
      <c r="P781">
        <v>4.0999999999999996</v>
      </c>
      <c r="Q781">
        <v>2.37</v>
      </c>
      <c r="R781" t="s">
        <v>28</v>
      </c>
      <c r="S781" t="s">
        <v>29</v>
      </c>
      <c r="T781" t="s">
        <v>30</v>
      </c>
    </row>
    <row r="782" spans="1:20" x14ac:dyDescent="0.3">
      <c r="A782">
        <v>10449</v>
      </c>
      <c r="B782" s="2">
        <v>45879</v>
      </c>
      <c r="C782" t="s">
        <v>31</v>
      </c>
      <c r="D782" t="s">
        <v>64</v>
      </c>
      <c r="E782" t="s">
        <v>33</v>
      </c>
      <c r="F782" t="s">
        <v>23</v>
      </c>
      <c r="G782" t="s">
        <v>60</v>
      </c>
      <c r="H782" t="s">
        <v>69</v>
      </c>
      <c r="I782" t="s">
        <v>381</v>
      </c>
      <c r="J782">
        <v>582</v>
      </c>
      <c r="K782">
        <v>19</v>
      </c>
      <c r="L782" t="s">
        <v>27</v>
      </c>
      <c r="M782">
        <v>129</v>
      </c>
      <c r="N782">
        <v>34.6</v>
      </c>
      <c r="O782">
        <v>57.9</v>
      </c>
      <c r="P782">
        <v>5.57</v>
      </c>
      <c r="Q782">
        <v>4.1500000000000004</v>
      </c>
      <c r="R782" t="s">
        <v>130</v>
      </c>
      <c r="S782" t="s">
        <v>39</v>
      </c>
      <c r="T782" t="s">
        <v>48</v>
      </c>
    </row>
    <row r="783" spans="1:20" x14ac:dyDescent="0.3">
      <c r="A783">
        <v>10446</v>
      </c>
      <c r="B783" s="2">
        <v>45753</v>
      </c>
      <c r="C783" t="s">
        <v>20</v>
      </c>
      <c r="D783" t="s">
        <v>64</v>
      </c>
      <c r="E783" t="s">
        <v>33</v>
      </c>
      <c r="F783" t="s">
        <v>23</v>
      </c>
      <c r="G783" t="s">
        <v>113</v>
      </c>
      <c r="H783" t="s">
        <v>148</v>
      </c>
      <c r="I783" t="s">
        <v>239</v>
      </c>
      <c r="J783">
        <v>684</v>
      </c>
      <c r="K783">
        <v>7</v>
      </c>
      <c r="L783" t="s">
        <v>45</v>
      </c>
      <c r="M783">
        <v>75</v>
      </c>
      <c r="N783">
        <v>36</v>
      </c>
      <c r="O783">
        <v>76.5</v>
      </c>
      <c r="P783">
        <v>5.73</v>
      </c>
      <c r="Q783">
        <v>2.31</v>
      </c>
      <c r="R783" t="s">
        <v>140</v>
      </c>
      <c r="S783" t="s">
        <v>73</v>
      </c>
      <c r="T783" t="s">
        <v>30</v>
      </c>
    </row>
    <row r="784" spans="1:20" x14ac:dyDescent="0.3">
      <c r="A784">
        <v>10772</v>
      </c>
      <c r="B784" s="2">
        <v>45889</v>
      </c>
      <c r="C784" t="s">
        <v>49</v>
      </c>
      <c r="D784" t="s">
        <v>64</v>
      </c>
      <c r="E784" t="s">
        <v>107</v>
      </c>
      <c r="F784" t="s">
        <v>23</v>
      </c>
      <c r="G784" t="s">
        <v>89</v>
      </c>
      <c r="H784" t="s">
        <v>190</v>
      </c>
      <c r="I784" t="s">
        <v>296</v>
      </c>
      <c r="J784">
        <v>536</v>
      </c>
      <c r="K784">
        <v>8</v>
      </c>
      <c r="M784">
        <v>7</v>
      </c>
      <c r="N784">
        <v>43.9</v>
      </c>
      <c r="O784">
        <v>73.7</v>
      </c>
      <c r="P784">
        <v>5.09</v>
      </c>
      <c r="Q784">
        <v>3.51</v>
      </c>
      <c r="R784" t="s">
        <v>202</v>
      </c>
      <c r="S784" t="s">
        <v>47</v>
      </c>
      <c r="T784" t="s">
        <v>30</v>
      </c>
    </row>
    <row r="785" spans="1:20" x14ac:dyDescent="0.3">
      <c r="A785">
        <v>10717</v>
      </c>
      <c r="B785" s="2">
        <v>45784</v>
      </c>
      <c r="C785" t="s">
        <v>106</v>
      </c>
      <c r="D785" t="s">
        <v>32</v>
      </c>
      <c r="E785" t="s">
        <v>40</v>
      </c>
      <c r="F785" t="s">
        <v>41</v>
      </c>
      <c r="G785" t="s">
        <v>95</v>
      </c>
      <c r="H785" t="s">
        <v>148</v>
      </c>
      <c r="I785" t="s">
        <v>370</v>
      </c>
      <c r="J785">
        <v>1270</v>
      </c>
      <c r="K785">
        <v>10</v>
      </c>
      <c r="L785" t="s">
        <v>45</v>
      </c>
      <c r="M785">
        <v>170</v>
      </c>
      <c r="N785">
        <v>34.4</v>
      </c>
      <c r="O785">
        <v>67.5</v>
      </c>
      <c r="P785">
        <v>5.71</v>
      </c>
      <c r="Q785">
        <v>1.89</v>
      </c>
      <c r="R785" t="s">
        <v>153</v>
      </c>
      <c r="S785" t="s">
        <v>39</v>
      </c>
      <c r="T785" t="s">
        <v>30</v>
      </c>
    </row>
    <row r="786" spans="1:20" x14ac:dyDescent="0.3">
      <c r="A786">
        <v>11453</v>
      </c>
      <c r="B786" s="2">
        <v>45779</v>
      </c>
      <c r="C786" t="s">
        <v>49</v>
      </c>
      <c r="D786" t="s">
        <v>59</v>
      </c>
      <c r="E786" t="s">
        <v>40</v>
      </c>
      <c r="F786" t="s">
        <v>81</v>
      </c>
      <c r="G786" t="s">
        <v>34</v>
      </c>
      <c r="H786" t="s">
        <v>252</v>
      </c>
      <c r="I786" t="s">
        <v>303</v>
      </c>
      <c r="J786">
        <v>1149</v>
      </c>
      <c r="K786">
        <v>31</v>
      </c>
      <c r="L786" t="s">
        <v>71</v>
      </c>
      <c r="M786">
        <v>50</v>
      </c>
      <c r="N786">
        <v>41.4</v>
      </c>
      <c r="O786">
        <v>85.7</v>
      </c>
      <c r="P786">
        <v>5.37</v>
      </c>
      <c r="Q786">
        <v>2.38</v>
      </c>
      <c r="R786" t="s">
        <v>242</v>
      </c>
      <c r="S786" t="s">
        <v>39</v>
      </c>
      <c r="T786" t="s">
        <v>30</v>
      </c>
    </row>
    <row r="787" spans="1:20" x14ac:dyDescent="0.3">
      <c r="A787">
        <v>11408</v>
      </c>
      <c r="B787" s="2">
        <v>45718</v>
      </c>
      <c r="C787" t="s">
        <v>20</v>
      </c>
      <c r="D787" t="s">
        <v>32</v>
      </c>
      <c r="E787" t="s">
        <v>40</v>
      </c>
      <c r="F787" t="s">
        <v>23</v>
      </c>
      <c r="G787" t="s">
        <v>34</v>
      </c>
      <c r="H787" t="s">
        <v>61</v>
      </c>
      <c r="I787" t="s">
        <v>297</v>
      </c>
      <c r="J787">
        <v>1487</v>
      </c>
      <c r="K787">
        <v>58</v>
      </c>
      <c r="L787" t="s">
        <v>68</v>
      </c>
      <c r="M787">
        <v>115</v>
      </c>
      <c r="N787">
        <v>44.7</v>
      </c>
      <c r="O787">
        <v>84.5</v>
      </c>
      <c r="P787">
        <v>5.66</v>
      </c>
      <c r="Q787">
        <v>16</v>
      </c>
      <c r="R787" t="s">
        <v>130</v>
      </c>
      <c r="S787" t="s">
        <v>39</v>
      </c>
      <c r="T787" t="s">
        <v>48</v>
      </c>
    </row>
    <row r="788" spans="1:20" x14ac:dyDescent="0.3">
      <c r="A788">
        <v>11091</v>
      </c>
      <c r="B788" s="2">
        <v>45818</v>
      </c>
      <c r="C788" t="s">
        <v>31</v>
      </c>
      <c r="D788" t="s">
        <v>32</v>
      </c>
      <c r="E788" t="s">
        <v>40</v>
      </c>
      <c r="F788" t="s">
        <v>23</v>
      </c>
      <c r="G788" t="s">
        <v>54</v>
      </c>
      <c r="H788" t="s">
        <v>101</v>
      </c>
      <c r="I788" t="s">
        <v>364</v>
      </c>
      <c r="J788">
        <v>1362</v>
      </c>
      <c r="K788">
        <v>33</v>
      </c>
      <c r="L788" t="s">
        <v>27</v>
      </c>
      <c r="M788">
        <v>165</v>
      </c>
      <c r="N788">
        <v>42.3</v>
      </c>
      <c r="O788">
        <v>80.2</v>
      </c>
      <c r="P788">
        <v>4.26</v>
      </c>
      <c r="Q788">
        <v>3.11</v>
      </c>
      <c r="R788" t="s">
        <v>222</v>
      </c>
      <c r="S788" t="s">
        <v>47</v>
      </c>
      <c r="T788" t="s">
        <v>30</v>
      </c>
    </row>
    <row r="789" spans="1:20" x14ac:dyDescent="0.3">
      <c r="A789">
        <v>11042</v>
      </c>
      <c r="B789" s="2">
        <v>45841</v>
      </c>
      <c r="C789" t="s">
        <v>20</v>
      </c>
      <c r="D789" t="s">
        <v>59</v>
      </c>
      <c r="E789" t="s">
        <v>107</v>
      </c>
      <c r="F789" t="s">
        <v>41</v>
      </c>
      <c r="G789" t="s">
        <v>50</v>
      </c>
      <c r="H789" t="s">
        <v>213</v>
      </c>
      <c r="I789" t="s">
        <v>361</v>
      </c>
      <c r="J789">
        <v>892</v>
      </c>
      <c r="K789">
        <v>77</v>
      </c>
      <c r="L789" t="s">
        <v>37</v>
      </c>
      <c r="M789">
        <v>90</v>
      </c>
      <c r="N789">
        <v>19.2</v>
      </c>
      <c r="O789">
        <v>88.9</v>
      </c>
      <c r="P789">
        <v>5.37</v>
      </c>
      <c r="Q789">
        <v>1.78</v>
      </c>
      <c r="R789" t="s">
        <v>125</v>
      </c>
      <c r="S789" t="s">
        <v>39</v>
      </c>
      <c r="T789" t="s">
        <v>48</v>
      </c>
    </row>
    <row r="790" spans="1:20" x14ac:dyDescent="0.3">
      <c r="A790">
        <v>10078</v>
      </c>
      <c r="B790" s="2">
        <v>45820</v>
      </c>
      <c r="C790" t="s">
        <v>20</v>
      </c>
      <c r="D790" t="s">
        <v>64</v>
      </c>
      <c r="E790" t="s">
        <v>40</v>
      </c>
      <c r="F790" t="s">
        <v>41</v>
      </c>
      <c r="G790" t="s">
        <v>54</v>
      </c>
      <c r="H790" t="s">
        <v>120</v>
      </c>
      <c r="I790" t="s">
        <v>305</v>
      </c>
      <c r="J790">
        <v>1557</v>
      </c>
      <c r="K790">
        <v>99</v>
      </c>
      <c r="L790" t="s">
        <v>37</v>
      </c>
      <c r="M790">
        <v>155</v>
      </c>
      <c r="N790">
        <v>31.1</v>
      </c>
      <c r="O790">
        <v>69.8</v>
      </c>
      <c r="P790">
        <v>3.52</v>
      </c>
      <c r="Q790">
        <v>3.08</v>
      </c>
      <c r="R790" t="s">
        <v>153</v>
      </c>
      <c r="S790" t="s">
        <v>73</v>
      </c>
      <c r="T790" t="s">
        <v>48</v>
      </c>
    </row>
    <row r="791" spans="1:20" x14ac:dyDescent="0.3">
      <c r="A791">
        <v>10085</v>
      </c>
      <c r="B791" s="2">
        <v>45678</v>
      </c>
      <c r="C791" t="s">
        <v>31</v>
      </c>
      <c r="D791" t="s">
        <v>32</v>
      </c>
      <c r="E791" t="s">
        <v>40</v>
      </c>
      <c r="F791" t="s">
        <v>81</v>
      </c>
      <c r="G791" t="s">
        <v>109</v>
      </c>
      <c r="H791" t="s">
        <v>141</v>
      </c>
      <c r="I791" t="s">
        <v>347</v>
      </c>
      <c r="J791">
        <v>1232</v>
      </c>
      <c r="K791">
        <v>9</v>
      </c>
      <c r="L791" t="s">
        <v>71</v>
      </c>
      <c r="M791">
        <v>40</v>
      </c>
      <c r="N791">
        <v>40.700000000000003</v>
      </c>
      <c r="O791">
        <v>76.400000000000006</v>
      </c>
      <c r="P791">
        <v>5.17</v>
      </c>
      <c r="Q791">
        <v>1.75</v>
      </c>
      <c r="R791" t="s">
        <v>128</v>
      </c>
      <c r="S791" t="s">
        <v>73</v>
      </c>
      <c r="T791" t="s">
        <v>30</v>
      </c>
    </row>
    <row r="792" spans="1:20" x14ac:dyDescent="0.3">
      <c r="A792">
        <v>10845</v>
      </c>
      <c r="B792" s="2">
        <v>45914</v>
      </c>
      <c r="C792" t="s">
        <v>49</v>
      </c>
      <c r="D792" t="s">
        <v>64</v>
      </c>
      <c r="E792" t="s">
        <v>33</v>
      </c>
      <c r="F792" t="s">
        <v>23</v>
      </c>
      <c r="G792" t="s">
        <v>134</v>
      </c>
      <c r="H792" t="s">
        <v>131</v>
      </c>
      <c r="I792" t="s">
        <v>261</v>
      </c>
      <c r="J792">
        <v>1124</v>
      </c>
      <c r="K792">
        <v>9</v>
      </c>
      <c r="L792" t="s">
        <v>37</v>
      </c>
      <c r="M792">
        <v>22</v>
      </c>
      <c r="N792">
        <v>46.4</v>
      </c>
      <c r="O792">
        <v>78</v>
      </c>
      <c r="P792">
        <v>5.0999999999999996</v>
      </c>
      <c r="Q792">
        <v>4.92</v>
      </c>
      <c r="R792" t="s">
        <v>111</v>
      </c>
      <c r="S792" t="s">
        <v>73</v>
      </c>
      <c r="T792" t="s">
        <v>30</v>
      </c>
    </row>
    <row r="793" spans="1:20" x14ac:dyDescent="0.3">
      <c r="A793">
        <v>10083</v>
      </c>
      <c r="B793" s="2">
        <v>45739</v>
      </c>
      <c r="C793" t="s">
        <v>20</v>
      </c>
      <c r="D793" t="s">
        <v>64</v>
      </c>
      <c r="E793" t="s">
        <v>40</v>
      </c>
      <c r="F793" t="s">
        <v>41</v>
      </c>
      <c r="G793" t="s">
        <v>113</v>
      </c>
      <c r="H793" t="s">
        <v>99</v>
      </c>
      <c r="I793" t="s">
        <v>340</v>
      </c>
      <c r="J793">
        <v>938</v>
      </c>
      <c r="K793">
        <v>29</v>
      </c>
      <c r="L793" t="s">
        <v>71</v>
      </c>
      <c r="M793">
        <v>58</v>
      </c>
      <c r="N793">
        <v>32.6</v>
      </c>
      <c r="O793">
        <v>81.3</v>
      </c>
      <c r="P793">
        <v>6.27</v>
      </c>
      <c r="Q793">
        <v>4.55</v>
      </c>
      <c r="R793" t="s">
        <v>122</v>
      </c>
      <c r="S793" t="s">
        <v>73</v>
      </c>
      <c r="T793" t="s">
        <v>48</v>
      </c>
    </row>
    <row r="794" spans="1:20" x14ac:dyDescent="0.3">
      <c r="A794">
        <v>10458</v>
      </c>
      <c r="B794" s="2">
        <v>45790</v>
      </c>
      <c r="C794" t="s">
        <v>31</v>
      </c>
      <c r="D794" t="s">
        <v>21</v>
      </c>
      <c r="E794" t="s">
        <v>22</v>
      </c>
      <c r="F794" t="s">
        <v>81</v>
      </c>
      <c r="G794" t="s">
        <v>74</v>
      </c>
      <c r="H794" t="s">
        <v>287</v>
      </c>
      <c r="I794" t="s">
        <v>309</v>
      </c>
      <c r="J794">
        <v>842</v>
      </c>
      <c r="K794">
        <v>24</v>
      </c>
      <c r="L794" t="s">
        <v>57</v>
      </c>
      <c r="M794">
        <v>129</v>
      </c>
      <c r="N794">
        <v>48.8</v>
      </c>
      <c r="O794">
        <v>82.9</v>
      </c>
      <c r="P794">
        <v>5.59</v>
      </c>
      <c r="Q794">
        <v>2.65</v>
      </c>
      <c r="R794" t="s">
        <v>92</v>
      </c>
      <c r="S794" t="s">
        <v>39</v>
      </c>
      <c r="T794" t="s">
        <v>30</v>
      </c>
    </row>
    <row r="795" spans="1:20" x14ac:dyDescent="0.3">
      <c r="A795">
        <v>11392</v>
      </c>
      <c r="B795" s="2">
        <v>45752</v>
      </c>
      <c r="C795" t="s">
        <v>49</v>
      </c>
      <c r="D795" t="s">
        <v>64</v>
      </c>
      <c r="E795" t="s">
        <v>33</v>
      </c>
      <c r="F795" t="s">
        <v>23</v>
      </c>
      <c r="G795" t="s">
        <v>34</v>
      </c>
      <c r="H795" t="s">
        <v>99</v>
      </c>
      <c r="I795" t="s">
        <v>67</v>
      </c>
      <c r="J795">
        <v>507</v>
      </c>
      <c r="K795">
        <v>18</v>
      </c>
      <c r="L795" t="s">
        <v>57</v>
      </c>
      <c r="M795">
        <v>24</v>
      </c>
      <c r="N795">
        <v>38.6</v>
      </c>
      <c r="O795">
        <v>76.8</v>
      </c>
      <c r="P795">
        <v>5.04</v>
      </c>
      <c r="Q795">
        <v>4.26</v>
      </c>
      <c r="R795" t="s">
        <v>189</v>
      </c>
      <c r="S795" t="s">
        <v>29</v>
      </c>
      <c r="T795" t="s">
        <v>48</v>
      </c>
    </row>
    <row r="796" spans="1:20" x14ac:dyDescent="0.3">
      <c r="A796">
        <v>10677</v>
      </c>
      <c r="B796" s="2">
        <v>45899</v>
      </c>
      <c r="C796" t="s">
        <v>20</v>
      </c>
      <c r="D796" t="s">
        <v>64</v>
      </c>
      <c r="E796" t="s">
        <v>107</v>
      </c>
      <c r="F796" t="s">
        <v>23</v>
      </c>
      <c r="G796" t="s">
        <v>89</v>
      </c>
      <c r="H796" t="s">
        <v>116</v>
      </c>
      <c r="I796" t="s">
        <v>70</v>
      </c>
      <c r="J796">
        <v>1076</v>
      </c>
      <c r="K796">
        <v>29</v>
      </c>
      <c r="L796" t="s">
        <v>57</v>
      </c>
      <c r="M796">
        <v>123</v>
      </c>
      <c r="N796">
        <v>34.1</v>
      </c>
      <c r="O796">
        <v>67.400000000000006</v>
      </c>
      <c r="P796">
        <v>5.12</v>
      </c>
      <c r="Q796">
        <v>1.98</v>
      </c>
      <c r="R796" t="s">
        <v>243</v>
      </c>
      <c r="S796" t="s">
        <v>73</v>
      </c>
      <c r="T796" t="s">
        <v>30</v>
      </c>
    </row>
    <row r="797" spans="1:20" x14ac:dyDescent="0.3">
      <c r="A797">
        <v>11432</v>
      </c>
      <c r="B797" s="2">
        <v>45954</v>
      </c>
      <c r="C797" t="s">
        <v>49</v>
      </c>
      <c r="D797" t="s">
        <v>32</v>
      </c>
      <c r="E797" t="s">
        <v>107</v>
      </c>
      <c r="F797" t="s">
        <v>23</v>
      </c>
      <c r="G797" t="s">
        <v>34</v>
      </c>
      <c r="H797" t="s">
        <v>161</v>
      </c>
      <c r="I797" t="s">
        <v>212</v>
      </c>
      <c r="J797">
        <v>1042</v>
      </c>
      <c r="K797">
        <v>4</v>
      </c>
      <c r="L797" t="s">
        <v>27</v>
      </c>
      <c r="M797">
        <v>11</v>
      </c>
      <c r="N797">
        <v>28.6</v>
      </c>
      <c r="O797">
        <v>65.7</v>
      </c>
      <c r="P797">
        <v>6.45</v>
      </c>
      <c r="Q797">
        <v>3.71</v>
      </c>
      <c r="R797" t="s">
        <v>209</v>
      </c>
      <c r="S797" t="s">
        <v>39</v>
      </c>
      <c r="T797" t="s">
        <v>30</v>
      </c>
    </row>
    <row r="798" spans="1:20" x14ac:dyDescent="0.3">
      <c r="A798">
        <v>11084</v>
      </c>
      <c r="B798" s="2">
        <v>45966</v>
      </c>
      <c r="C798" t="s">
        <v>49</v>
      </c>
      <c r="D798" t="s">
        <v>64</v>
      </c>
      <c r="E798" t="s">
        <v>22</v>
      </c>
      <c r="F798" t="s">
        <v>23</v>
      </c>
      <c r="G798" t="s">
        <v>113</v>
      </c>
      <c r="H798" t="s">
        <v>215</v>
      </c>
      <c r="I798" t="s">
        <v>127</v>
      </c>
      <c r="J798">
        <v>1079</v>
      </c>
      <c r="K798">
        <v>25</v>
      </c>
      <c r="L798" t="s">
        <v>57</v>
      </c>
      <c r="M798">
        <v>95</v>
      </c>
      <c r="N798">
        <v>41.9</v>
      </c>
      <c r="O798">
        <v>73.3</v>
      </c>
      <c r="P798">
        <v>5.12</v>
      </c>
      <c r="Q798">
        <v>3.28</v>
      </c>
      <c r="R798" t="s">
        <v>267</v>
      </c>
      <c r="S798" t="s">
        <v>73</v>
      </c>
      <c r="T798" t="s">
        <v>30</v>
      </c>
    </row>
    <row r="799" spans="1:20" x14ac:dyDescent="0.3">
      <c r="A799">
        <v>10437</v>
      </c>
      <c r="B799" s="2">
        <v>45776</v>
      </c>
      <c r="C799" t="s">
        <v>31</v>
      </c>
      <c r="D799" t="s">
        <v>21</v>
      </c>
      <c r="E799" t="s">
        <v>22</v>
      </c>
      <c r="F799" t="s">
        <v>41</v>
      </c>
      <c r="G799" t="s">
        <v>89</v>
      </c>
      <c r="H799" t="s">
        <v>138</v>
      </c>
      <c r="I799" t="s">
        <v>302</v>
      </c>
      <c r="J799">
        <v>623</v>
      </c>
      <c r="K799">
        <v>3</v>
      </c>
      <c r="L799" t="s">
        <v>27</v>
      </c>
      <c r="M799">
        <v>154</v>
      </c>
      <c r="N799">
        <v>36.200000000000003</v>
      </c>
      <c r="P799">
        <v>5.23</v>
      </c>
      <c r="Q799">
        <v>4.8</v>
      </c>
      <c r="R799" t="s">
        <v>167</v>
      </c>
      <c r="S799" t="s">
        <v>29</v>
      </c>
      <c r="T799" t="s">
        <v>30</v>
      </c>
    </row>
    <row r="800" spans="1:20" x14ac:dyDescent="0.3">
      <c r="A800">
        <v>10771</v>
      </c>
      <c r="B800" s="2">
        <v>45837</v>
      </c>
      <c r="C800" t="s">
        <v>20</v>
      </c>
      <c r="D800" t="s">
        <v>21</v>
      </c>
      <c r="E800" t="s">
        <v>107</v>
      </c>
      <c r="F800" t="s">
        <v>23</v>
      </c>
      <c r="G800" t="s">
        <v>42</v>
      </c>
      <c r="H800" t="s">
        <v>172</v>
      </c>
      <c r="I800" t="s">
        <v>160</v>
      </c>
      <c r="J800">
        <v>766</v>
      </c>
      <c r="K800">
        <v>7</v>
      </c>
      <c r="L800" t="s">
        <v>57</v>
      </c>
      <c r="M800">
        <v>5</v>
      </c>
      <c r="N800">
        <v>36.1</v>
      </c>
      <c r="O800">
        <v>68.5</v>
      </c>
      <c r="P800">
        <v>5.19</v>
      </c>
      <c r="Q800">
        <v>1.79</v>
      </c>
      <c r="R800" t="s">
        <v>122</v>
      </c>
      <c r="S800" t="s">
        <v>73</v>
      </c>
      <c r="T800" t="s">
        <v>30</v>
      </c>
    </row>
    <row r="801" spans="1:20" x14ac:dyDescent="0.3">
      <c r="A801">
        <v>10645</v>
      </c>
      <c r="B801" s="2">
        <v>46020</v>
      </c>
      <c r="C801" t="s">
        <v>31</v>
      </c>
      <c r="D801" t="s">
        <v>21</v>
      </c>
      <c r="E801" t="s">
        <v>40</v>
      </c>
      <c r="F801" t="s">
        <v>41</v>
      </c>
      <c r="G801" t="s">
        <v>60</v>
      </c>
      <c r="H801" t="s">
        <v>215</v>
      </c>
      <c r="I801" t="s">
        <v>284</v>
      </c>
      <c r="J801">
        <v>781</v>
      </c>
      <c r="K801">
        <v>11</v>
      </c>
      <c r="L801" t="s">
        <v>27</v>
      </c>
      <c r="M801">
        <v>165</v>
      </c>
      <c r="N801">
        <v>48.3</v>
      </c>
      <c r="O801">
        <v>41.9</v>
      </c>
      <c r="P801">
        <v>5.05</v>
      </c>
      <c r="Q801">
        <v>3.46</v>
      </c>
      <c r="R801" t="s">
        <v>167</v>
      </c>
      <c r="S801" t="s">
        <v>47</v>
      </c>
      <c r="T801" t="s">
        <v>30</v>
      </c>
    </row>
    <row r="802" spans="1:20" x14ac:dyDescent="0.3">
      <c r="A802">
        <v>10949</v>
      </c>
      <c r="B802" s="2">
        <v>45857</v>
      </c>
      <c r="C802" t="s">
        <v>31</v>
      </c>
      <c r="D802" t="s">
        <v>32</v>
      </c>
      <c r="E802" t="s">
        <v>22</v>
      </c>
      <c r="F802" t="s">
        <v>23</v>
      </c>
      <c r="G802" t="s">
        <v>24</v>
      </c>
      <c r="H802" t="s">
        <v>35</v>
      </c>
      <c r="I802" t="s">
        <v>151</v>
      </c>
      <c r="J802">
        <v>841</v>
      </c>
      <c r="K802">
        <v>20</v>
      </c>
      <c r="L802" t="s">
        <v>27</v>
      </c>
      <c r="M802">
        <v>49</v>
      </c>
      <c r="N802">
        <v>38.1</v>
      </c>
      <c r="O802">
        <v>70.599999999999994</v>
      </c>
      <c r="P802">
        <v>5.31</v>
      </c>
      <c r="Q802">
        <v>3.2</v>
      </c>
      <c r="R802" t="s">
        <v>140</v>
      </c>
      <c r="S802" t="s">
        <v>47</v>
      </c>
      <c r="T802" t="s">
        <v>30</v>
      </c>
    </row>
    <row r="803" spans="1:20" x14ac:dyDescent="0.3">
      <c r="A803">
        <v>10917</v>
      </c>
      <c r="B803" s="2">
        <v>45878</v>
      </c>
      <c r="C803" t="s">
        <v>31</v>
      </c>
      <c r="D803" t="s">
        <v>59</v>
      </c>
      <c r="E803" t="s">
        <v>40</v>
      </c>
      <c r="F803" t="s">
        <v>41</v>
      </c>
      <c r="G803" t="s">
        <v>109</v>
      </c>
      <c r="H803" t="s">
        <v>96</v>
      </c>
      <c r="I803" t="s">
        <v>154</v>
      </c>
      <c r="J803">
        <v>1332</v>
      </c>
      <c r="K803">
        <v>19</v>
      </c>
      <c r="L803" t="s">
        <v>37</v>
      </c>
      <c r="M803">
        <v>166</v>
      </c>
      <c r="N803">
        <v>45.5</v>
      </c>
      <c r="O803">
        <v>57.8</v>
      </c>
      <c r="P803">
        <v>3.92</v>
      </c>
      <c r="Q803">
        <v>3.7</v>
      </c>
      <c r="R803" t="s">
        <v>137</v>
      </c>
      <c r="S803" t="s">
        <v>47</v>
      </c>
      <c r="T803" t="s">
        <v>30</v>
      </c>
    </row>
    <row r="804" spans="1:20" x14ac:dyDescent="0.3">
      <c r="A804">
        <v>11204</v>
      </c>
      <c r="B804" s="2">
        <v>45775</v>
      </c>
      <c r="C804" t="s">
        <v>49</v>
      </c>
      <c r="D804" t="s">
        <v>59</v>
      </c>
      <c r="E804" t="s">
        <v>107</v>
      </c>
      <c r="F804" t="s">
        <v>23</v>
      </c>
      <c r="G804" t="s">
        <v>113</v>
      </c>
      <c r="H804" t="s">
        <v>75</v>
      </c>
      <c r="I804" t="s">
        <v>323</v>
      </c>
      <c r="J804">
        <v>1391</v>
      </c>
      <c r="K804">
        <v>18</v>
      </c>
      <c r="L804" t="s">
        <v>71</v>
      </c>
      <c r="M804">
        <v>8</v>
      </c>
      <c r="N804">
        <v>35.200000000000003</v>
      </c>
      <c r="O804">
        <v>67.3</v>
      </c>
      <c r="P804">
        <v>4.59</v>
      </c>
      <c r="Q804">
        <v>2.75</v>
      </c>
      <c r="R804" t="s">
        <v>143</v>
      </c>
      <c r="S804" t="s">
        <v>73</v>
      </c>
      <c r="T804" t="s">
        <v>30</v>
      </c>
    </row>
    <row r="805" spans="1:20" x14ac:dyDescent="0.3">
      <c r="A805">
        <v>10405</v>
      </c>
      <c r="B805" s="2">
        <v>45718</v>
      </c>
      <c r="C805" t="s">
        <v>31</v>
      </c>
      <c r="D805" t="s">
        <v>64</v>
      </c>
      <c r="E805" t="s">
        <v>107</v>
      </c>
      <c r="F805" t="s">
        <v>23</v>
      </c>
      <c r="G805" t="s">
        <v>95</v>
      </c>
      <c r="H805" t="s">
        <v>66</v>
      </c>
      <c r="I805" t="s">
        <v>371</v>
      </c>
      <c r="J805">
        <v>825</v>
      </c>
      <c r="K805">
        <v>49</v>
      </c>
      <c r="L805" t="s">
        <v>27</v>
      </c>
      <c r="M805">
        <v>93</v>
      </c>
      <c r="N805">
        <v>59.5</v>
      </c>
      <c r="O805">
        <v>72.400000000000006</v>
      </c>
      <c r="P805">
        <v>4.6900000000000004</v>
      </c>
      <c r="Q805">
        <v>5.91</v>
      </c>
      <c r="R805" t="s">
        <v>38</v>
      </c>
      <c r="S805" t="s">
        <v>73</v>
      </c>
      <c r="T805" t="s">
        <v>48</v>
      </c>
    </row>
    <row r="806" spans="1:20" x14ac:dyDescent="0.3">
      <c r="A806">
        <v>11316</v>
      </c>
      <c r="B806" s="2">
        <v>45667</v>
      </c>
      <c r="C806" t="s">
        <v>49</v>
      </c>
      <c r="D806" t="s">
        <v>32</v>
      </c>
      <c r="E806" t="s">
        <v>40</v>
      </c>
      <c r="F806" t="s">
        <v>41</v>
      </c>
      <c r="G806" t="s">
        <v>134</v>
      </c>
      <c r="H806" t="s">
        <v>35</v>
      </c>
      <c r="I806" t="s">
        <v>257</v>
      </c>
      <c r="J806">
        <v>1060</v>
      </c>
      <c r="K806">
        <v>7</v>
      </c>
      <c r="L806" t="s">
        <v>57</v>
      </c>
      <c r="M806">
        <v>114</v>
      </c>
      <c r="N806">
        <v>30.9</v>
      </c>
      <c r="O806">
        <v>60.4</v>
      </c>
      <c r="P806">
        <v>5.7</v>
      </c>
      <c r="Q806">
        <v>4.22</v>
      </c>
      <c r="R806" t="s">
        <v>128</v>
      </c>
      <c r="S806" t="s">
        <v>73</v>
      </c>
      <c r="T806" t="s">
        <v>30</v>
      </c>
    </row>
    <row r="807" spans="1:20" x14ac:dyDescent="0.3">
      <c r="A807">
        <v>10945</v>
      </c>
      <c r="B807" s="2">
        <v>45993</v>
      </c>
      <c r="C807" t="s">
        <v>49</v>
      </c>
      <c r="D807" t="s">
        <v>21</v>
      </c>
      <c r="E807" t="s">
        <v>40</v>
      </c>
      <c r="F807" t="s">
        <v>41</v>
      </c>
      <c r="G807" t="s">
        <v>34</v>
      </c>
      <c r="H807" t="s">
        <v>177</v>
      </c>
      <c r="I807" t="s">
        <v>338</v>
      </c>
      <c r="J807">
        <v>534</v>
      </c>
      <c r="K807">
        <v>7</v>
      </c>
      <c r="L807" t="s">
        <v>68</v>
      </c>
      <c r="M807">
        <v>111</v>
      </c>
      <c r="N807">
        <v>45.5</v>
      </c>
      <c r="O807">
        <v>78.099999999999994</v>
      </c>
      <c r="P807">
        <v>5.4</v>
      </c>
      <c r="Q807">
        <v>1.68</v>
      </c>
      <c r="R807" t="s">
        <v>159</v>
      </c>
      <c r="S807" t="s">
        <v>39</v>
      </c>
      <c r="T807" t="s">
        <v>30</v>
      </c>
    </row>
    <row r="808" spans="1:20" x14ac:dyDescent="0.3">
      <c r="A808">
        <v>11143</v>
      </c>
      <c r="B808" s="2">
        <v>45759</v>
      </c>
      <c r="C808" t="s">
        <v>31</v>
      </c>
      <c r="D808" t="s">
        <v>32</v>
      </c>
      <c r="E808" t="s">
        <v>33</v>
      </c>
      <c r="F808" t="s">
        <v>23</v>
      </c>
      <c r="G808" t="s">
        <v>34</v>
      </c>
      <c r="H808" t="s">
        <v>213</v>
      </c>
      <c r="I808" t="s">
        <v>70</v>
      </c>
      <c r="J808">
        <v>952</v>
      </c>
      <c r="K808">
        <v>11</v>
      </c>
      <c r="M808">
        <v>50</v>
      </c>
      <c r="N808">
        <v>36.6</v>
      </c>
      <c r="O808">
        <v>65</v>
      </c>
      <c r="P808">
        <v>3.95</v>
      </c>
      <c r="Q808">
        <v>4.57</v>
      </c>
      <c r="R808" t="s">
        <v>63</v>
      </c>
      <c r="S808" t="s">
        <v>29</v>
      </c>
      <c r="T808" t="s">
        <v>30</v>
      </c>
    </row>
    <row r="809" spans="1:20" x14ac:dyDescent="0.3">
      <c r="A809">
        <v>10105</v>
      </c>
      <c r="B809" s="2">
        <v>45881</v>
      </c>
      <c r="C809" t="s">
        <v>31</v>
      </c>
      <c r="D809" t="s">
        <v>21</v>
      </c>
      <c r="E809" t="s">
        <v>33</v>
      </c>
      <c r="F809" t="s">
        <v>41</v>
      </c>
      <c r="G809" t="s">
        <v>24</v>
      </c>
      <c r="H809" t="s">
        <v>96</v>
      </c>
      <c r="I809" t="s">
        <v>261</v>
      </c>
      <c r="J809">
        <v>1471</v>
      </c>
      <c r="K809">
        <v>53</v>
      </c>
      <c r="L809" t="s">
        <v>68</v>
      </c>
      <c r="M809">
        <v>33</v>
      </c>
      <c r="N809">
        <v>38.200000000000003</v>
      </c>
      <c r="O809">
        <v>74.5</v>
      </c>
      <c r="P809">
        <v>4.72</v>
      </c>
      <c r="Q809">
        <v>3.1</v>
      </c>
      <c r="R809" t="s">
        <v>183</v>
      </c>
      <c r="S809" t="s">
        <v>39</v>
      </c>
      <c r="T809" t="s">
        <v>48</v>
      </c>
    </row>
    <row r="810" spans="1:20" x14ac:dyDescent="0.3">
      <c r="A810">
        <v>10610</v>
      </c>
      <c r="B810" s="2">
        <v>45667</v>
      </c>
      <c r="C810" t="s">
        <v>20</v>
      </c>
      <c r="D810" t="s">
        <v>64</v>
      </c>
      <c r="E810" t="s">
        <v>40</v>
      </c>
      <c r="F810" t="s">
        <v>41</v>
      </c>
      <c r="G810" t="s">
        <v>54</v>
      </c>
      <c r="H810" t="s">
        <v>61</v>
      </c>
      <c r="I810" t="s">
        <v>256</v>
      </c>
      <c r="J810">
        <v>1553</v>
      </c>
      <c r="K810">
        <v>155</v>
      </c>
      <c r="L810" t="s">
        <v>37</v>
      </c>
      <c r="M810">
        <v>146</v>
      </c>
      <c r="N810">
        <v>40.700000000000003</v>
      </c>
      <c r="O810">
        <v>77</v>
      </c>
      <c r="P810">
        <v>5.04</v>
      </c>
      <c r="Q810">
        <v>2</v>
      </c>
      <c r="R810" t="s">
        <v>227</v>
      </c>
      <c r="S810" t="s">
        <v>47</v>
      </c>
      <c r="T810" t="s">
        <v>48</v>
      </c>
    </row>
    <row r="811" spans="1:20" x14ac:dyDescent="0.3">
      <c r="A811">
        <v>10842</v>
      </c>
      <c r="B811" s="2">
        <v>45690</v>
      </c>
      <c r="C811" t="s">
        <v>31</v>
      </c>
      <c r="D811" t="s">
        <v>32</v>
      </c>
      <c r="E811" t="s">
        <v>107</v>
      </c>
      <c r="F811" t="s">
        <v>247</v>
      </c>
      <c r="G811" t="s">
        <v>54</v>
      </c>
      <c r="H811" t="s">
        <v>141</v>
      </c>
      <c r="I811" t="s">
        <v>83</v>
      </c>
      <c r="J811">
        <v>1279</v>
      </c>
      <c r="K811">
        <v>6</v>
      </c>
      <c r="L811" t="s">
        <v>45</v>
      </c>
      <c r="M811">
        <v>101</v>
      </c>
      <c r="N811">
        <v>47.8</v>
      </c>
      <c r="O811">
        <v>76.3</v>
      </c>
      <c r="P811">
        <v>5.8</v>
      </c>
      <c r="Q811">
        <v>3.08</v>
      </c>
      <c r="R811" t="s">
        <v>243</v>
      </c>
      <c r="S811" t="s">
        <v>39</v>
      </c>
      <c r="T811" t="s">
        <v>30</v>
      </c>
    </row>
    <row r="812" spans="1:20" x14ac:dyDescent="0.3">
      <c r="A812">
        <v>10689</v>
      </c>
      <c r="B812" s="2">
        <v>45875</v>
      </c>
      <c r="C812" t="s">
        <v>31</v>
      </c>
      <c r="D812" t="s">
        <v>64</v>
      </c>
      <c r="E812" t="s">
        <v>40</v>
      </c>
      <c r="F812" t="s">
        <v>41</v>
      </c>
      <c r="G812" t="s">
        <v>95</v>
      </c>
      <c r="H812" t="s">
        <v>265</v>
      </c>
      <c r="I812" t="s">
        <v>340</v>
      </c>
      <c r="J812">
        <v>690</v>
      </c>
      <c r="K812">
        <v>5</v>
      </c>
      <c r="L812" t="s">
        <v>71</v>
      </c>
      <c r="M812">
        <v>156</v>
      </c>
      <c r="N812">
        <v>34.1</v>
      </c>
      <c r="O812">
        <v>63.2</v>
      </c>
      <c r="P812">
        <v>4.9800000000000004</v>
      </c>
      <c r="Q812">
        <v>0.79</v>
      </c>
      <c r="R812" t="s">
        <v>133</v>
      </c>
      <c r="S812" t="s">
        <v>29</v>
      </c>
      <c r="T812" t="s">
        <v>30</v>
      </c>
    </row>
    <row r="813" spans="1:20" x14ac:dyDescent="0.3">
      <c r="A813">
        <v>11489</v>
      </c>
      <c r="B813" s="2">
        <v>45821</v>
      </c>
      <c r="C813" t="s">
        <v>49</v>
      </c>
      <c r="D813" t="s">
        <v>21</v>
      </c>
      <c r="E813" t="s">
        <v>40</v>
      </c>
      <c r="F813" t="s">
        <v>23</v>
      </c>
      <c r="G813" t="s">
        <v>42</v>
      </c>
      <c r="H813" t="s">
        <v>180</v>
      </c>
      <c r="I813" t="s">
        <v>281</v>
      </c>
      <c r="J813">
        <v>682</v>
      </c>
      <c r="K813">
        <v>4</v>
      </c>
      <c r="L813" t="s">
        <v>68</v>
      </c>
      <c r="M813">
        <v>63</v>
      </c>
      <c r="N813">
        <v>34.5</v>
      </c>
      <c r="O813">
        <v>80.3</v>
      </c>
      <c r="P813">
        <v>4.05</v>
      </c>
      <c r="Q813">
        <v>4.03</v>
      </c>
      <c r="R813" t="s">
        <v>58</v>
      </c>
      <c r="S813" t="s">
        <v>39</v>
      </c>
      <c r="T813" t="s">
        <v>30</v>
      </c>
    </row>
    <row r="814" spans="1:20" x14ac:dyDescent="0.3">
      <c r="A814">
        <v>10943</v>
      </c>
      <c r="B814" s="2">
        <v>45971</v>
      </c>
      <c r="C814" t="s">
        <v>49</v>
      </c>
      <c r="D814" t="s">
        <v>64</v>
      </c>
      <c r="E814" t="s">
        <v>40</v>
      </c>
      <c r="F814" t="s">
        <v>23</v>
      </c>
      <c r="G814" t="s">
        <v>50</v>
      </c>
      <c r="H814" t="s">
        <v>25</v>
      </c>
      <c r="I814" t="s">
        <v>121</v>
      </c>
      <c r="J814">
        <v>612</v>
      </c>
      <c r="K814">
        <v>8</v>
      </c>
      <c r="L814" t="s">
        <v>37</v>
      </c>
      <c r="M814">
        <v>173</v>
      </c>
      <c r="N814">
        <v>60.6</v>
      </c>
      <c r="O814">
        <v>73.7</v>
      </c>
      <c r="P814">
        <v>5.35</v>
      </c>
      <c r="Q814">
        <v>2.19</v>
      </c>
      <c r="R814" t="s">
        <v>243</v>
      </c>
      <c r="S814" t="s">
        <v>47</v>
      </c>
      <c r="T814" t="s">
        <v>30</v>
      </c>
    </row>
    <row r="815" spans="1:20" x14ac:dyDescent="0.3">
      <c r="A815">
        <v>10063</v>
      </c>
      <c r="B815" s="2">
        <v>45924</v>
      </c>
      <c r="C815" t="s">
        <v>20</v>
      </c>
      <c r="D815" t="s">
        <v>21</v>
      </c>
      <c r="E815" t="s">
        <v>40</v>
      </c>
      <c r="F815" t="s">
        <v>23</v>
      </c>
      <c r="G815" t="s">
        <v>24</v>
      </c>
      <c r="H815" t="s">
        <v>263</v>
      </c>
      <c r="I815" t="s">
        <v>76</v>
      </c>
      <c r="J815">
        <v>1230</v>
      </c>
      <c r="K815">
        <v>6</v>
      </c>
      <c r="L815" t="s">
        <v>37</v>
      </c>
      <c r="M815">
        <v>80</v>
      </c>
      <c r="N815">
        <v>41.5</v>
      </c>
      <c r="O815">
        <v>160</v>
      </c>
      <c r="P815">
        <v>5.3</v>
      </c>
      <c r="Q815">
        <v>3.05</v>
      </c>
      <c r="R815" t="s">
        <v>147</v>
      </c>
      <c r="S815" t="s">
        <v>47</v>
      </c>
      <c r="T815" t="s">
        <v>30</v>
      </c>
    </row>
    <row r="816" spans="1:20" x14ac:dyDescent="0.3">
      <c r="A816">
        <v>10282</v>
      </c>
      <c r="B816" s="2">
        <v>45935</v>
      </c>
      <c r="C816" t="s">
        <v>49</v>
      </c>
      <c r="D816" t="s">
        <v>21</v>
      </c>
      <c r="E816" t="s">
        <v>107</v>
      </c>
      <c r="F816" t="s">
        <v>81</v>
      </c>
      <c r="G816" t="s">
        <v>109</v>
      </c>
      <c r="H816" t="s">
        <v>205</v>
      </c>
      <c r="I816" t="s">
        <v>52</v>
      </c>
      <c r="J816">
        <v>527</v>
      </c>
      <c r="K816">
        <v>5</v>
      </c>
      <c r="L816" t="s">
        <v>68</v>
      </c>
      <c r="M816">
        <v>52</v>
      </c>
      <c r="N816">
        <v>32.5</v>
      </c>
      <c r="O816">
        <v>75.099999999999994</v>
      </c>
      <c r="P816">
        <v>6.3</v>
      </c>
      <c r="Q816">
        <v>1.59</v>
      </c>
      <c r="R816" t="s">
        <v>122</v>
      </c>
      <c r="T816" t="s">
        <v>30</v>
      </c>
    </row>
    <row r="817" spans="1:20" x14ac:dyDescent="0.3">
      <c r="A817">
        <v>10779</v>
      </c>
      <c r="B817" s="2">
        <v>45968</v>
      </c>
      <c r="C817" t="s">
        <v>49</v>
      </c>
      <c r="D817" t="s">
        <v>32</v>
      </c>
      <c r="E817" t="s">
        <v>22</v>
      </c>
      <c r="F817" t="s">
        <v>23</v>
      </c>
      <c r="G817" t="s">
        <v>113</v>
      </c>
      <c r="H817" t="s">
        <v>138</v>
      </c>
      <c r="I817" t="s">
        <v>298</v>
      </c>
      <c r="J817">
        <v>1425</v>
      </c>
      <c r="K817">
        <v>19</v>
      </c>
      <c r="L817" t="s">
        <v>37</v>
      </c>
      <c r="M817">
        <v>161</v>
      </c>
      <c r="N817">
        <v>38.9</v>
      </c>
      <c r="O817">
        <v>86.6</v>
      </c>
      <c r="P817">
        <v>6.81</v>
      </c>
      <c r="Q817">
        <v>5.82</v>
      </c>
      <c r="R817" t="s">
        <v>155</v>
      </c>
      <c r="S817" t="s">
        <v>47</v>
      </c>
      <c r="T817" t="s">
        <v>30</v>
      </c>
    </row>
    <row r="818" spans="1:20" x14ac:dyDescent="0.3">
      <c r="A818">
        <v>11023</v>
      </c>
      <c r="B818" s="2">
        <v>45948</v>
      </c>
      <c r="C818" t="s">
        <v>20</v>
      </c>
      <c r="D818" t="s">
        <v>64</v>
      </c>
      <c r="E818" t="s">
        <v>22</v>
      </c>
      <c r="F818" t="s">
        <v>41</v>
      </c>
      <c r="G818" t="s">
        <v>34</v>
      </c>
      <c r="H818" t="s">
        <v>51</v>
      </c>
      <c r="I818" t="s">
        <v>312</v>
      </c>
      <c r="J818">
        <v>997</v>
      </c>
      <c r="K818">
        <v>3</v>
      </c>
      <c r="L818" t="s">
        <v>45</v>
      </c>
      <c r="M818">
        <v>54</v>
      </c>
      <c r="N818">
        <v>49.5</v>
      </c>
      <c r="O818">
        <v>76.8</v>
      </c>
      <c r="P818">
        <v>4.72</v>
      </c>
      <c r="Q818">
        <v>2.2599999999999998</v>
      </c>
      <c r="R818" t="s">
        <v>125</v>
      </c>
      <c r="S818" t="s">
        <v>73</v>
      </c>
      <c r="T818" t="s">
        <v>30</v>
      </c>
    </row>
    <row r="819" spans="1:20" x14ac:dyDescent="0.3">
      <c r="A819">
        <v>10239</v>
      </c>
      <c r="B819" s="2">
        <v>45811</v>
      </c>
      <c r="C819" t="s">
        <v>49</v>
      </c>
      <c r="D819" t="s">
        <v>59</v>
      </c>
      <c r="E819" t="s">
        <v>107</v>
      </c>
      <c r="F819" t="s">
        <v>23</v>
      </c>
      <c r="G819" t="s">
        <v>109</v>
      </c>
      <c r="H819" t="s">
        <v>193</v>
      </c>
      <c r="I819" t="s">
        <v>226</v>
      </c>
      <c r="J819">
        <v>501</v>
      </c>
      <c r="K819">
        <v>6</v>
      </c>
      <c r="L819" t="s">
        <v>45</v>
      </c>
      <c r="M819">
        <v>57</v>
      </c>
      <c r="N819">
        <v>39.4</v>
      </c>
      <c r="O819">
        <v>70.8</v>
      </c>
      <c r="P819">
        <v>5.81</v>
      </c>
      <c r="Q819">
        <v>3.91</v>
      </c>
      <c r="R819" t="s">
        <v>63</v>
      </c>
      <c r="S819" t="s">
        <v>39</v>
      </c>
      <c r="T819" t="s">
        <v>30</v>
      </c>
    </row>
    <row r="820" spans="1:20" x14ac:dyDescent="0.3">
      <c r="A820">
        <v>10224</v>
      </c>
      <c r="B820" s="2">
        <v>45733</v>
      </c>
      <c r="C820" t="s">
        <v>20</v>
      </c>
      <c r="D820" t="s">
        <v>21</v>
      </c>
      <c r="E820" t="s">
        <v>40</v>
      </c>
      <c r="F820" t="s">
        <v>23</v>
      </c>
      <c r="G820" t="s">
        <v>60</v>
      </c>
      <c r="H820" t="s">
        <v>287</v>
      </c>
      <c r="I820" t="s">
        <v>372</v>
      </c>
      <c r="J820">
        <v>1462</v>
      </c>
      <c r="K820">
        <v>17</v>
      </c>
      <c r="L820" t="s">
        <v>37</v>
      </c>
      <c r="M820">
        <v>83</v>
      </c>
      <c r="N820">
        <v>45.3</v>
      </c>
      <c r="O820">
        <v>69.900000000000006</v>
      </c>
      <c r="P820">
        <v>5.88</v>
      </c>
      <c r="Q820">
        <v>0.46</v>
      </c>
      <c r="R820" t="s">
        <v>222</v>
      </c>
      <c r="S820" t="s">
        <v>47</v>
      </c>
      <c r="T820" t="s">
        <v>30</v>
      </c>
    </row>
    <row r="821" spans="1:20" x14ac:dyDescent="0.3">
      <c r="A821">
        <v>10146</v>
      </c>
      <c r="B821" s="2">
        <v>45731</v>
      </c>
      <c r="C821" t="s">
        <v>49</v>
      </c>
      <c r="D821" t="s">
        <v>21</v>
      </c>
      <c r="E821" t="s">
        <v>107</v>
      </c>
      <c r="F821" t="s">
        <v>41</v>
      </c>
      <c r="G821" t="s">
        <v>34</v>
      </c>
      <c r="H821" t="s">
        <v>177</v>
      </c>
      <c r="I821" t="s">
        <v>145</v>
      </c>
      <c r="J821">
        <v>1526</v>
      </c>
      <c r="K821">
        <v>11</v>
      </c>
      <c r="L821" t="s">
        <v>57</v>
      </c>
      <c r="M821">
        <v>18</v>
      </c>
      <c r="N821">
        <v>31</v>
      </c>
      <c r="O821">
        <v>70.3</v>
      </c>
      <c r="P821">
        <v>4.33</v>
      </c>
      <c r="Q821">
        <v>1.68</v>
      </c>
      <c r="R821" t="s">
        <v>153</v>
      </c>
      <c r="S821" t="s">
        <v>39</v>
      </c>
      <c r="T821" t="s">
        <v>30</v>
      </c>
    </row>
    <row r="822" spans="1:20" x14ac:dyDescent="0.3">
      <c r="A822">
        <v>11411</v>
      </c>
      <c r="B822" s="2">
        <v>46005</v>
      </c>
      <c r="C822" t="s">
        <v>31</v>
      </c>
      <c r="D822" t="s">
        <v>32</v>
      </c>
      <c r="E822" t="s">
        <v>33</v>
      </c>
      <c r="F822" t="s">
        <v>41</v>
      </c>
      <c r="G822" t="s">
        <v>89</v>
      </c>
      <c r="H822" t="s">
        <v>69</v>
      </c>
      <c r="I822" t="s">
        <v>110</v>
      </c>
      <c r="J822" t="s">
        <v>390</v>
      </c>
      <c r="K822">
        <v>9</v>
      </c>
      <c r="L822" t="s">
        <v>68</v>
      </c>
      <c r="M822">
        <v>63</v>
      </c>
      <c r="N822">
        <v>46.4</v>
      </c>
      <c r="O822">
        <v>71.599999999999994</v>
      </c>
      <c r="P822">
        <v>5.9</v>
      </c>
      <c r="Q822">
        <v>2.4500000000000002</v>
      </c>
      <c r="R822" t="s">
        <v>80</v>
      </c>
      <c r="S822" t="s">
        <v>47</v>
      </c>
      <c r="T822" t="s">
        <v>30</v>
      </c>
    </row>
    <row r="823" spans="1:20" x14ac:dyDescent="0.3">
      <c r="A823">
        <v>10374</v>
      </c>
      <c r="B823" s="2">
        <v>45845</v>
      </c>
      <c r="C823" t="s">
        <v>199</v>
      </c>
      <c r="D823" t="s">
        <v>59</v>
      </c>
      <c r="E823" t="s">
        <v>40</v>
      </c>
      <c r="F823" t="s">
        <v>81</v>
      </c>
      <c r="G823" t="s">
        <v>74</v>
      </c>
      <c r="H823" t="s">
        <v>263</v>
      </c>
      <c r="I823" t="s">
        <v>257</v>
      </c>
      <c r="J823">
        <v>763</v>
      </c>
      <c r="K823">
        <v>2</v>
      </c>
      <c r="L823" t="s">
        <v>37</v>
      </c>
      <c r="M823">
        <v>67</v>
      </c>
      <c r="N823">
        <v>29.9</v>
      </c>
      <c r="O823">
        <v>71.900000000000006</v>
      </c>
      <c r="P823">
        <v>4.53</v>
      </c>
      <c r="Q823">
        <v>3.47</v>
      </c>
      <c r="R823" t="s">
        <v>183</v>
      </c>
      <c r="S823" t="s">
        <v>29</v>
      </c>
      <c r="T823" t="s">
        <v>30</v>
      </c>
    </row>
    <row r="824" spans="1:20" x14ac:dyDescent="0.3">
      <c r="A824">
        <v>10092</v>
      </c>
      <c r="B824" s="2">
        <v>45802</v>
      </c>
      <c r="C824" t="s">
        <v>31</v>
      </c>
      <c r="D824" t="s">
        <v>21</v>
      </c>
      <c r="E824" t="s">
        <v>33</v>
      </c>
      <c r="F824" t="s">
        <v>23</v>
      </c>
      <c r="G824" t="s">
        <v>54</v>
      </c>
      <c r="H824" t="s">
        <v>205</v>
      </c>
      <c r="I824" t="s">
        <v>110</v>
      </c>
      <c r="J824">
        <v>736</v>
      </c>
      <c r="K824">
        <v>9</v>
      </c>
      <c r="L824" t="s">
        <v>68</v>
      </c>
      <c r="M824">
        <v>9</v>
      </c>
      <c r="N824">
        <v>48.1</v>
      </c>
      <c r="O824">
        <v>78.099999999999994</v>
      </c>
      <c r="P824">
        <v>5.82</v>
      </c>
      <c r="Q824">
        <v>1.53</v>
      </c>
      <c r="R824" t="s">
        <v>164</v>
      </c>
      <c r="S824" t="s">
        <v>29</v>
      </c>
      <c r="T824" t="s">
        <v>30</v>
      </c>
    </row>
    <row r="825" spans="1:20" x14ac:dyDescent="0.3">
      <c r="A825">
        <v>10119</v>
      </c>
      <c r="B825" s="2">
        <v>45771</v>
      </c>
      <c r="C825" t="s">
        <v>31</v>
      </c>
      <c r="D825" t="s">
        <v>21</v>
      </c>
      <c r="E825" t="s">
        <v>33</v>
      </c>
      <c r="F825" t="s">
        <v>23</v>
      </c>
      <c r="G825" t="s">
        <v>89</v>
      </c>
      <c r="H825" t="s">
        <v>123</v>
      </c>
      <c r="I825" t="s">
        <v>332</v>
      </c>
      <c r="J825">
        <v>917</v>
      </c>
      <c r="K825">
        <v>8</v>
      </c>
      <c r="L825" t="s">
        <v>71</v>
      </c>
      <c r="M825">
        <v>164</v>
      </c>
      <c r="N825">
        <v>35.299999999999997</v>
      </c>
      <c r="O825">
        <v>75.400000000000006</v>
      </c>
      <c r="P825">
        <v>6.85</v>
      </c>
      <c r="Q825">
        <v>1.63</v>
      </c>
      <c r="R825" t="s">
        <v>155</v>
      </c>
      <c r="S825" t="s">
        <v>47</v>
      </c>
      <c r="T825" t="s">
        <v>30</v>
      </c>
    </row>
    <row r="826" spans="1:20" x14ac:dyDescent="0.3">
      <c r="A826">
        <v>11250</v>
      </c>
      <c r="B826" s="2">
        <v>45978</v>
      </c>
      <c r="C826" t="s">
        <v>20</v>
      </c>
      <c r="D826" t="s">
        <v>64</v>
      </c>
      <c r="E826" t="s">
        <v>107</v>
      </c>
      <c r="F826" t="s">
        <v>41</v>
      </c>
      <c r="G826" t="s">
        <v>134</v>
      </c>
      <c r="H826" t="s">
        <v>131</v>
      </c>
      <c r="I826" t="s">
        <v>332</v>
      </c>
      <c r="J826">
        <v>501</v>
      </c>
      <c r="K826">
        <v>4</v>
      </c>
      <c r="L826" t="s">
        <v>27</v>
      </c>
      <c r="M826">
        <v>91</v>
      </c>
      <c r="N826">
        <v>38.299999999999997</v>
      </c>
      <c r="O826">
        <v>82.3</v>
      </c>
      <c r="P826">
        <v>5.41</v>
      </c>
      <c r="Q826">
        <v>2.37</v>
      </c>
      <c r="R826" t="s">
        <v>133</v>
      </c>
      <c r="S826" t="s">
        <v>39</v>
      </c>
      <c r="T826" t="s">
        <v>30</v>
      </c>
    </row>
    <row r="827" spans="1:20" x14ac:dyDescent="0.3">
      <c r="A827">
        <v>10251</v>
      </c>
      <c r="B827" s="2">
        <v>45771</v>
      </c>
      <c r="C827" t="s">
        <v>31</v>
      </c>
      <c r="D827" t="s">
        <v>64</v>
      </c>
      <c r="E827" t="s">
        <v>40</v>
      </c>
      <c r="F827" t="s">
        <v>81</v>
      </c>
      <c r="G827" t="s">
        <v>95</v>
      </c>
      <c r="H827" t="s">
        <v>75</v>
      </c>
      <c r="I827" t="s">
        <v>173</v>
      </c>
      <c r="J827">
        <v>1299</v>
      </c>
      <c r="K827">
        <v>37</v>
      </c>
      <c r="L827" t="s">
        <v>27</v>
      </c>
      <c r="M827">
        <v>30</v>
      </c>
      <c r="N827">
        <v>42.3</v>
      </c>
      <c r="O827">
        <v>72.400000000000006</v>
      </c>
      <c r="P827">
        <v>4.8</v>
      </c>
      <c r="Q827">
        <v>1.29</v>
      </c>
      <c r="R827" t="s">
        <v>186</v>
      </c>
      <c r="S827" t="s">
        <v>39</v>
      </c>
      <c r="T827" t="s">
        <v>30</v>
      </c>
    </row>
    <row r="828" spans="1:20" x14ac:dyDescent="0.3">
      <c r="A828">
        <v>11457</v>
      </c>
      <c r="B828" s="2">
        <v>45833</v>
      </c>
      <c r="C828" t="s">
        <v>150</v>
      </c>
      <c r="D828" t="s">
        <v>21</v>
      </c>
      <c r="E828" t="s">
        <v>22</v>
      </c>
      <c r="F828" t="s">
        <v>23</v>
      </c>
      <c r="G828" t="s">
        <v>54</v>
      </c>
      <c r="H828" t="s">
        <v>35</v>
      </c>
      <c r="I828" t="s">
        <v>206</v>
      </c>
      <c r="J828">
        <v>1521</v>
      </c>
      <c r="K828">
        <v>4</v>
      </c>
      <c r="L828" t="s">
        <v>68</v>
      </c>
      <c r="M828">
        <v>72</v>
      </c>
      <c r="N828">
        <v>53</v>
      </c>
      <c r="O828">
        <v>61.3</v>
      </c>
      <c r="P828">
        <v>4.75</v>
      </c>
      <c r="Q828">
        <v>2.92</v>
      </c>
      <c r="R828" t="s">
        <v>143</v>
      </c>
      <c r="S828" t="s">
        <v>29</v>
      </c>
      <c r="T828" t="s">
        <v>30</v>
      </c>
    </row>
    <row r="829" spans="1:20" x14ac:dyDescent="0.3">
      <c r="A829">
        <v>11235</v>
      </c>
      <c r="B829" s="2">
        <v>45980</v>
      </c>
      <c r="C829" t="s">
        <v>31</v>
      </c>
      <c r="D829" t="s">
        <v>32</v>
      </c>
      <c r="E829" t="s">
        <v>33</v>
      </c>
      <c r="F829" t="s">
        <v>108</v>
      </c>
      <c r="G829" t="s">
        <v>50</v>
      </c>
      <c r="H829" t="s">
        <v>82</v>
      </c>
      <c r="I829" t="s">
        <v>228</v>
      </c>
      <c r="J829">
        <v>1457</v>
      </c>
      <c r="K829">
        <v>6</v>
      </c>
      <c r="L829" t="s">
        <v>71</v>
      </c>
      <c r="M829">
        <v>159</v>
      </c>
      <c r="N829">
        <v>53.7</v>
      </c>
      <c r="O829">
        <v>72.7</v>
      </c>
      <c r="P829">
        <v>3.66</v>
      </c>
      <c r="Q829">
        <v>2.72</v>
      </c>
      <c r="R829" t="s">
        <v>245</v>
      </c>
      <c r="S829" t="s">
        <v>39</v>
      </c>
      <c r="T829" t="s">
        <v>30</v>
      </c>
    </row>
    <row r="830" spans="1:20" x14ac:dyDescent="0.3">
      <c r="A830">
        <v>11167</v>
      </c>
      <c r="B830" s="2">
        <v>45735</v>
      </c>
      <c r="C830" t="s">
        <v>49</v>
      </c>
      <c r="D830" t="s">
        <v>21</v>
      </c>
      <c r="E830" t="s">
        <v>22</v>
      </c>
      <c r="F830" t="s">
        <v>81</v>
      </c>
      <c r="G830" t="s">
        <v>89</v>
      </c>
      <c r="H830" t="s">
        <v>25</v>
      </c>
      <c r="I830" t="s">
        <v>381</v>
      </c>
      <c r="J830">
        <v>802</v>
      </c>
      <c r="K830">
        <v>7</v>
      </c>
      <c r="L830" t="s">
        <v>37</v>
      </c>
      <c r="M830">
        <v>19</v>
      </c>
      <c r="N830">
        <v>44.1</v>
      </c>
      <c r="O830">
        <v>73.2</v>
      </c>
      <c r="P830">
        <v>5.61</v>
      </c>
      <c r="Q830">
        <v>2.06</v>
      </c>
      <c r="R830" t="s">
        <v>232</v>
      </c>
      <c r="S830" t="s">
        <v>73</v>
      </c>
      <c r="T830" t="s">
        <v>30</v>
      </c>
    </row>
    <row r="831" spans="1:20" x14ac:dyDescent="0.3">
      <c r="A831">
        <v>10010</v>
      </c>
      <c r="B831" s="2">
        <v>46009</v>
      </c>
      <c r="C831" t="s">
        <v>31</v>
      </c>
      <c r="D831" t="s">
        <v>21</v>
      </c>
      <c r="E831" t="s">
        <v>22</v>
      </c>
      <c r="F831" t="s">
        <v>41</v>
      </c>
      <c r="G831" t="s">
        <v>50</v>
      </c>
      <c r="H831" t="s">
        <v>88</v>
      </c>
      <c r="I831" t="s">
        <v>235</v>
      </c>
      <c r="J831">
        <v>1109</v>
      </c>
      <c r="K831">
        <v>23</v>
      </c>
      <c r="L831" t="s">
        <v>68</v>
      </c>
      <c r="M831">
        <v>133</v>
      </c>
      <c r="N831">
        <v>50.2</v>
      </c>
      <c r="O831">
        <v>79</v>
      </c>
      <c r="P831">
        <v>5.36</v>
      </c>
      <c r="Q831">
        <v>1.21</v>
      </c>
      <c r="R831" t="s">
        <v>80</v>
      </c>
      <c r="S831" t="s">
        <v>39</v>
      </c>
      <c r="T831" t="s">
        <v>30</v>
      </c>
    </row>
    <row r="832" spans="1:20" x14ac:dyDescent="0.3">
      <c r="A832">
        <v>10450</v>
      </c>
      <c r="B832" s="2">
        <v>45718</v>
      </c>
      <c r="C832" t="s">
        <v>49</v>
      </c>
      <c r="D832" t="s">
        <v>21</v>
      </c>
      <c r="E832" t="s">
        <v>22</v>
      </c>
      <c r="F832" t="s">
        <v>23</v>
      </c>
      <c r="G832" t="s">
        <v>74</v>
      </c>
      <c r="H832" t="s">
        <v>223</v>
      </c>
      <c r="I832" t="s">
        <v>272</v>
      </c>
      <c r="J832">
        <v>860</v>
      </c>
      <c r="K832">
        <v>22</v>
      </c>
      <c r="L832" t="s">
        <v>71</v>
      </c>
      <c r="M832">
        <v>6</v>
      </c>
      <c r="N832">
        <v>45.7</v>
      </c>
      <c r="O832">
        <v>72.599999999999994</v>
      </c>
      <c r="P832">
        <v>4.0999999999999996</v>
      </c>
      <c r="Q832">
        <v>3.6</v>
      </c>
      <c r="R832" t="s">
        <v>174</v>
      </c>
      <c r="S832" t="s">
        <v>73</v>
      </c>
      <c r="T832" t="s">
        <v>30</v>
      </c>
    </row>
    <row r="833" spans="1:20" x14ac:dyDescent="0.3">
      <c r="A833">
        <v>10894</v>
      </c>
      <c r="B833" s="2">
        <v>45821</v>
      </c>
      <c r="C833" t="s">
        <v>360</v>
      </c>
      <c r="D833" t="s">
        <v>32</v>
      </c>
      <c r="E833" t="s">
        <v>33</v>
      </c>
      <c r="F833" t="s">
        <v>23</v>
      </c>
      <c r="G833" t="s">
        <v>74</v>
      </c>
      <c r="H833" t="s">
        <v>90</v>
      </c>
      <c r="I833" t="s">
        <v>378</v>
      </c>
      <c r="J833">
        <v>915</v>
      </c>
      <c r="K833">
        <v>5</v>
      </c>
      <c r="L833" t="s">
        <v>27</v>
      </c>
      <c r="M833">
        <v>139</v>
      </c>
      <c r="N833">
        <v>43.8</v>
      </c>
      <c r="O833">
        <v>65.2</v>
      </c>
      <c r="P833">
        <v>4.87</v>
      </c>
      <c r="Q833">
        <v>2.92</v>
      </c>
      <c r="R833" t="s">
        <v>186</v>
      </c>
      <c r="S833" t="s">
        <v>47</v>
      </c>
      <c r="T833" t="s">
        <v>30</v>
      </c>
    </row>
    <row r="834" spans="1:20" x14ac:dyDescent="0.3">
      <c r="A834">
        <v>10709</v>
      </c>
      <c r="B834" s="2">
        <v>45693</v>
      </c>
      <c r="C834" t="s">
        <v>49</v>
      </c>
      <c r="D834" t="s">
        <v>32</v>
      </c>
      <c r="E834" t="s">
        <v>22</v>
      </c>
      <c r="F834" t="s">
        <v>41</v>
      </c>
      <c r="G834" t="s">
        <v>109</v>
      </c>
      <c r="H834" t="s">
        <v>126</v>
      </c>
      <c r="I834" t="s">
        <v>307</v>
      </c>
      <c r="J834">
        <v>906</v>
      </c>
      <c r="K834">
        <v>28</v>
      </c>
      <c r="L834" t="s">
        <v>68</v>
      </c>
      <c r="M834">
        <v>76</v>
      </c>
      <c r="N834">
        <v>46.6</v>
      </c>
      <c r="O834">
        <v>57.1</v>
      </c>
      <c r="P834">
        <v>4.8</v>
      </c>
      <c r="Q834">
        <v>2.5</v>
      </c>
      <c r="R834" t="s">
        <v>159</v>
      </c>
      <c r="S834" t="s">
        <v>29</v>
      </c>
      <c r="T834" t="s">
        <v>48</v>
      </c>
    </row>
    <row r="835" spans="1:20" x14ac:dyDescent="0.3">
      <c r="A835">
        <v>10256</v>
      </c>
      <c r="B835" s="2">
        <v>45883</v>
      </c>
      <c r="C835" t="s">
        <v>20</v>
      </c>
      <c r="D835" t="s">
        <v>32</v>
      </c>
      <c r="E835" t="s">
        <v>40</v>
      </c>
      <c r="F835" t="s">
        <v>41</v>
      </c>
      <c r="G835" t="s">
        <v>74</v>
      </c>
      <c r="H835" t="s">
        <v>126</v>
      </c>
      <c r="I835" t="s">
        <v>62</v>
      </c>
      <c r="J835">
        <v>450</v>
      </c>
      <c r="K835">
        <v>2</v>
      </c>
      <c r="L835" t="s">
        <v>45</v>
      </c>
      <c r="M835">
        <v>46</v>
      </c>
      <c r="N835">
        <v>38</v>
      </c>
      <c r="O835">
        <v>65.7</v>
      </c>
      <c r="P835">
        <v>4.7</v>
      </c>
      <c r="Q835">
        <v>1.98</v>
      </c>
      <c r="R835" t="s">
        <v>147</v>
      </c>
      <c r="S835" t="s">
        <v>73</v>
      </c>
      <c r="T835" t="s">
        <v>30</v>
      </c>
    </row>
    <row r="836" spans="1:20" x14ac:dyDescent="0.3">
      <c r="A836">
        <v>10594</v>
      </c>
      <c r="B836" s="2">
        <v>45843</v>
      </c>
      <c r="C836" t="s">
        <v>20</v>
      </c>
      <c r="D836" t="s">
        <v>64</v>
      </c>
      <c r="E836" t="s">
        <v>33</v>
      </c>
      <c r="F836" t="s">
        <v>23</v>
      </c>
      <c r="G836" t="s">
        <v>74</v>
      </c>
      <c r="H836" t="s">
        <v>25</v>
      </c>
      <c r="I836" t="s">
        <v>354</v>
      </c>
      <c r="J836">
        <v>1316</v>
      </c>
      <c r="K836">
        <v>16</v>
      </c>
      <c r="L836" t="s">
        <v>71</v>
      </c>
      <c r="M836">
        <v>104</v>
      </c>
      <c r="N836">
        <v>41.6</v>
      </c>
      <c r="O836">
        <v>64.900000000000006</v>
      </c>
      <c r="P836">
        <v>4.75</v>
      </c>
      <c r="Q836">
        <v>2.15</v>
      </c>
      <c r="R836" t="s">
        <v>38</v>
      </c>
      <c r="S836" t="s">
        <v>73</v>
      </c>
      <c r="T836" t="s">
        <v>30</v>
      </c>
    </row>
    <row r="837" spans="1:20" x14ac:dyDescent="0.3">
      <c r="A837">
        <v>10390</v>
      </c>
      <c r="B837" s="2">
        <v>46015</v>
      </c>
      <c r="C837" t="s">
        <v>31</v>
      </c>
      <c r="D837" t="s">
        <v>59</v>
      </c>
      <c r="E837" t="s">
        <v>107</v>
      </c>
      <c r="F837" t="s">
        <v>81</v>
      </c>
      <c r="G837" t="s">
        <v>113</v>
      </c>
      <c r="H837" t="s">
        <v>223</v>
      </c>
      <c r="I837" t="s">
        <v>230</v>
      </c>
      <c r="J837">
        <v>740</v>
      </c>
      <c r="K837">
        <v>8</v>
      </c>
      <c r="L837" t="s">
        <v>68</v>
      </c>
      <c r="M837">
        <v>88</v>
      </c>
      <c r="N837">
        <v>42.9</v>
      </c>
      <c r="O837">
        <v>80.3</v>
      </c>
      <c r="P837">
        <v>4.2699999999999996</v>
      </c>
      <c r="Q837">
        <v>4.5</v>
      </c>
      <c r="R837" t="s">
        <v>53</v>
      </c>
      <c r="S837" t="s">
        <v>73</v>
      </c>
      <c r="T837" t="s">
        <v>30</v>
      </c>
    </row>
    <row r="838" spans="1:20" x14ac:dyDescent="0.3">
      <c r="A838">
        <v>10969</v>
      </c>
      <c r="B838" s="2">
        <v>45871</v>
      </c>
      <c r="C838" t="s">
        <v>49</v>
      </c>
      <c r="D838" t="s">
        <v>59</v>
      </c>
      <c r="E838" t="s">
        <v>107</v>
      </c>
      <c r="F838" t="s">
        <v>23</v>
      </c>
      <c r="G838" t="s">
        <v>42</v>
      </c>
      <c r="H838" t="s">
        <v>177</v>
      </c>
      <c r="I838" t="s">
        <v>323</v>
      </c>
      <c r="J838">
        <v>543</v>
      </c>
      <c r="K838">
        <v>48</v>
      </c>
      <c r="L838" t="s">
        <v>37</v>
      </c>
      <c r="M838">
        <v>135</v>
      </c>
      <c r="N838">
        <v>46.1</v>
      </c>
      <c r="O838">
        <v>62</v>
      </c>
      <c r="P838">
        <v>4.91</v>
      </c>
      <c r="Q838">
        <v>0.19</v>
      </c>
      <c r="R838" t="s">
        <v>122</v>
      </c>
      <c r="S838" t="s">
        <v>47</v>
      </c>
      <c r="T838" t="s">
        <v>48</v>
      </c>
    </row>
    <row r="839" spans="1:20" x14ac:dyDescent="0.3">
      <c r="A839">
        <v>11211</v>
      </c>
      <c r="B839" s="2">
        <v>45910</v>
      </c>
      <c r="C839" t="s">
        <v>31</v>
      </c>
      <c r="D839" t="s">
        <v>21</v>
      </c>
      <c r="E839" t="s">
        <v>40</v>
      </c>
      <c r="F839" t="s">
        <v>23</v>
      </c>
      <c r="G839" t="s">
        <v>60</v>
      </c>
      <c r="H839" t="s">
        <v>148</v>
      </c>
      <c r="I839" t="s">
        <v>220</v>
      </c>
      <c r="J839">
        <v>1590</v>
      </c>
      <c r="K839">
        <v>19</v>
      </c>
      <c r="L839" t="s">
        <v>27</v>
      </c>
      <c r="M839">
        <v>36</v>
      </c>
      <c r="N839">
        <v>35.1</v>
      </c>
      <c r="O839">
        <v>76.2</v>
      </c>
      <c r="P839">
        <v>4.9800000000000004</v>
      </c>
      <c r="Q839">
        <v>2.0499999999999998</v>
      </c>
      <c r="R839" t="s">
        <v>245</v>
      </c>
      <c r="S839" t="s">
        <v>39</v>
      </c>
      <c r="T839" t="s">
        <v>30</v>
      </c>
    </row>
    <row r="840" spans="1:20" x14ac:dyDescent="0.3">
      <c r="A840">
        <v>10558</v>
      </c>
      <c r="B840" s="2">
        <v>45926</v>
      </c>
      <c r="C840" t="s">
        <v>31</v>
      </c>
      <c r="D840" t="s">
        <v>21</v>
      </c>
      <c r="E840" t="s">
        <v>22</v>
      </c>
      <c r="F840" t="s">
        <v>23</v>
      </c>
      <c r="G840" t="s">
        <v>42</v>
      </c>
      <c r="H840" t="s">
        <v>25</v>
      </c>
      <c r="I840" t="s">
        <v>283</v>
      </c>
      <c r="J840">
        <v>1512</v>
      </c>
      <c r="K840">
        <v>19</v>
      </c>
      <c r="L840" t="s">
        <v>68</v>
      </c>
      <c r="M840">
        <v>134</v>
      </c>
      <c r="N840">
        <v>47.2</v>
      </c>
      <c r="O840">
        <v>73</v>
      </c>
      <c r="P840">
        <v>3.48</v>
      </c>
      <c r="Q840">
        <v>3.29</v>
      </c>
      <c r="R840" t="s">
        <v>80</v>
      </c>
      <c r="S840" t="s">
        <v>47</v>
      </c>
      <c r="T840" t="s">
        <v>30</v>
      </c>
    </row>
    <row r="841" spans="1:20" x14ac:dyDescent="0.3">
      <c r="A841">
        <v>11300</v>
      </c>
      <c r="B841" s="2">
        <v>45843</v>
      </c>
      <c r="C841" t="s">
        <v>150</v>
      </c>
      <c r="D841" t="s">
        <v>21</v>
      </c>
      <c r="E841" t="s">
        <v>22</v>
      </c>
      <c r="F841" t="s">
        <v>23</v>
      </c>
      <c r="G841" t="s">
        <v>24</v>
      </c>
      <c r="H841" t="s">
        <v>43</v>
      </c>
      <c r="I841" t="s">
        <v>162</v>
      </c>
      <c r="J841">
        <v>1283</v>
      </c>
      <c r="K841">
        <v>82</v>
      </c>
      <c r="L841" t="s">
        <v>27</v>
      </c>
      <c r="M841">
        <v>159</v>
      </c>
      <c r="N841">
        <v>27.2</v>
      </c>
      <c r="O841">
        <v>70</v>
      </c>
      <c r="P841">
        <v>6.01</v>
      </c>
      <c r="Q841">
        <v>2.12</v>
      </c>
      <c r="R841" t="s">
        <v>186</v>
      </c>
      <c r="S841" t="s">
        <v>29</v>
      </c>
      <c r="T841" t="s">
        <v>48</v>
      </c>
    </row>
    <row r="842" spans="1:20" x14ac:dyDescent="0.3">
      <c r="A842">
        <v>10850</v>
      </c>
      <c r="B842" s="2">
        <v>45910</v>
      </c>
      <c r="C842" t="s">
        <v>49</v>
      </c>
      <c r="D842" t="s">
        <v>32</v>
      </c>
      <c r="E842" t="s">
        <v>107</v>
      </c>
      <c r="F842" t="s">
        <v>41</v>
      </c>
      <c r="G842" t="s">
        <v>89</v>
      </c>
      <c r="H842" t="s">
        <v>51</v>
      </c>
      <c r="I842" t="s">
        <v>182</v>
      </c>
      <c r="J842">
        <v>461</v>
      </c>
      <c r="K842">
        <v>5</v>
      </c>
      <c r="L842" t="s">
        <v>37</v>
      </c>
      <c r="M842">
        <v>57</v>
      </c>
      <c r="N842">
        <v>37.299999999999997</v>
      </c>
      <c r="O842">
        <v>56.6</v>
      </c>
      <c r="P842">
        <v>3.17</v>
      </c>
      <c r="Q842">
        <v>4.41</v>
      </c>
      <c r="R842" t="s">
        <v>137</v>
      </c>
      <c r="S842" t="s">
        <v>73</v>
      </c>
      <c r="T842" t="s">
        <v>30</v>
      </c>
    </row>
    <row r="843" spans="1:20" x14ac:dyDescent="0.3">
      <c r="A843">
        <v>10461</v>
      </c>
      <c r="B843" s="2">
        <v>45983</v>
      </c>
      <c r="C843" t="s">
        <v>20</v>
      </c>
      <c r="D843" t="s">
        <v>59</v>
      </c>
      <c r="E843" t="s">
        <v>22</v>
      </c>
      <c r="F843" t="s">
        <v>23</v>
      </c>
      <c r="G843" t="s">
        <v>60</v>
      </c>
      <c r="H843" t="s">
        <v>35</v>
      </c>
      <c r="I843" t="s">
        <v>110</v>
      </c>
      <c r="J843">
        <v>1081</v>
      </c>
      <c r="K843">
        <v>6</v>
      </c>
      <c r="L843" t="s">
        <v>68</v>
      </c>
      <c r="M843">
        <v>161</v>
      </c>
      <c r="N843">
        <v>46.5</v>
      </c>
      <c r="O843">
        <v>86.4</v>
      </c>
      <c r="P843">
        <v>6.33</v>
      </c>
      <c r="Q843">
        <v>2.2599999999999998</v>
      </c>
      <c r="R843" t="s">
        <v>245</v>
      </c>
      <c r="S843" t="s">
        <v>47</v>
      </c>
      <c r="T843" t="s">
        <v>30</v>
      </c>
    </row>
    <row r="844" spans="1:20" x14ac:dyDescent="0.3">
      <c r="A844">
        <v>10724</v>
      </c>
      <c r="B844" s="2">
        <v>45738</v>
      </c>
      <c r="C844" t="s">
        <v>31</v>
      </c>
      <c r="D844" t="s">
        <v>64</v>
      </c>
      <c r="E844" t="s">
        <v>33</v>
      </c>
      <c r="F844" t="s">
        <v>23</v>
      </c>
      <c r="G844" t="s">
        <v>54</v>
      </c>
      <c r="H844" t="s">
        <v>165</v>
      </c>
      <c r="I844" t="s">
        <v>160</v>
      </c>
      <c r="J844" t="s">
        <v>391</v>
      </c>
      <c r="K844">
        <v>42</v>
      </c>
      <c r="L844" t="s">
        <v>71</v>
      </c>
      <c r="M844">
        <v>127</v>
      </c>
      <c r="N844">
        <v>41.9</v>
      </c>
      <c r="O844">
        <v>64.2</v>
      </c>
      <c r="P844">
        <v>6.36</v>
      </c>
      <c r="Q844">
        <v>4.87</v>
      </c>
      <c r="R844" t="s">
        <v>103</v>
      </c>
      <c r="S844" t="s">
        <v>47</v>
      </c>
      <c r="T844" t="s">
        <v>48</v>
      </c>
    </row>
    <row r="845" spans="1:20" x14ac:dyDescent="0.3">
      <c r="A845">
        <v>11394</v>
      </c>
      <c r="B845" s="2">
        <v>45832</v>
      </c>
      <c r="C845" t="s">
        <v>31</v>
      </c>
      <c r="D845" t="s">
        <v>64</v>
      </c>
      <c r="E845" t="s">
        <v>40</v>
      </c>
      <c r="F845" t="s">
        <v>41</v>
      </c>
      <c r="G845" t="s">
        <v>42</v>
      </c>
      <c r="H845" t="s">
        <v>51</v>
      </c>
      <c r="I845" t="s">
        <v>299</v>
      </c>
      <c r="J845">
        <v>913</v>
      </c>
      <c r="K845">
        <v>6</v>
      </c>
      <c r="L845" t="s">
        <v>27</v>
      </c>
      <c r="M845">
        <v>8</v>
      </c>
      <c r="N845">
        <v>37.6</v>
      </c>
      <c r="O845">
        <v>71.2</v>
      </c>
      <c r="P845">
        <v>5.2</v>
      </c>
      <c r="Q845">
        <v>3.07</v>
      </c>
      <c r="R845" t="s">
        <v>189</v>
      </c>
      <c r="S845" t="s">
        <v>39</v>
      </c>
      <c r="T845" t="s">
        <v>30</v>
      </c>
    </row>
    <row r="846" spans="1:20" x14ac:dyDescent="0.3">
      <c r="A846">
        <v>10145</v>
      </c>
      <c r="B846" s="2">
        <v>45670</v>
      </c>
      <c r="C846" t="s">
        <v>31</v>
      </c>
      <c r="D846" t="s">
        <v>32</v>
      </c>
      <c r="E846" t="s">
        <v>107</v>
      </c>
      <c r="F846" t="s">
        <v>81</v>
      </c>
      <c r="G846" t="s">
        <v>95</v>
      </c>
      <c r="H846" t="s">
        <v>123</v>
      </c>
      <c r="I846" t="s">
        <v>83</v>
      </c>
      <c r="J846">
        <v>1385</v>
      </c>
      <c r="K846">
        <v>5</v>
      </c>
      <c r="L846" t="s">
        <v>37</v>
      </c>
      <c r="M846">
        <v>130</v>
      </c>
      <c r="N846">
        <v>50.1</v>
      </c>
      <c r="O846">
        <v>74.2</v>
      </c>
      <c r="P846">
        <v>4.0199999999999996</v>
      </c>
      <c r="Q846">
        <v>3.08</v>
      </c>
      <c r="R846" t="s">
        <v>143</v>
      </c>
      <c r="S846" t="s">
        <v>73</v>
      </c>
      <c r="T846" t="s">
        <v>30</v>
      </c>
    </row>
    <row r="847" spans="1:20" x14ac:dyDescent="0.3">
      <c r="A847">
        <v>10502</v>
      </c>
      <c r="B847" s="2">
        <v>45720</v>
      </c>
      <c r="C847" t="s">
        <v>207</v>
      </c>
      <c r="D847" t="s">
        <v>21</v>
      </c>
      <c r="E847" t="s">
        <v>33</v>
      </c>
      <c r="F847" t="s">
        <v>41</v>
      </c>
      <c r="G847" t="s">
        <v>134</v>
      </c>
      <c r="H847" t="s">
        <v>123</v>
      </c>
      <c r="I847" t="s">
        <v>254</v>
      </c>
      <c r="J847">
        <v>1434</v>
      </c>
      <c r="K847">
        <v>5</v>
      </c>
      <c r="L847" t="s">
        <v>37</v>
      </c>
      <c r="M847">
        <v>12</v>
      </c>
      <c r="N847">
        <v>31</v>
      </c>
      <c r="O847">
        <v>64.5</v>
      </c>
      <c r="P847">
        <v>3.37</v>
      </c>
      <c r="Q847">
        <v>1.94</v>
      </c>
      <c r="R847" t="s">
        <v>130</v>
      </c>
      <c r="S847" t="s">
        <v>29</v>
      </c>
      <c r="T847" t="s">
        <v>30</v>
      </c>
    </row>
    <row r="848" spans="1:20" x14ac:dyDescent="0.3">
      <c r="A848">
        <v>11107</v>
      </c>
      <c r="B848" s="2">
        <v>45675</v>
      </c>
      <c r="C848" t="s">
        <v>31</v>
      </c>
      <c r="D848" t="s">
        <v>64</v>
      </c>
      <c r="E848" t="s">
        <v>107</v>
      </c>
      <c r="F848" t="s">
        <v>41</v>
      </c>
      <c r="G848" t="s">
        <v>34</v>
      </c>
      <c r="H848" t="s">
        <v>116</v>
      </c>
      <c r="I848" t="s">
        <v>378</v>
      </c>
      <c r="J848">
        <v>984</v>
      </c>
      <c r="K848">
        <v>13</v>
      </c>
      <c r="L848" t="s">
        <v>68</v>
      </c>
      <c r="M848">
        <v>166</v>
      </c>
      <c r="N848">
        <v>43.4</v>
      </c>
      <c r="O848">
        <v>60.5</v>
      </c>
      <c r="P848">
        <v>5.16</v>
      </c>
      <c r="Q848">
        <v>0.82</v>
      </c>
      <c r="R848" t="s">
        <v>130</v>
      </c>
      <c r="S848" t="s">
        <v>29</v>
      </c>
      <c r="T848" t="s">
        <v>30</v>
      </c>
    </row>
    <row r="849" spans="1:20" x14ac:dyDescent="0.3">
      <c r="A849">
        <v>10740</v>
      </c>
      <c r="B849" s="2">
        <v>45782</v>
      </c>
      <c r="C849" t="s">
        <v>49</v>
      </c>
      <c r="D849" t="s">
        <v>64</v>
      </c>
      <c r="E849" t="s">
        <v>22</v>
      </c>
      <c r="F849" t="s">
        <v>23</v>
      </c>
      <c r="G849" t="s">
        <v>42</v>
      </c>
      <c r="H849" t="s">
        <v>51</v>
      </c>
      <c r="I849" t="s">
        <v>124</v>
      </c>
      <c r="J849">
        <v>487</v>
      </c>
      <c r="K849">
        <v>7</v>
      </c>
      <c r="L849" t="s">
        <v>68</v>
      </c>
      <c r="M849">
        <v>41</v>
      </c>
      <c r="N849">
        <v>49.3</v>
      </c>
      <c r="O849">
        <v>57.4</v>
      </c>
      <c r="P849">
        <v>4.96</v>
      </c>
      <c r="Q849">
        <v>2.12</v>
      </c>
      <c r="R849" t="s">
        <v>267</v>
      </c>
      <c r="S849" t="s">
        <v>29</v>
      </c>
      <c r="T849" t="s">
        <v>30</v>
      </c>
    </row>
    <row r="850" spans="1:20" x14ac:dyDescent="0.3">
      <c r="A850">
        <v>11499</v>
      </c>
      <c r="B850" s="2">
        <v>45990</v>
      </c>
      <c r="C850" t="s">
        <v>156</v>
      </c>
      <c r="D850" t="s">
        <v>32</v>
      </c>
      <c r="E850" t="s">
        <v>40</v>
      </c>
      <c r="F850" t="s">
        <v>81</v>
      </c>
      <c r="G850" t="s">
        <v>95</v>
      </c>
      <c r="H850" t="s">
        <v>141</v>
      </c>
      <c r="I850" t="s">
        <v>157</v>
      </c>
      <c r="J850">
        <v>522</v>
      </c>
      <c r="K850">
        <v>15</v>
      </c>
      <c r="L850" t="s">
        <v>68</v>
      </c>
      <c r="M850">
        <v>119</v>
      </c>
      <c r="N850">
        <v>53.2</v>
      </c>
      <c r="O850">
        <v>83.5</v>
      </c>
      <c r="P850">
        <v>6.02</v>
      </c>
      <c r="Q850">
        <v>2.34</v>
      </c>
      <c r="R850" t="s">
        <v>280</v>
      </c>
      <c r="S850" t="s">
        <v>73</v>
      </c>
      <c r="T850" t="s">
        <v>30</v>
      </c>
    </row>
    <row r="851" spans="1:20" x14ac:dyDescent="0.3">
      <c r="A851">
        <v>10732</v>
      </c>
      <c r="B851" s="2">
        <v>45786</v>
      </c>
      <c r="C851" t="s">
        <v>31</v>
      </c>
      <c r="D851" t="s">
        <v>64</v>
      </c>
      <c r="E851" t="s">
        <v>33</v>
      </c>
      <c r="F851" t="s">
        <v>23</v>
      </c>
      <c r="G851" t="s">
        <v>109</v>
      </c>
      <c r="H851" t="s">
        <v>93</v>
      </c>
      <c r="I851" t="s">
        <v>348</v>
      </c>
      <c r="J851">
        <v>536</v>
      </c>
      <c r="K851">
        <v>5</v>
      </c>
      <c r="L851" t="s">
        <v>68</v>
      </c>
      <c r="M851">
        <v>127</v>
      </c>
      <c r="N851">
        <v>36</v>
      </c>
      <c r="O851">
        <v>68.7</v>
      </c>
      <c r="P851">
        <v>6.35</v>
      </c>
      <c r="Q851">
        <v>1.8</v>
      </c>
      <c r="R851" t="s">
        <v>209</v>
      </c>
      <c r="S851" t="s">
        <v>39</v>
      </c>
      <c r="T851" t="s">
        <v>30</v>
      </c>
    </row>
    <row r="852" spans="1:20" x14ac:dyDescent="0.3">
      <c r="A852">
        <v>10540</v>
      </c>
      <c r="B852" s="2">
        <v>46014</v>
      </c>
      <c r="C852" t="s">
        <v>49</v>
      </c>
      <c r="D852" t="s">
        <v>59</v>
      </c>
      <c r="E852" t="s">
        <v>33</v>
      </c>
      <c r="F852" t="s">
        <v>23</v>
      </c>
      <c r="G852" t="s">
        <v>134</v>
      </c>
      <c r="H852" t="s">
        <v>75</v>
      </c>
      <c r="I852" t="s">
        <v>315</v>
      </c>
      <c r="J852">
        <v>1518</v>
      </c>
      <c r="K852">
        <v>70</v>
      </c>
      <c r="L852" t="s">
        <v>45</v>
      </c>
      <c r="M852">
        <v>25</v>
      </c>
      <c r="N852">
        <v>40.4</v>
      </c>
      <c r="O852">
        <v>57.8</v>
      </c>
      <c r="P852">
        <v>5.04</v>
      </c>
      <c r="Q852">
        <v>3.61</v>
      </c>
      <c r="R852" t="s">
        <v>202</v>
      </c>
      <c r="S852" t="s">
        <v>39</v>
      </c>
      <c r="T852" t="s">
        <v>48</v>
      </c>
    </row>
    <row r="853" spans="1:20" x14ac:dyDescent="0.3">
      <c r="A853">
        <v>10178</v>
      </c>
      <c r="B853" s="2">
        <v>45998</v>
      </c>
      <c r="C853" t="s">
        <v>106</v>
      </c>
      <c r="D853" t="s">
        <v>64</v>
      </c>
      <c r="E853" t="s">
        <v>33</v>
      </c>
      <c r="F853" t="s">
        <v>23</v>
      </c>
      <c r="G853" t="s">
        <v>54</v>
      </c>
      <c r="H853" t="s">
        <v>165</v>
      </c>
      <c r="I853" t="s">
        <v>104</v>
      </c>
      <c r="J853">
        <v>744</v>
      </c>
      <c r="K853">
        <v>4</v>
      </c>
      <c r="L853" t="s">
        <v>71</v>
      </c>
      <c r="M853">
        <v>168</v>
      </c>
      <c r="N853">
        <v>33.9</v>
      </c>
      <c r="O853">
        <v>72.900000000000006</v>
      </c>
      <c r="P853">
        <v>4.88</v>
      </c>
      <c r="Q853">
        <v>4.34</v>
      </c>
      <c r="R853" t="s">
        <v>58</v>
      </c>
      <c r="S853" t="s">
        <v>47</v>
      </c>
      <c r="T853" t="s">
        <v>30</v>
      </c>
    </row>
    <row r="854" spans="1:20" x14ac:dyDescent="0.3">
      <c r="A854">
        <v>11459</v>
      </c>
      <c r="B854" s="2">
        <v>45666</v>
      </c>
      <c r="C854" t="s">
        <v>20</v>
      </c>
      <c r="D854" t="s">
        <v>64</v>
      </c>
      <c r="E854" t="s">
        <v>40</v>
      </c>
      <c r="F854" t="s">
        <v>23</v>
      </c>
      <c r="G854" t="s">
        <v>134</v>
      </c>
      <c r="H854" t="s">
        <v>263</v>
      </c>
      <c r="I854" t="s">
        <v>44</v>
      </c>
      <c r="J854">
        <v>888</v>
      </c>
      <c r="K854">
        <v>85</v>
      </c>
      <c r="L854" t="s">
        <v>57</v>
      </c>
      <c r="M854">
        <v>103</v>
      </c>
      <c r="N854">
        <v>50.4</v>
      </c>
      <c r="O854">
        <v>69.7</v>
      </c>
      <c r="P854">
        <v>5</v>
      </c>
      <c r="Q854">
        <v>2.02</v>
      </c>
      <c r="R854" t="s">
        <v>195</v>
      </c>
      <c r="S854" t="s">
        <v>39</v>
      </c>
      <c r="T854" t="s">
        <v>48</v>
      </c>
    </row>
    <row r="855" spans="1:20" x14ac:dyDescent="0.3">
      <c r="A855">
        <v>10698</v>
      </c>
      <c r="B855" s="2">
        <v>45866</v>
      </c>
      <c r="C855" t="s">
        <v>31</v>
      </c>
      <c r="D855" t="s">
        <v>21</v>
      </c>
      <c r="E855" t="s">
        <v>22</v>
      </c>
      <c r="F855" t="s">
        <v>23</v>
      </c>
      <c r="G855" t="s">
        <v>89</v>
      </c>
      <c r="H855" t="s">
        <v>66</v>
      </c>
      <c r="I855" t="s">
        <v>129</v>
      </c>
      <c r="J855">
        <v>691</v>
      </c>
      <c r="K855">
        <v>4</v>
      </c>
      <c r="L855" t="s">
        <v>27</v>
      </c>
      <c r="M855">
        <v>123</v>
      </c>
      <c r="N855">
        <v>34</v>
      </c>
      <c r="O855">
        <v>53.1</v>
      </c>
      <c r="P855">
        <v>5.07</v>
      </c>
      <c r="Q855">
        <v>4.4000000000000004</v>
      </c>
      <c r="R855" t="s">
        <v>133</v>
      </c>
      <c r="S855" t="s">
        <v>73</v>
      </c>
      <c r="T855" t="s">
        <v>30</v>
      </c>
    </row>
    <row r="856" spans="1:20" x14ac:dyDescent="0.3">
      <c r="A856">
        <v>11325</v>
      </c>
      <c r="B856" s="2">
        <v>45693</v>
      </c>
      <c r="C856" t="s">
        <v>49</v>
      </c>
      <c r="D856" t="s">
        <v>64</v>
      </c>
      <c r="E856" t="s">
        <v>107</v>
      </c>
      <c r="F856" t="s">
        <v>81</v>
      </c>
      <c r="G856" t="s">
        <v>74</v>
      </c>
      <c r="H856" t="s">
        <v>175</v>
      </c>
      <c r="I856" t="s">
        <v>76</v>
      </c>
      <c r="J856">
        <v>1437</v>
      </c>
      <c r="K856">
        <v>14</v>
      </c>
      <c r="L856" t="s">
        <v>45</v>
      </c>
      <c r="M856">
        <v>63</v>
      </c>
      <c r="N856">
        <v>42.9</v>
      </c>
      <c r="O856">
        <v>75.900000000000006</v>
      </c>
      <c r="P856">
        <v>4.7699999999999996</v>
      </c>
      <c r="Q856">
        <v>4.66</v>
      </c>
      <c r="R856" t="s">
        <v>174</v>
      </c>
      <c r="S856" t="s">
        <v>47</v>
      </c>
      <c r="T856" t="s">
        <v>30</v>
      </c>
    </row>
    <row r="857" spans="1:20" x14ac:dyDescent="0.3">
      <c r="A857">
        <v>11056</v>
      </c>
      <c r="B857" s="2">
        <v>45678</v>
      </c>
      <c r="C857" t="s">
        <v>20</v>
      </c>
      <c r="D857" t="s">
        <v>32</v>
      </c>
      <c r="E857" t="s">
        <v>107</v>
      </c>
      <c r="F857" t="s">
        <v>23</v>
      </c>
      <c r="G857" t="s">
        <v>113</v>
      </c>
      <c r="H857" t="s">
        <v>161</v>
      </c>
      <c r="I857" t="s">
        <v>384</v>
      </c>
      <c r="J857">
        <v>680</v>
      </c>
      <c r="K857">
        <v>8</v>
      </c>
      <c r="L857" t="s">
        <v>68</v>
      </c>
      <c r="M857">
        <v>127</v>
      </c>
      <c r="N857">
        <v>38.5</v>
      </c>
      <c r="O857">
        <v>66.400000000000006</v>
      </c>
      <c r="P857">
        <v>5.2</v>
      </c>
      <c r="Q857">
        <v>3.36</v>
      </c>
      <c r="R857" t="s">
        <v>186</v>
      </c>
      <c r="S857" t="s">
        <v>47</v>
      </c>
      <c r="T857" t="s">
        <v>30</v>
      </c>
    </row>
    <row r="858" spans="1:20" x14ac:dyDescent="0.3">
      <c r="A858">
        <v>10999</v>
      </c>
      <c r="B858" s="2">
        <v>45881</v>
      </c>
      <c r="C858" t="s">
        <v>31</v>
      </c>
      <c r="D858" t="s">
        <v>64</v>
      </c>
      <c r="E858" t="s">
        <v>22</v>
      </c>
      <c r="F858" t="s">
        <v>41</v>
      </c>
      <c r="G858" t="s">
        <v>60</v>
      </c>
      <c r="H858" t="s">
        <v>114</v>
      </c>
      <c r="I858" t="s">
        <v>173</v>
      </c>
      <c r="J858">
        <v>1272</v>
      </c>
      <c r="K858">
        <v>16</v>
      </c>
      <c r="L858" t="s">
        <v>45</v>
      </c>
      <c r="M858">
        <v>80</v>
      </c>
      <c r="N858">
        <v>44</v>
      </c>
      <c r="O858">
        <v>65.2</v>
      </c>
      <c r="P858">
        <v>4.55</v>
      </c>
      <c r="Q858">
        <v>1.77</v>
      </c>
      <c r="R858" t="s">
        <v>216</v>
      </c>
      <c r="S858" t="s">
        <v>39</v>
      </c>
      <c r="T858" t="s">
        <v>30</v>
      </c>
    </row>
    <row r="859" spans="1:20" x14ac:dyDescent="0.3">
      <c r="A859">
        <v>10910</v>
      </c>
      <c r="B859" s="2">
        <v>45953</v>
      </c>
      <c r="C859" t="s">
        <v>20</v>
      </c>
      <c r="D859" t="s">
        <v>59</v>
      </c>
      <c r="E859" t="s">
        <v>40</v>
      </c>
      <c r="F859" t="s">
        <v>23</v>
      </c>
      <c r="G859" t="s">
        <v>24</v>
      </c>
      <c r="H859" t="s">
        <v>161</v>
      </c>
      <c r="I859" t="s">
        <v>185</v>
      </c>
      <c r="J859">
        <v>1217</v>
      </c>
      <c r="K859">
        <v>120</v>
      </c>
      <c r="L859" t="s">
        <v>37</v>
      </c>
      <c r="M859" t="s">
        <v>392</v>
      </c>
      <c r="N859">
        <v>42</v>
      </c>
      <c r="O859">
        <v>64.400000000000006</v>
      </c>
      <c r="P859">
        <v>3.74</v>
      </c>
      <c r="Q859">
        <v>1.97</v>
      </c>
      <c r="R859" t="s">
        <v>174</v>
      </c>
      <c r="S859" t="s">
        <v>47</v>
      </c>
      <c r="T859" t="s">
        <v>48</v>
      </c>
    </row>
    <row r="860" spans="1:20" x14ac:dyDescent="0.3">
      <c r="A860">
        <v>10164</v>
      </c>
      <c r="B860" s="2">
        <v>45742</v>
      </c>
      <c r="C860" t="s">
        <v>20</v>
      </c>
      <c r="D860" t="s">
        <v>21</v>
      </c>
      <c r="E860" t="s">
        <v>40</v>
      </c>
      <c r="F860" t="s">
        <v>81</v>
      </c>
      <c r="G860" t="s">
        <v>74</v>
      </c>
      <c r="H860" t="s">
        <v>66</v>
      </c>
      <c r="I860" t="s">
        <v>142</v>
      </c>
      <c r="J860">
        <v>1149</v>
      </c>
      <c r="K860">
        <v>10</v>
      </c>
      <c r="L860" t="s">
        <v>57</v>
      </c>
      <c r="M860">
        <v>80</v>
      </c>
      <c r="N860">
        <v>46.8</v>
      </c>
      <c r="O860">
        <v>62.8</v>
      </c>
      <c r="P860">
        <v>5.73</v>
      </c>
      <c r="Q860">
        <v>3.31</v>
      </c>
      <c r="R860" t="s">
        <v>174</v>
      </c>
      <c r="S860" t="s">
        <v>29</v>
      </c>
      <c r="T860" t="s">
        <v>30</v>
      </c>
    </row>
    <row r="861" spans="1:20" x14ac:dyDescent="0.3">
      <c r="A861">
        <v>10008</v>
      </c>
      <c r="B861" s="2">
        <v>45817</v>
      </c>
      <c r="C861" t="s">
        <v>20</v>
      </c>
      <c r="D861" t="s">
        <v>21</v>
      </c>
      <c r="E861" t="s">
        <v>22</v>
      </c>
      <c r="F861" t="s">
        <v>23</v>
      </c>
      <c r="G861" t="s">
        <v>60</v>
      </c>
      <c r="H861" t="s">
        <v>265</v>
      </c>
      <c r="I861" t="s">
        <v>308</v>
      </c>
      <c r="J861">
        <v>1098</v>
      </c>
      <c r="K861">
        <v>9</v>
      </c>
      <c r="L861" t="s">
        <v>71</v>
      </c>
      <c r="M861">
        <v>134</v>
      </c>
      <c r="N861">
        <v>36.700000000000003</v>
      </c>
      <c r="O861">
        <v>75.7</v>
      </c>
      <c r="P861">
        <v>5.15</v>
      </c>
      <c r="Q861">
        <v>3.18</v>
      </c>
      <c r="R861" t="s">
        <v>174</v>
      </c>
      <c r="S861" t="s">
        <v>73</v>
      </c>
      <c r="T861" t="s">
        <v>30</v>
      </c>
    </row>
    <row r="862" spans="1:20" x14ac:dyDescent="0.3">
      <c r="A862">
        <v>11030</v>
      </c>
      <c r="B862" s="2">
        <v>45970</v>
      </c>
      <c r="C862" t="s">
        <v>20</v>
      </c>
      <c r="D862" t="s">
        <v>21</v>
      </c>
      <c r="E862" t="s">
        <v>107</v>
      </c>
      <c r="F862" t="s">
        <v>41</v>
      </c>
      <c r="G862" t="s">
        <v>74</v>
      </c>
      <c r="H862" t="s">
        <v>51</v>
      </c>
      <c r="I862" t="s">
        <v>372</v>
      </c>
      <c r="J862">
        <v>921</v>
      </c>
      <c r="K862">
        <v>6</v>
      </c>
      <c r="L862" t="s">
        <v>45</v>
      </c>
      <c r="M862">
        <v>21</v>
      </c>
      <c r="N862">
        <v>38.5</v>
      </c>
      <c r="O862">
        <v>61.9</v>
      </c>
      <c r="P862">
        <v>6.97</v>
      </c>
      <c r="Q862">
        <v>3.75</v>
      </c>
      <c r="R862" t="s">
        <v>119</v>
      </c>
      <c r="S862" t="s">
        <v>47</v>
      </c>
      <c r="T862" t="s">
        <v>30</v>
      </c>
    </row>
    <row r="863" spans="1:20" x14ac:dyDescent="0.3">
      <c r="A863">
        <v>10668</v>
      </c>
      <c r="B863" s="2">
        <v>45765</v>
      </c>
      <c r="C863" t="s">
        <v>31</v>
      </c>
      <c r="D863" t="s">
        <v>32</v>
      </c>
      <c r="E863" t="s">
        <v>22</v>
      </c>
      <c r="F863" t="s">
        <v>81</v>
      </c>
      <c r="G863" t="s">
        <v>54</v>
      </c>
      <c r="H863" t="s">
        <v>78</v>
      </c>
      <c r="I863" t="s">
        <v>317</v>
      </c>
      <c r="J863">
        <v>653</v>
      </c>
      <c r="K863">
        <v>9</v>
      </c>
      <c r="L863" t="s">
        <v>37</v>
      </c>
      <c r="M863">
        <v>106</v>
      </c>
      <c r="N863">
        <v>39.9</v>
      </c>
      <c r="O863">
        <v>70.400000000000006</v>
      </c>
      <c r="P863">
        <v>5.18</v>
      </c>
      <c r="Q863">
        <v>2.36</v>
      </c>
      <c r="R863" t="s">
        <v>119</v>
      </c>
      <c r="S863" t="s">
        <v>29</v>
      </c>
      <c r="T863" t="s">
        <v>30</v>
      </c>
    </row>
    <row r="864" spans="1:20" x14ac:dyDescent="0.3">
      <c r="A864">
        <v>11170</v>
      </c>
      <c r="B864" s="2">
        <v>45679</v>
      </c>
      <c r="C864" t="s">
        <v>49</v>
      </c>
      <c r="D864" t="s">
        <v>21</v>
      </c>
      <c r="E864" t="s">
        <v>22</v>
      </c>
      <c r="F864" t="s">
        <v>23</v>
      </c>
      <c r="G864" t="s">
        <v>134</v>
      </c>
      <c r="H864" t="s">
        <v>177</v>
      </c>
      <c r="I864" t="s">
        <v>70</v>
      </c>
      <c r="J864">
        <v>1035</v>
      </c>
      <c r="K864">
        <v>19</v>
      </c>
      <c r="L864" t="s">
        <v>37</v>
      </c>
      <c r="M864">
        <v>110</v>
      </c>
      <c r="N864">
        <v>43.8</v>
      </c>
      <c r="O864">
        <v>72.2</v>
      </c>
      <c r="P864">
        <v>4.43</v>
      </c>
      <c r="Q864">
        <v>3.53</v>
      </c>
      <c r="R864" t="s">
        <v>179</v>
      </c>
      <c r="S864" t="s">
        <v>39</v>
      </c>
      <c r="T864" t="s">
        <v>30</v>
      </c>
    </row>
    <row r="865" spans="1:20" x14ac:dyDescent="0.3">
      <c r="A865">
        <v>10358</v>
      </c>
      <c r="B865" s="2">
        <v>45715</v>
      </c>
      <c r="C865" t="s">
        <v>20</v>
      </c>
      <c r="D865" t="s">
        <v>21</v>
      </c>
      <c r="E865" t="s">
        <v>40</v>
      </c>
      <c r="F865" t="s">
        <v>23</v>
      </c>
      <c r="G865" t="s">
        <v>50</v>
      </c>
      <c r="H865" t="s">
        <v>75</v>
      </c>
      <c r="I865" t="s">
        <v>331</v>
      </c>
      <c r="J865">
        <v>1304</v>
      </c>
      <c r="K865">
        <v>74</v>
      </c>
      <c r="L865" t="s">
        <v>45</v>
      </c>
      <c r="M865">
        <v>66</v>
      </c>
      <c r="N865">
        <v>42.3</v>
      </c>
      <c r="O865">
        <v>76</v>
      </c>
      <c r="P865">
        <v>5.73</v>
      </c>
      <c r="Q865">
        <v>2.73</v>
      </c>
      <c r="R865" t="s">
        <v>77</v>
      </c>
      <c r="S865" t="s">
        <v>73</v>
      </c>
      <c r="T865" t="s">
        <v>48</v>
      </c>
    </row>
    <row r="866" spans="1:20" x14ac:dyDescent="0.3">
      <c r="A866">
        <v>10784</v>
      </c>
      <c r="B866" s="2">
        <v>45961</v>
      </c>
      <c r="C866" t="s">
        <v>31</v>
      </c>
      <c r="D866" t="s">
        <v>59</v>
      </c>
      <c r="E866" t="s">
        <v>40</v>
      </c>
      <c r="F866" t="s">
        <v>23</v>
      </c>
      <c r="G866" t="s">
        <v>95</v>
      </c>
      <c r="H866" t="s">
        <v>116</v>
      </c>
      <c r="I866" t="s">
        <v>297</v>
      </c>
      <c r="J866">
        <v>816</v>
      </c>
      <c r="K866">
        <v>5</v>
      </c>
      <c r="L866" t="s">
        <v>27</v>
      </c>
      <c r="M866">
        <v>140</v>
      </c>
      <c r="N866">
        <v>43.1</v>
      </c>
      <c r="O866">
        <v>66.099999999999994</v>
      </c>
      <c r="P866">
        <v>4.8</v>
      </c>
      <c r="Q866">
        <v>1.55</v>
      </c>
      <c r="R866" t="s">
        <v>46</v>
      </c>
      <c r="S866" t="s">
        <v>47</v>
      </c>
      <c r="T866" t="s">
        <v>30</v>
      </c>
    </row>
    <row r="867" spans="1:20" x14ac:dyDescent="0.3">
      <c r="A867">
        <v>10736</v>
      </c>
      <c r="B867" s="2">
        <v>45723</v>
      </c>
      <c r="C867" t="s">
        <v>31</v>
      </c>
      <c r="D867" t="s">
        <v>64</v>
      </c>
      <c r="E867" t="s">
        <v>40</v>
      </c>
      <c r="F867" t="s">
        <v>23</v>
      </c>
      <c r="G867" t="s">
        <v>50</v>
      </c>
      <c r="H867" t="s">
        <v>88</v>
      </c>
      <c r="I867" t="s">
        <v>121</v>
      </c>
      <c r="J867">
        <v>1061</v>
      </c>
      <c r="K867">
        <v>11</v>
      </c>
      <c r="L867" t="s">
        <v>71</v>
      </c>
      <c r="M867">
        <v>156</v>
      </c>
      <c r="N867">
        <v>35.4</v>
      </c>
      <c r="O867">
        <v>77.2</v>
      </c>
      <c r="P867">
        <v>4.3899999999999997</v>
      </c>
      <c r="Q867">
        <v>3.39</v>
      </c>
      <c r="R867" t="s">
        <v>153</v>
      </c>
      <c r="S867" t="s">
        <v>29</v>
      </c>
      <c r="T867" t="s">
        <v>30</v>
      </c>
    </row>
    <row r="868" spans="1:20" x14ac:dyDescent="0.3">
      <c r="A868">
        <v>10330</v>
      </c>
      <c r="B868" s="2">
        <v>45864</v>
      </c>
      <c r="C868" t="s">
        <v>31</v>
      </c>
      <c r="D868" t="s">
        <v>32</v>
      </c>
      <c r="E868" t="s">
        <v>40</v>
      </c>
      <c r="F868" t="s">
        <v>23</v>
      </c>
      <c r="G868" t="s">
        <v>60</v>
      </c>
      <c r="H868" t="s">
        <v>287</v>
      </c>
      <c r="I868" t="s">
        <v>231</v>
      </c>
      <c r="J868">
        <v>1274</v>
      </c>
      <c r="K868">
        <v>18</v>
      </c>
      <c r="L868" t="s">
        <v>71</v>
      </c>
      <c r="M868">
        <v>87</v>
      </c>
      <c r="N868">
        <v>40.299999999999997</v>
      </c>
      <c r="O868">
        <v>72.099999999999994</v>
      </c>
      <c r="P868">
        <v>6.52</v>
      </c>
      <c r="Q868">
        <v>2.15</v>
      </c>
      <c r="R868" t="s">
        <v>155</v>
      </c>
      <c r="S868" t="s">
        <v>73</v>
      </c>
      <c r="T868" t="s">
        <v>30</v>
      </c>
    </row>
    <row r="869" spans="1:20" x14ac:dyDescent="0.3">
      <c r="A869">
        <v>11062</v>
      </c>
      <c r="B869" s="2">
        <v>45964</v>
      </c>
      <c r="C869" t="s">
        <v>31</v>
      </c>
      <c r="D869" t="s">
        <v>32</v>
      </c>
      <c r="E869" t="s">
        <v>33</v>
      </c>
      <c r="F869" t="s">
        <v>23</v>
      </c>
      <c r="G869" t="s">
        <v>113</v>
      </c>
      <c r="H869" t="s">
        <v>126</v>
      </c>
      <c r="I869" t="s">
        <v>313</v>
      </c>
      <c r="J869">
        <v>1199</v>
      </c>
      <c r="K869">
        <v>13</v>
      </c>
      <c r="L869" t="s">
        <v>57</v>
      </c>
      <c r="M869">
        <v>42</v>
      </c>
      <c r="N869">
        <v>36.799999999999997</v>
      </c>
      <c r="O869">
        <v>61.8</v>
      </c>
      <c r="P869">
        <v>5.17</v>
      </c>
      <c r="Q869">
        <v>4.6900000000000004</v>
      </c>
      <c r="R869" t="s">
        <v>46</v>
      </c>
      <c r="S869" t="s">
        <v>73</v>
      </c>
      <c r="T869" t="s">
        <v>30</v>
      </c>
    </row>
    <row r="870" spans="1:20" x14ac:dyDescent="0.3">
      <c r="A870">
        <v>11158</v>
      </c>
      <c r="B870" s="2">
        <v>45723</v>
      </c>
      <c r="C870" t="s">
        <v>20</v>
      </c>
      <c r="D870" t="s">
        <v>21</v>
      </c>
      <c r="E870" t="s">
        <v>22</v>
      </c>
      <c r="F870" t="s">
        <v>108</v>
      </c>
      <c r="G870" t="s">
        <v>34</v>
      </c>
      <c r="H870" t="s">
        <v>193</v>
      </c>
      <c r="I870" t="s">
        <v>218</v>
      </c>
      <c r="J870">
        <v>577</v>
      </c>
      <c r="K870">
        <v>20</v>
      </c>
      <c r="L870" t="s">
        <v>71</v>
      </c>
      <c r="M870">
        <v>162</v>
      </c>
      <c r="N870">
        <v>50.4</v>
      </c>
      <c r="O870">
        <v>75.2</v>
      </c>
      <c r="P870">
        <v>4.99</v>
      </c>
      <c r="Q870">
        <v>2.27</v>
      </c>
      <c r="R870" t="s">
        <v>77</v>
      </c>
      <c r="S870" t="s">
        <v>29</v>
      </c>
      <c r="T870" t="s">
        <v>48</v>
      </c>
    </row>
    <row r="871" spans="1:20" x14ac:dyDescent="0.3">
      <c r="A871">
        <v>11126</v>
      </c>
      <c r="B871" s="2">
        <v>45969</v>
      </c>
      <c r="C871" t="s">
        <v>20</v>
      </c>
      <c r="D871" t="s">
        <v>64</v>
      </c>
      <c r="E871" t="s">
        <v>33</v>
      </c>
      <c r="F871" t="s">
        <v>41</v>
      </c>
      <c r="G871" t="s">
        <v>89</v>
      </c>
      <c r="H871" t="s">
        <v>141</v>
      </c>
      <c r="I871" t="s">
        <v>283</v>
      </c>
      <c r="J871">
        <v>1347</v>
      </c>
      <c r="K871">
        <v>15</v>
      </c>
      <c r="L871" t="s">
        <v>68</v>
      </c>
      <c r="M871">
        <v>109</v>
      </c>
      <c r="N871">
        <v>35.1</v>
      </c>
      <c r="O871">
        <v>67.099999999999994</v>
      </c>
      <c r="P871">
        <v>5.91</v>
      </c>
      <c r="Q871">
        <v>2.84</v>
      </c>
      <c r="R871" t="s">
        <v>105</v>
      </c>
      <c r="S871" t="s">
        <v>39</v>
      </c>
      <c r="T871" t="s">
        <v>30</v>
      </c>
    </row>
    <row r="872" spans="1:20" x14ac:dyDescent="0.3">
      <c r="A872">
        <v>10259</v>
      </c>
      <c r="B872" s="2">
        <v>45936</v>
      </c>
      <c r="C872" t="s">
        <v>31</v>
      </c>
      <c r="D872" t="s">
        <v>21</v>
      </c>
      <c r="E872" t="s">
        <v>107</v>
      </c>
      <c r="F872" t="s">
        <v>41</v>
      </c>
      <c r="G872" t="s">
        <v>50</v>
      </c>
      <c r="H872" t="s">
        <v>148</v>
      </c>
      <c r="I872" t="s">
        <v>268</v>
      </c>
      <c r="J872">
        <v>1547</v>
      </c>
      <c r="K872">
        <v>21</v>
      </c>
      <c r="L872" t="s">
        <v>68</v>
      </c>
      <c r="M872">
        <v>93</v>
      </c>
      <c r="N872">
        <v>38.9</v>
      </c>
      <c r="P872">
        <v>5.14</v>
      </c>
      <c r="Q872">
        <v>3.33</v>
      </c>
      <c r="R872" t="s">
        <v>72</v>
      </c>
      <c r="S872" t="s">
        <v>29</v>
      </c>
      <c r="T872" t="s">
        <v>30</v>
      </c>
    </row>
    <row r="873" spans="1:20" x14ac:dyDescent="0.3">
      <c r="A873">
        <v>11188</v>
      </c>
      <c r="B873" s="2">
        <v>45843</v>
      </c>
      <c r="C873" t="s">
        <v>49</v>
      </c>
      <c r="D873" t="s">
        <v>32</v>
      </c>
      <c r="E873" t="s">
        <v>40</v>
      </c>
      <c r="F873" t="s">
        <v>41</v>
      </c>
      <c r="G873" t="s">
        <v>42</v>
      </c>
      <c r="H873" t="s">
        <v>55</v>
      </c>
      <c r="I873" t="s">
        <v>91</v>
      </c>
      <c r="J873">
        <v>1104</v>
      </c>
      <c r="K873">
        <v>16</v>
      </c>
      <c r="L873" t="s">
        <v>71</v>
      </c>
      <c r="M873">
        <v>141</v>
      </c>
      <c r="N873">
        <v>41.3</v>
      </c>
      <c r="O873">
        <v>72.400000000000006</v>
      </c>
      <c r="P873">
        <v>3.53</v>
      </c>
      <c r="Q873">
        <v>2.77</v>
      </c>
      <c r="R873" t="s">
        <v>267</v>
      </c>
      <c r="S873" t="s">
        <v>73</v>
      </c>
      <c r="T873" t="s">
        <v>30</v>
      </c>
    </row>
    <row r="874" spans="1:20" x14ac:dyDescent="0.3">
      <c r="A874">
        <v>10373</v>
      </c>
      <c r="B874" s="2">
        <v>45782</v>
      </c>
      <c r="C874" t="s">
        <v>31</v>
      </c>
      <c r="D874" t="s">
        <v>59</v>
      </c>
      <c r="E874" t="s">
        <v>107</v>
      </c>
      <c r="F874" t="s">
        <v>41</v>
      </c>
      <c r="G874" t="s">
        <v>74</v>
      </c>
      <c r="H874" t="s">
        <v>213</v>
      </c>
      <c r="I874" t="s">
        <v>331</v>
      </c>
      <c r="J874">
        <v>698</v>
      </c>
      <c r="K874">
        <v>11</v>
      </c>
      <c r="L874" t="s">
        <v>45</v>
      </c>
      <c r="M874">
        <v>64</v>
      </c>
      <c r="N874">
        <v>40.6</v>
      </c>
      <c r="O874">
        <v>67.400000000000006</v>
      </c>
      <c r="P874">
        <v>4.87</v>
      </c>
      <c r="Q874">
        <v>4.57</v>
      </c>
      <c r="R874" t="s">
        <v>77</v>
      </c>
      <c r="S874" t="s">
        <v>47</v>
      </c>
      <c r="T874" t="s">
        <v>30</v>
      </c>
    </row>
    <row r="875" spans="1:20" x14ac:dyDescent="0.3">
      <c r="A875">
        <v>11112</v>
      </c>
      <c r="B875" s="2">
        <v>45822</v>
      </c>
      <c r="C875" t="s">
        <v>49</v>
      </c>
      <c r="D875" t="s">
        <v>64</v>
      </c>
      <c r="E875" t="s">
        <v>107</v>
      </c>
      <c r="F875" t="s">
        <v>23</v>
      </c>
      <c r="G875" t="s">
        <v>89</v>
      </c>
      <c r="H875" t="s">
        <v>51</v>
      </c>
      <c r="I875" t="s">
        <v>376</v>
      </c>
      <c r="J875">
        <v>915</v>
      </c>
      <c r="K875">
        <v>9</v>
      </c>
      <c r="L875" t="s">
        <v>71</v>
      </c>
      <c r="M875">
        <v>34</v>
      </c>
      <c r="N875">
        <v>47.6</v>
      </c>
      <c r="O875">
        <v>66</v>
      </c>
      <c r="P875">
        <v>5.1100000000000003</v>
      </c>
      <c r="Q875">
        <v>2.83</v>
      </c>
      <c r="R875" t="s">
        <v>195</v>
      </c>
      <c r="S875" t="s">
        <v>73</v>
      </c>
      <c r="T875" t="s">
        <v>30</v>
      </c>
    </row>
    <row r="876" spans="1:20" x14ac:dyDescent="0.3">
      <c r="A876">
        <v>10937</v>
      </c>
      <c r="B876" s="2">
        <v>45764</v>
      </c>
      <c r="C876" t="s">
        <v>31</v>
      </c>
      <c r="D876" t="s">
        <v>32</v>
      </c>
      <c r="E876" t="s">
        <v>33</v>
      </c>
      <c r="F876" t="s">
        <v>41</v>
      </c>
      <c r="G876" t="s">
        <v>42</v>
      </c>
      <c r="H876" t="s">
        <v>138</v>
      </c>
      <c r="I876" t="s">
        <v>331</v>
      </c>
      <c r="J876">
        <v>1025</v>
      </c>
      <c r="K876">
        <v>3</v>
      </c>
      <c r="L876" t="s">
        <v>71</v>
      </c>
      <c r="M876">
        <v>32</v>
      </c>
      <c r="N876">
        <v>45.6</v>
      </c>
      <c r="O876">
        <v>67.3</v>
      </c>
      <c r="P876">
        <v>6.21</v>
      </c>
      <c r="Q876">
        <v>4.04</v>
      </c>
      <c r="R876" t="s">
        <v>137</v>
      </c>
      <c r="S876" t="s">
        <v>39</v>
      </c>
      <c r="T876" t="s">
        <v>30</v>
      </c>
    </row>
    <row r="877" spans="1:20" x14ac:dyDescent="0.3">
      <c r="A877">
        <v>10143</v>
      </c>
      <c r="B877" s="2">
        <v>45676</v>
      </c>
      <c r="C877" t="s">
        <v>49</v>
      </c>
      <c r="D877" t="s">
        <v>21</v>
      </c>
      <c r="E877" t="s">
        <v>33</v>
      </c>
      <c r="F877" t="s">
        <v>81</v>
      </c>
      <c r="G877" t="s">
        <v>50</v>
      </c>
      <c r="H877" t="s">
        <v>55</v>
      </c>
      <c r="I877" t="s">
        <v>393</v>
      </c>
      <c r="J877">
        <v>643</v>
      </c>
      <c r="K877">
        <v>21</v>
      </c>
      <c r="L877" t="s">
        <v>71</v>
      </c>
      <c r="M877">
        <v>71</v>
      </c>
      <c r="N877">
        <v>47.1</v>
      </c>
      <c r="O877">
        <v>76.099999999999994</v>
      </c>
      <c r="P877">
        <v>4.6900000000000004</v>
      </c>
      <c r="Q877">
        <v>3.28</v>
      </c>
      <c r="R877" t="s">
        <v>222</v>
      </c>
      <c r="S877" t="s">
        <v>47</v>
      </c>
      <c r="T877" t="s">
        <v>48</v>
      </c>
    </row>
    <row r="878" spans="1:20" x14ac:dyDescent="0.3">
      <c r="A878">
        <v>10526</v>
      </c>
      <c r="B878" s="2">
        <v>45844</v>
      </c>
      <c r="C878" t="s">
        <v>49</v>
      </c>
      <c r="D878" t="s">
        <v>21</v>
      </c>
      <c r="E878" t="s">
        <v>33</v>
      </c>
      <c r="F878" t="s">
        <v>41</v>
      </c>
      <c r="G878" t="s">
        <v>113</v>
      </c>
      <c r="H878" t="s">
        <v>75</v>
      </c>
      <c r="I878" t="s">
        <v>347</v>
      </c>
      <c r="J878">
        <v>667</v>
      </c>
      <c r="K878">
        <v>3</v>
      </c>
      <c r="L878" t="s">
        <v>45</v>
      </c>
      <c r="M878">
        <v>42</v>
      </c>
      <c r="N878" t="s">
        <v>394</v>
      </c>
      <c r="O878">
        <v>72.599999999999994</v>
      </c>
      <c r="P878">
        <v>4.72</v>
      </c>
      <c r="Q878">
        <v>3.6</v>
      </c>
      <c r="R878" t="s">
        <v>80</v>
      </c>
      <c r="S878" t="s">
        <v>47</v>
      </c>
      <c r="T878" t="s">
        <v>30</v>
      </c>
    </row>
    <row r="879" spans="1:20" x14ac:dyDescent="0.3">
      <c r="A879">
        <v>11147</v>
      </c>
      <c r="B879" s="2">
        <v>45675</v>
      </c>
      <c r="C879" t="s">
        <v>49</v>
      </c>
      <c r="D879" t="s">
        <v>32</v>
      </c>
      <c r="E879" t="s">
        <v>33</v>
      </c>
      <c r="F879" t="s">
        <v>41</v>
      </c>
      <c r="G879" t="s">
        <v>60</v>
      </c>
      <c r="H879" t="s">
        <v>265</v>
      </c>
      <c r="I879" t="s">
        <v>235</v>
      </c>
      <c r="J879">
        <v>1236</v>
      </c>
      <c r="K879">
        <v>43</v>
      </c>
      <c r="L879" t="s">
        <v>27</v>
      </c>
      <c r="M879">
        <v>159</v>
      </c>
      <c r="N879">
        <v>50.6</v>
      </c>
      <c r="O879">
        <v>95.6</v>
      </c>
      <c r="P879">
        <v>4.53</v>
      </c>
      <c r="Q879">
        <v>0.13</v>
      </c>
      <c r="R879" t="s">
        <v>84</v>
      </c>
      <c r="S879" t="s">
        <v>39</v>
      </c>
      <c r="T879" t="s">
        <v>48</v>
      </c>
    </row>
    <row r="880" spans="1:20" x14ac:dyDescent="0.3">
      <c r="A880">
        <v>11019</v>
      </c>
      <c r="B880" s="2">
        <v>45763</v>
      </c>
      <c r="C880" t="s">
        <v>20</v>
      </c>
      <c r="D880" t="s">
        <v>32</v>
      </c>
      <c r="E880" t="s">
        <v>40</v>
      </c>
      <c r="F880" t="s">
        <v>23</v>
      </c>
      <c r="G880" t="s">
        <v>89</v>
      </c>
      <c r="H880" t="s">
        <v>223</v>
      </c>
      <c r="I880" t="s">
        <v>368</v>
      </c>
      <c r="J880">
        <v>472</v>
      </c>
      <c r="K880">
        <v>2</v>
      </c>
      <c r="L880" t="s">
        <v>37</v>
      </c>
      <c r="M880">
        <v>45</v>
      </c>
      <c r="N880">
        <v>44.3</v>
      </c>
      <c r="O880">
        <v>70.2</v>
      </c>
      <c r="P880">
        <v>4.17</v>
      </c>
      <c r="Q880">
        <v>1.62</v>
      </c>
      <c r="R880" t="s">
        <v>63</v>
      </c>
      <c r="S880" t="s">
        <v>73</v>
      </c>
      <c r="T880" t="s">
        <v>30</v>
      </c>
    </row>
    <row r="881" spans="1:20" x14ac:dyDescent="0.3">
      <c r="A881">
        <v>11492</v>
      </c>
      <c r="B881" s="2">
        <v>45889</v>
      </c>
      <c r="C881" t="s">
        <v>31</v>
      </c>
      <c r="D881" t="s">
        <v>21</v>
      </c>
      <c r="E881" t="s">
        <v>22</v>
      </c>
      <c r="F881" t="s">
        <v>98</v>
      </c>
      <c r="G881" t="s">
        <v>42</v>
      </c>
      <c r="H881" t="s">
        <v>161</v>
      </c>
      <c r="I881" t="s">
        <v>306</v>
      </c>
      <c r="J881">
        <v>1420</v>
      </c>
      <c r="K881">
        <v>36</v>
      </c>
      <c r="L881" t="s">
        <v>37</v>
      </c>
      <c r="M881">
        <v>82</v>
      </c>
      <c r="N881">
        <v>36.700000000000003</v>
      </c>
      <c r="O881">
        <v>78.5</v>
      </c>
      <c r="P881">
        <v>5</v>
      </c>
      <c r="Q881">
        <v>3.46</v>
      </c>
      <c r="R881" t="s">
        <v>80</v>
      </c>
      <c r="S881" t="s">
        <v>29</v>
      </c>
      <c r="T881" t="s">
        <v>30</v>
      </c>
    </row>
    <row r="882" spans="1:20" x14ac:dyDescent="0.3">
      <c r="A882">
        <v>11436</v>
      </c>
      <c r="B882" s="2">
        <v>45993</v>
      </c>
      <c r="C882" t="s">
        <v>49</v>
      </c>
      <c r="D882" t="s">
        <v>32</v>
      </c>
      <c r="E882" t="s">
        <v>22</v>
      </c>
      <c r="F882" t="s">
        <v>41</v>
      </c>
      <c r="G882" t="s">
        <v>74</v>
      </c>
      <c r="H882" t="s">
        <v>215</v>
      </c>
      <c r="I882" t="s">
        <v>244</v>
      </c>
      <c r="J882">
        <v>668</v>
      </c>
      <c r="K882">
        <v>7</v>
      </c>
      <c r="L882" t="s">
        <v>37</v>
      </c>
      <c r="M882">
        <v>107</v>
      </c>
      <c r="N882">
        <v>41.4</v>
      </c>
      <c r="O882">
        <v>72.599999999999994</v>
      </c>
      <c r="P882">
        <v>6.13</v>
      </c>
      <c r="Q882">
        <v>4.32</v>
      </c>
      <c r="R882" t="s">
        <v>167</v>
      </c>
      <c r="S882" t="s">
        <v>73</v>
      </c>
      <c r="T882" t="s">
        <v>30</v>
      </c>
    </row>
    <row r="883" spans="1:20" x14ac:dyDescent="0.3">
      <c r="A883">
        <v>10441</v>
      </c>
      <c r="B883" s="2">
        <v>45778</v>
      </c>
      <c r="C883" t="s">
        <v>20</v>
      </c>
      <c r="D883" t="s">
        <v>21</v>
      </c>
      <c r="E883" t="s">
        <v>107</v>
      </c>
      <c r="F883" t="s">
        <v>23</v>
      </c>
      <c r="G883" t="s">
        <v>34</v>
      </c>
      <c r="H883" t="s">
        <v>165</v>
      </c>
      <c r="I883" t="s">
        <v>157</v>
      </c>
      <c r="J883">
        <v>1323</v>
      </c>
      <c r="K883">
        <v>12</v>
      </c>
      <c r="L883" t="s">
        <v>68</v>
      </c>
      <c r="M883">
        <v>179</v>
      </c>
      <c r="N883">
        <v>57.7</v>
      </c>
      <c r="O883">
        <v>64.5</v>
      </c>
      <c r="P883">
        <v>4.46</v>
      </c>
      <c r="Q883">
        <v>4.4800000000000004</v>
      </c>
      <c r="R883" t="s">
        <v>216</v>
      </c>
      <c r="S883" t="s">
        <v>73</v>
      </c>
      <c r="T883" t="s">
        <v>30</v>
      </c>
    </row>
    <row r="884" spans="1:20" x14ac:dyDescent="0.3">
      <c r="A884">
        <v>10532</v>
      </c>
      <c r="B884" s="2">
        <v>45729</v>
      </c>
      <c r="C884" t="s">
        <v>199</v>
      </c>
      <c r="D884" t="s">
        <v>64</v>
      </c>
      <c r="E884" t="s">
        <v>40</v>
      </c>
      <c r="F884" t="s">
        <v>23</v>
      </c>
      <c r="G884" t="s">
        <v>113</v>
      </c>
      <c r="H884" t="s">
        <v>144</v>
      </c>
      <c r="I884" t="s">
        <v>303</v>
      </c>
      <c r="J884">
        <v>970</v>
      </c>
      <c r="K884">
        <v>32</v>
      </c>
      <c r="L884" t="s">
        <v>57</v>
      </c>
      <c r="M884">
        <v>11</v>
      </c>
      <c r="N884">
        <v>39.5</v>
      </c>
      <c r="O884">
        <v>77</v>
      </c>
      <c r="P884">
        <v>5.86</v>
      </c>
      <c r="Q884">
        <v>1.1399999999999999</v>
      </c>
      <c r="R884" t="s">
        <v>143</v>
      </c>
      <c r="S884" t="s">
        <v>47</v>
      </c>
      <c r="T884" t="s">
        <v>48</v>
      </c>
    </row>
    <row r="885" spans="1:20" x14ac:dyDescent="0.3">
      <c r="A885">
        <v>11212</v>
      </c>
      <c r="B885" s="2">
        <v>45932</v>
      </c>
      <c r="C885" t="s">
        <v>31</v>
      </c>
      <c r="D885" t="s">
        <v>32</v>
      </c>
      <c r="E885" t="s">
        <v>22</v>
      </c>
      <c r="F885" t="s">
        <v>41</v>
      </c>
      <c r="G885" t="s">
        <v>54</v>
      </c>
      <c r="H885" t="s">
        <v>205</v>
      </c>
      <c r="I885" t="s">
        <v>260</v>
      </c>
      <c r="J885">
        <v>968</v>
      </c>
      <c r="K885">
        <v>6</v>
      </c>
      <c r="L885" t="s">
        <v>45</v>
      </c>
      <c r="M885">
        <v>165</v>
      </c>
      <c r="N885">
        <v>49.5</v>
      </c>
      <c r="O885">
        <v>70.900000000000006</v>
      </c>
      <c r="P885">
        <v>5.73</v>
      </c>
      <c r="Q885">
        <v>2.1</v>
      </c>
      <c r="R885" t="s">
        <v>92</v>
      </c>
      <c r="S885" t="s">
        <v>47</v>
      </c>
      <c r="T885" t="s">
        <v>30</v>
      </c>
    </row>
    <row r="886" spans="1:20" x14ac:dyDescent="0.3">
      <c r="A886">
        <v>10227</v>
      </c>
      <c r="B886" s="2">
        <v>45679</v>
      </c>
      <c r="C886" t="s">
        <v>31</v>
      </c>
      <c r="D886" t="s">
        <v>21</v>
      </c>
      <c r="E886" t="s">
        <v>22</v>
      </c>
      <c r="F886" t="s">
        <v>23</v>
      </c>
      <c r="G886" t="s">
        <v>95</v>
      </c>
      <c r="H886" t="s">
        <v>165</v>
      </c>
      <c r="I886" t="s">
        <v>361</v>
      </c>
      <c r="J886">
        <v>494</v>
      </c>
      <c r="K886">
        <v>27</v>
      </c>
      <c r="L886" t="s">
        <v>68</v>
      </c>
      <c r="M886">
        <v>120</v>
      </c>
      <c r="N886">
        <v>48.8</v>
      </c>
      <c r="O886">
        <v>76.099999999999994</v>
      </c>
      <c r="P886">
        <v>5.98</v>
      </c>
      <c r="Q886">
        <v>3.37</v>
      </c>
      <c r="R886" t="s">
        <v>184</v>
      </c>
      <c r="S886" t="s">
        <v>73</v>
      </c>
      <c r="T886" t="s">
        <v>48</v>
      </c>
    </row>
    <row r="887" spans="1:20" x14ac:dyDescent="0.3">
      <c r="A887">
        <v>11043</v>
      </c>
      <c r="B887" s="2">
        <v>45698</v>
      </c>
      <c r="C887" t="s">
        <v>31</v>
      </c>
      <c r="D887" t="s">
        <v>32</v>
      </c>
      <c r="E887" t="s">
        <v>22</v>
      </c>
      <c r="F887" t="s">
        <v>23</v>
      </c>
      <c r="G887" t="s">
        <v>134</v>
      </c>
      <c r="H887" t="s">
        <v>172</v>
      </c>
      <c r="I887" t="s">
        <v>323</v>
      </c>
      <c r="J887">
        <v>537</v>
      </c>
      <c r="K887">
        <v>18</v>
      </c>
      <c r="L887" t="s">
        <v>68</v>
      </c>
      <c r="M887">
        <v>92</v>
      </c>
      <c r="N887">
        <v>36</v>
      </c>
      <c r="O887">
        <v>68.8</v>
      </c>
      <c r="P887">
        <v>4.5999999999999996</v>
      </c>
      <c r="Q887">
        <v>3.35</v>
      </c>
      <c r="R887" t="s">
        <v>195</v>
      </c>
      <c r="S887" t="s">
        <v>73</v>
      </c>
      <c r="T887" t="s">
        <v>48</v>
      </c>
    </row>
    <row r="888" spans="1:20" x14ac:dyDescent="0.3">
      <c r="A888">
        <v>10229</v>
      </c>
      <c r="B888" s="2">
        <v>45902</v>
      </c>
      <c r="C888" t="s">
        <v>31</v>
      </c>
      <c r="D888" t="s">
        <v>32</v>
      </c>
      <c r="E888" t="s">
        <v>107</v>
      </c>
      <c r="F888" t="s">
        <v>81</v>
      </c>
      <c r="G888" t="s">
        <v>50</v>
      </c>
      <c r="H888" t="s">
        <v>223</v>
      </c>
      <c r="I888" t="s">
        <v>56</v>
      </c>
      <c r="J888">
        <v>636</v>
      </c>
      <c r="K888">
        <v>5</v>
      </c>
      <c r="L888" t="s">
        <v>57</v>
      </c>
      <c r="M888">
        <v>75</v>
      </c>
      <c r="N888">
        <v>46.6</v>
      </c>
      <c r="O888">
        <v>66.2</v>
      </c>
      <c r="P888">
        <v>5.67</v>
      </c>
      <c r="Q888">
        <v>2.36</v>
      </c>
      <c r="R888" t="s">
        <v>133</v>
      </c>
      <c r="S888" t="s">
        <v>39</v>
      </c>
      <c r="T888" t="s">
        <v>30</v>
      </c>
    </row>
    <row r="889" spans="1:20" x14ac:dyDescent="0.3">
      <c r="A889">
        <v>11327</v>
      </c>
      <c r="B889" s="2">
        <v>45924</v>
      </c>
      <c r="C889" t="s">
        <v>20</v>
      </c>
      <c r="D889" t="s">
        <v>21</v>
      </c>
      <c r="E889" t="s">
        <v>33</v>
      </c>
      <c r="F889" t="s">
        <v>23</v>
      </c>
      <c r="G889" t="s">
        <v>95</v>
      </c>
      <c r="H889" t="s">
        <v>120</v>
      </c>
      <c r="I889" t="s">
        <v>110</v>
      </c>
      <c r="J889">
        <v>675</v>
      </c>
      <c r="K889">
        <v>7</v>
      </c>
      <c r="L889" t="s">
        <v>45</v>
      </c>
      <c r="M889">
        <v>169</v>
      </c>
      <c r="N889">
        <v>37</v>
      </c>
      <c r="O889">
        <v>67.2</v>
      </c>
      <c r="P889">
        <v>5.08</v>
      </c>
      <c r="Q889">
        <v>1.56</v>
      </c>
      <c r="R889" t="s">
        <v>242</v>
      </c>
      <c r="S889" t="s">
        <v>73</v>
      </c>
      <c r="T889" t="s">
        <v>30</v>
      </c>
    </row>
    <row r="890" spans="1:20" x14ac:dyDescent="0.3">
      <c r="A890">
        <v>11310</v>
      </c>
      <c r="B890" s="2">
        <v>45844</v>
      </c>
      <c r="C890" t="s">
        <v>31</v>
      </c>
      <c r="D890" t="s">
        <v>32</v>
      </c>
      <c r="E890" t="s">
        <v>107</v>
      </c>
      <c r="F890" t="s">
        <v>23</v>
      </c>
      <c r="G890" t="s">
        <v>89</v>
      </c>
      <c r="H890" t="s">
        <v>120</v>
      </c>
      <c r="I890" t="s">
        <v>234</v>
      </c>
      <c r="J890">
        <v>1064</v>
      </c>
      <c r="K890">
        <v>10</v>
      </c>
      <c r="L890" t="s">
        <v>45</v>
      </c>
      <c r="M890">
        <v>36</v>
      </c>
      <c r="N890">
        <v>45.6</v>
      </c>
      <c r="O890">
        <v>76.400000000000006</v>
      </c>
      <c r="P890">
        <v>4.42</v>
      </c>
      <c r="Q890">
        <v>2.66</v>
      </c>
      <c r="R890" t="s">
        <v>87</v>
      </c>
      <c r="S890" t="s">
        <v>29</v>
      </c>
      <c r="T890" t="s">
        <v>30</v>
      </c>
    </row>
    <row r="891" spans="1:20" x14ac:dyDescent="0.3">
      <c r="A891">
        <v>10213</v>
      </c>
      <c r="B891" s="2">
        <v>45727</v>
      </c>
      <c r="C891" t="s">
        <v>20</v>
      </c>
      <c r="D891" t="s">
        <v>32</v>
      </c>
      <c r="E891" t="s">
        <v>107</v>
      </c>
      <c r="F891" t="s">
        <v>112</v>
      </c>
      <c r="G891" t="s">
        <v>50</v>
      </c>
      <c r="H891" t="s">
        <v>190</v>
      </c>
      <c r="I891" t="s">
        <v>233</v>
      </c>
      <c r="J891">
        <v>699</v>
      </c>
      <c r="K891">
        <v>3</v>
      </c>
      <c r="L891" t="s">
        <v>37</v>
      </c>
      <c r="M891">
        <v>22</v>
      </c>
      <c r="N891">
        <v>55.3</v>
      </c>
      <c r="O891">
        <v>73.8</v>
      </c>
      <c r="P891">
        <v>6.31</v>
      </c>
      <c r="Q891">
        <v>0.55000000000000004</v>
      </c>
      <c r="R891" t="s">
        <v>240</v>
      </c>
      <c r="S891" t="s">
        <v>47</v>
      </c>
      <c r="T891" t="s">
        <v>30</v>
      </c>
    </row>
    <row r="892" spans="1:20" x14ac:dyDescent="0.3">
      <c r="A892">
        <v>10886</v>
      </c>
      <c r="B892" s="2">
        <v>45984</v>
      </c>
      <c r="C892" t="s">
        <v>49</v>
      </c>
      <c r="D892" t="s">
        <v>59</v>
      </c>
      <c r="E892" t="s">
        <v>107</v>
      </c>
      <c r="F892" t="s">
        <v>41</v>
      </c>
      <c r="G892" t="s">
        <v>42</v>
      </c>
      <c r="H892" t="s">
        <v>101</v>
      </c>
      <c r="I892" t="s">
        <v>326</v>
      </c>
      <c r="J892">
        <v>1058</v>
      </c>
      <c r="K892">
        <v>12</v>
      </c>
      <c r="L892" t="s">
        <v>68</v>
      </c>
      <c r="M892">
        <v>31</v>
      </c>
      <c r="N892">
        <v>36</v>
      </c>
      <c r="O892">
        <v>87.7</v>
      </c>
      <c r="P892">
        <v>4.57</v>
      </c>
      <c r="Q892">
        <v>1.49</v>
      </c>
      <c r="R892" t="s">
        <v>103</v>
      </c>
      <c r="S892" t="s">
        <v>39</v>
      </c>
      <c r="T892" t="s">
        <v>30</v>
      </c>
    </row>
    <row r="893" spans="1:20" x14ac:dyDescent="0.3">
      <c r="A893">
        <v>10080</v>
      </c>
      <c r="B893" s="2">
        <v>45855</v>
      </c>
      <c r="C893" t="s">
        <v>20</v>
      </c>
      <c r="D893" t="s">
        <v>64</v>
      </c>
      <c r="E893" t="s">
        <v>40</v>
      </c>
      <c r="F893" t="s">
        <v>23</v>
      </c>
      <c r="G893" t="s">
        <v>89</v>
      </c>
      <c r="H893" t="s">
        <v>82</v>
      </c>
      <c r="I893" t="s">
        <v>129</v>
      </c>
      <c r="J893">
        <v>783</v>
      </c>
      <c r="K893">
        <v>2</v>
      </c>
      <c r="L893" t="s">
        <v>71</v>
      </c>
      <c r="M893">
        <v>24</v>
      </c>
      <c r="N893">
        <v>48.4</v>
      </c>
      <c r="O893">
        <v>74.8</v>
      </c>
      <c r="P893">
        <v>6</v>
      </c>
      <c r="Q893">
        <v>0.39</v>
      </c>
      <c r="R893" t="s">
        <v>183</v>
      </c>
      <c r="S893" t="s">
        <v>39</v>
      </c>
      <c r="T893" t="s">
        <v>30</v>
      </c>
    </row>
    <row r="894" spans="1:20" x14ac:dyDescent="0.3">
      <c r="A894">
        <v>10149</v>
      </c>
      <c r="B894" s="2">
        <v>45832</v>
      </c>
      <c r="C894" t="s">
        <v>31</v>
      </c>
      <c r="D894" t="s">
        <v>64</v>
      </c>
      <c r="E894" t="s">
        <v>22</v>
      </c>
      <c r="F894" t="s">
        <v>81</v>
      </c>
      <c r="G894" t="s">
        <v>109</v>
      </c>
      <c r="H894" t="s">
        <v>175</v>
      </c>
      <c r="I894" t="s">
        <v>377</v>
      </c>
      <c r="J894">
        <v>850</v>
      </c>
      <c r="K894">
        <v>9</v>
      </c>
      <c r="L894" t="s">
        <v>37</v>
      </c>
      <c r="M894">
        <v>112</v>
      </c>
      <c r="N894">
        <v>44.7</v>
      </c>
      <c r="O894">
        <v>65.599999999999994</v>
      </c>
      <c r="P894">
        <v>6.99</v>
      </c>
      <c r="Q894">
        <v>2.35</v>
      </c>
      <c r="R894" t="s">
        <v>159</v>
      </c>
      <c r="S894" t="s">
        <v>29</v>
      </c>
      <c r="T894" t="s">
        <v>30</v>
      </c>
    </row>
    <row r="895" spans="1:20" x14ac:dyDescent="0.3">
      <c r="A895">
        <v>10815</v>
      </c>
      <c r="B895" s="2">
        <v>45694</v>
      </c>
      <c r="C895" t="s">
        <v>49</v>
      </c>
      <c r="D895" t="s">
        <v>64</v>
      </c>
      <c r="E895" t="s">
        <v>22</v>
      </c>
      <c r="F895" t="s">
        <v>23</v>
      </c>
      <c r="G895" t="s">
        <v>50</v>
      </c>
      <c r="H895" t="s">
        <v>82</v>
      </c>
      <c r="I895" t="s">
        <v>220</v>
      </c>
      <c r="J895">
        <v>847</v>
      </c>
      <c r="K895">
        <v>7</v>
      </c>
      <c r="L895" t="s">
        <v>27</v>
      </c>
      <c r="M895">
        <v>138</v>
      </c>
      <c r="N895">
        <v>44.2</v>
      </c>
      <c r="O895">
        <v>55.4</v>
      </c>
      <c r="P895">
        <v>6.1</v>
      </c>
      <c r="Q895">
        <v>3.67</v>
      </c>
      <c r="R895" t="s">
        <v>152</v>
      </c>
      <c r="S895" t="s">
        <v>47</v>
      </c>
      <c r="T895" t="s">
        <v>30</v>
      </c>
    </row>
    <row r="896" spans="1:20" x14ac:dyDescent="0.3">
      <c r="A896">
        <v>11398</v>
      </c>
      <c r="B896" s="2">
        <v>45707</v>
      </c>
      <c r="C896" t="s">
        <v>20</v>
      </c>
      <c r="D896" t="s">
        <v>21</v>
      </c>
      <c r="E896" t="s">
        <v>107</v>
      </c>
      <c r="F896" t="s">
        <v>108</v>
      </c>
      <c r="G896" t="s">
        <v>134</v>
      </c>
      <c r="H896" t="s">
        <v>287</v>
      </c>
      <c r="I896" t="s">
        <v>353</v>
      </c>
      <c r="J896">
        <v>1082</v>
      </c>
      <c r="K896">
        <v>14</v>
      </c>
      <c r="L896" t="s">
        <v>71</v>
      </c>
      <c r="M896">
        <v>74</v>
      </c>
      <c r="N896">
        <v>34.9</v>
      </c>
      <c r="O896">
        <v>73.2</v>
      </c>
      <c r="P896">
        <v>4.88</v>
      </c>
      <c r="Q896">
        <v>3.04</v>
      </c>
      <c r="R896" t="s">
        <v>133</v>
      </c>
      <c r="S896" t="s">
        <v>47</v>
      </c>
      <c r="T896" t="s">
        <v>30</v>
      </c>
    </row>
    <row r="897" spans="1:20" x14ac:dyDescent="0.3">
      <c r="A897">
        <v>10924</v>
      </c>
      <c r="B897" s="2">
        <v>45787</v>
      </c>
      <c r="C897" t="s">
        <v>31</v>
      </c>
      <c r="D897" t="s">
        <v>32</v>
      </c>
      <c r="E897" t="s">
        <v>107</v>
      </c>
      <c r="F897" t="s">
        <v>81</v>
      </c>
      <c r="G897" t="s">
        <v>113</v>
      </c>
      <c r="H897" t="s">
        <v>101</v>
      </c>
      <c r="I897" t="s">
        <v>70</v>
      </c>
      <c r="J897">
        <v>848</v>
      </c>
      <c r="K897">
        <v>11</v>
      </c>
      <c r="L897" t="s">
        <v>57</v>
      </c>
      <c r="M897">
        <v>102</v>
      </c>
      <c r="N897">
        <v>32.700000000000003</v>
      </c>
      <c r="O897">
        <v>78.7</v>
      </c>
      <c r="P897">
        <v>5.54</v>
      </c>
      <c r="Q897">
        <v>4.32</v>
      </c>
      <c r="R897" t="s">
        <v>72</v>
      </c>
      <c r="S897" t="s">
        <v>29</v>
      </c>
      <c r="T897" t="s">
        <v>30</v>
      </c>
    </row>
    <row r="898" spans="1:20" x14ac:dyDescent="0.3">
      <c r="A898">
        <v>10672</v>
      </c>
      <c r="B898" s="2">
        <v>45916</v>
      </c>
      <c r="C898" t="s">
        <v>20</v>
      </c>
      <c r="D898" t="s">
        <v>64</v>
      </c>
      <c r="E898" t="s">
        <v>40</v>
      </c>
      <c r="F898" t="s">
        <v>23</v>
      </c>
      <c r="G898" t="s">
        <v>50</v>
      </c>
      <c r="H898" t="s">
        <v>131</v>
      </c>
      <c r="I898" t="s">
        <v>259</v>
      </c>
      <c r="J898">
        <v>521</v>
      </c>
      <c r="K898">
        <v>2</v>
      </c>
      <c r="L898" t="s">
        <v>57</v>
      </c>
      <c r="M898">
        <v>129</v>
      </c>
      <c r="N898">
        <v>45.5</v>
      </c>
      <c r="P898">
        <v>4.87</v>
      </c>
      <c r="Q898">
        <v>2.71</v>
      </c>
      <c r="R898" t="s">
        <v>92</v>
      </c>
      <c r="S898" t="s">
        <v>47</v>
      </c>
      <c r="T898" t="s">
        <v>30</v>
      </c>
    </row>
    <row r="899" spans="1:20" x14ac:dyDescent="0.3">
      <c r="A899">
        <v>11165</v>
      </c>
      <c r="B899" s="2">
        <v>45986</v>
      </c>
      <c r="C899" t="s">
        <v>20</v>
      </c>
      <c r="D899" t="s">
        <v>32</v>
      </c>
      <c r="E899" t="s">
        <v>40</v>
      </c>
      <c r="F899" t="s">
        <v>23</v>
      </c>
      <c r="G899" t="s">
        <v>74</v>
      </c>
      <c r="H899" t="s">
        <v>193</v>
      </c>
      <c r="I899" t="s">
        <v>237</v>
      </c>
      <c r="J899">
        <v>651</v>
      </c>
      <c r="K899">
        <v>25</v>
      </c>
      <c r="L899" t="s">
        <v>57</v>
      </c>
      <c r="M899">
        <v>92</v>
      </c>
      <c r="N899">
        <v>47.8</v>
      </c>
      <c r="O899">
        <v>74.7</v>
      </c>
      <c r="P899">
        <v>5.3</v>
      </c>
      <c r="Q899">
        <v>3.8</v>
      </c>
      <c r="R899" t="s">
        <v>243</v>
      </c>
      <c r="S899" t="s">
        <v>73</v>
      </c>
      <c r="T899" t="s">
        <v>48</v>
      </c>
    </row>
    <row r="900" spans="1:20" x14ac:dyDescent="0.3">
      <c r="A900">
        <v>10556</v>
      </c>
      <c r="B900" s="2">
        <v>45939</v>
      </c>
      <c r="C900" t="s">
        <v>20</v>
      </c>
      <c r="D900" t="s">
        <v>64</v>
      </c>
      <c r="E900" t="s">
        <v>22</v>
      </c>
      <c r="F900" t="s">
        <v>23</v>
      </c>
      <c r="G900" t="s">
        <v>95</v>
      </c>
      <c r="H900" t="s">
        <v>265</v>
      </c>
      <c r="I900" t="s">
        <v>310</v>
      </c>
      <c r="J900">
        <v>1235</v>
      </c>
      <c r="K900">
        <v>108</v>
      </c>
      <c r="L900" t="s">
        <v>27</v>
      </c>
      <c r="M900">
        <v>36</v>
      </c>
      <c r="N900">
        <v>49.6</v>
      </c>
      <c r="O900">
        <v>69.3</v>
      </c>
      <c r="P900">
        <v>4.4000000000000004</v>
      </c>
      <c r="Q900">
        <v>5.21</v>
      </c>
      <c r="R900" t="s">
        <v>147</v>
      </c>
      <c r="S900" t="s">
        <v>29</v>
      </c>
      <c r="T900" t="s">
        <v>48</v>
      </c>
    </row>
    <row r="901" spans="1:20" x14ac:dyDescent="0.3">
      <c r="A901">
        <v>10919</v>
      </c>
      <c r="B901" s="2">
        <v>45902</v>
      </c>
      <c r="C901" t="s">
        <v>360</v>
      </c>
      <c r="D901" t="s">
        <v>32</v>
      </c>
      <c r="E901" t="s">
        <v>33</v>
      </c>
      <c r="F901" t="s">
        <v>98</v>
      </c>
      <c r="G901" t="s">
        <v>95</v>
      </c>
      <c r="H901" t="s">
        <v>175</v>
      </c>
      <c r="I901" t="s">
        <v>225</v>
      </c>
      <c r="J901" t="s">
        <v>395</v>
      </c>
      <c r="K901">
        <v>5</v>
      </c>
      <c r="L901" t="s">
        <v>37</v>
      </c>
      <c r="M901">
        <v>76</v>
      </c>
      <c r="N901">
        <v>45.8</v>
      </c>
      <c r="O901">
        <v>70.8</v>
      </c>
      <c r="P901">
        <v>4.8</v>
      </c>
      <c r="Q901">
        <v>1.42</v>
      </c>
      <c r="R901" t="s">
        <v>125</v>
      </c>
      <c r="S901" t="s">
        <v>73</v>
      </c>
      <c r="T901" t="s">
        <v>30</v>
      </c>
    </row>
    <row r="902" spans="1:20" x14ac:dyDescent="0.3">
      <c r="A902">
        <v>10134</v>
      </c>
      <c r="B902" s="2">
        <v>45951</v>
      </c>
      <c r="C902" t="s">
        <v>20</v>
      </c>
      <c r="D902" t="s">
        <v>59</v>
      </c>
      <c r="E902" t="s">
        <v>40</v>
      </c>
      <c r="F902" t="s">
        <v>41</v>
      </c>
      <c r="G902" t="s">
        <v>95</v>
      </c>
      <c r="H902" t="s">
        <v>90</v>
      </c>
      <c r="I902" t="s">
        <v>366</v>
      </c>
      <c r="J902">
        <v>1435</v>
      </c>
      <c r="K902">
        <v>20</v>
      </c>
      <c r="L902" t="s">
        <v>45</v>
      </c>
      <c r="M902">
        <v>77</v>
      </c>
      <c r="N902">
        <v>49</v>
      </c>
      <c r="O902">
        <v>66.599999999999994</v>
      </c>
      <c r="P902">
        <v>6.31</v>
      </c>
      <c r="Q902">
        <v>2.52</v>
      </c>
      <c r="R902" t="s">
        <v>46</v>
      </c>
      <c r="S902" t="s">
        <v>39</v>
      </c>
      <c r="T902" t="s">
        <v>30</v>
      </c>
    </row>
    <row r="903" spans="1:20" x14ac:dyDescent="0.3">
      <c r="A903">
        <v>11117</v>
      </c>
      <c r="B903" s="2">
        <v>45864</v>
      </c>
      <c r="C903" t="s">
        <v>20</v>
      </c>
      <c r="D903" t="s">
        <v>59</v>
      </c>
      <c r="E903" t="s">
        <v>33</v>
      </c>
      <c r="F903" t="s">
        <v>23</v>
      </c>
      <c r="G903" t="s">
        <v>89</v>
      </c>
      <c r="H903" t="s">
        <v>88</v>
      </c>
      <c r="I903" t="s">
        <v>145</v>
      </c>
      <c r="J903">
        <v>1383</v>
      </c>
      <c r="K903">
        <v>23</v>
      </c>
      <c r="L903" t="s">
        <v>37</v>
      </c>
      <c r="M903">
        <v>111</v>
      </c>
      <c r="N903">
        <v>39.6</v>
      </c>
      <c r="O903">
        <v>72.900000000000006</v>
      </c>
      <c r="P903">
        <v>5.6</v>
      </c>
      <c r="Q903">
        <v>3.3</v>
      </c>
      <c r="R903" t="s">
        <v>133</v>
      </c>
      <c r="S903" t="s">
        <v>73</v>
      </c>
      <c r="T903" t="s">
        <v>30</v>
      </c>
    </row>
    <row r="904" spans="1:20" x14ac:dyDescent="0.3">
      <c r="A904">
        <v>10824</v>
      </c>
      <c r="B904" s="2">
        <v>45729</v>
      </c>
      <c r="C904" t="s">
        <v>49</v>
      </c>
      <c r="D904" t="s">
        <v>64</v>
      </c>
      <c r="E904" t="s">
        <v>107</v>
      </c>
      <c r="F904" t="s">
        <v>23</v>
      </c>
      <c r="G904" t="s">
        <v>42</v>
      </c>
      <c r="H904" t="s">
        <v>215</v>
      </c>
      <c r="I904" t="s">
        <v>368</v>
      </c>
      <c r="J904">
        <v>1140</v>
      </c>
      <c r="K904">
        <v>28</v>
      </c>
      <c r="L904" t="s">
        <v>27</v>
      </c>
      <c r="M904">
        <v>80</v>
      </c>
      <c r="N904">
        <v>42.2</v>
      </c>
      <c r="O904">
        <v>69.7</v>
      </c>
      <c r="P904">
        <v>5.85</v>
      </c>
      <c r="Q904">
        <v>2.96</v>
      </c>
      <c r="R904" t="s">
        <v>38</v>
      </c>
      <c r="S904" t="s">
        <v>73</v>
      </c>
      <c r="T904" t="s">
        <v>30</v>
      </c>
    </row>
    <row r="905" spans="1:20" x14ac:dyDescent="0.3">
      <c r="A905">
        <v>10409</v>
      </c>
      <c r="B905" s="2">
        <v>45713</v>
      </c>
      <c r="C905" t="s">
        <v>31</v>
      </c>
      <c r="D905" t="s">
        <v>59</v>
      </c>
      <c r="E905" t="s">
        <v>107</v>
      </c>
      <c r="F905" t="s">
        <v>81</v>
      </c>
      <c r="G905" t="s">
        <v>24</v>
      </c>
      <c r="H905" t="s">
        <v>351</v>
      </c>
      <c r="I905" t="s">
        <v>361</v>
      </c>
      <c r="J905">
        <v>1196</v>
      </c>
      <c r="K905">
        <v>7</v>
      </c>
      <c r="L905" t="s">
        <v>68</v>
      </c>
      <c r="M905">
        <v>133</v>
      </c>
      <c r="N905">
        <v>38.9</v>
      </c>
      <c r="O905">
        <v>62.3</v>
      </c>
      <c r="P905">
        <v>3.43</v>
      </c>
      <c r="Q905">
        <v>2.5499999999999998</v>
      </c>
      <c r="R905" t="s">
        <v>189</v>
      </c>
      <c r="S905" t="s">
        <v>29</v>
      </c>
      <c r="T905" t="s">
        <v>30</v>
      </c>
    </row>
    <row r="906" spans="1:20" x14ac:dyDescent="0.3">
      <c r="A906">
        <v>10369</v>
      </c>
      <c r="B906" s="2">
        <v>45772</v>
      </c>
      <c r="C906" t="s">
        <v>49</v>
      </c>
      <c r="D906" t="s">
        <v>59</v>
      </c>
      <c r="E906" t="s">
        <v>33</v>
      </c>
      <c r="F906" t="s">
        <v>274</v>
      </c>
      <c r="G906" t="s">
        <v>89</v>
      </c>
      <c r="H906" t="s">
        <v>99</v>
      </c>
      <c r="I906" t="s">
        <v>146</v>
      </c>
      <c r="J906">
        <v>614</v>
      </c>
      <c r="K906">
        <v>4</v>
      </c>
      <c r="L906" t="s">
        <v>45</v>
      </c>
      <c r="M906">
        <v>105</v>
      </c>
      <c r="N906">
        <v>41.4</v>
      </c>
      <c r="O906">
        <v>72.099999999999994</v>
      </c>
      <c r="P906">
        <v>5.84</v>
      </c>
      <c r="Q906">
        <v>3.87</v>
      </c>
      <c r="R906" t="s">
        <v>140</v>
      </c>
      <c r="S906" t="s">
        <v>73</v>
      </c>
      <c r="T906" t="s">
        <v>30</v>
      </c>
    </row>
    <row r="907" spans="1:20" x14ac:dyDescent="0.3">
      <c r="A907">
        <v>10508</v>
      </c>
      <c r="B907" s="2">
        <v>45676</v>
      </c>
      <c r="C907" t="s">
        <v>20</v>
      </c>
      <c r="D907" t="s">
        <v>64</v>
      </c>
      <c r="E907" t="s">
        <v>107</v>
      </c>
      <c r="F907" t="s">
        <v>41</v>
      </c>
      <c r="G907" t="s">
        <v>42</v>
      </c>
      <c r="H907" t="s">
        <v>144</v>
      </c>
      <c r="I907" t="s">
        <v>375</v>
      </c>
      <c r="J907">
        <v>1535</v>
      </c>
      <c r="K907">
        <v>23</v>
      </c>
      <c r="L907" t="s">
        <v>57</v>
      </c>
      <c r="M907">
        <v>154</v>
      </c>
      <c r="N907">
        <v>36.1</v>
      </c>
      <c r="O907">
        <v>77.5</v>
      </c>
      <c r="P907">
        <v>4.8499999999999996</v>
      </c>
      <c r="Q907">
        <v>1.87</v>
      </c>
      <c r="R907" t="s">
        <v>58</v>
      </c>
      <c r="S907" t="s">
        <v>29</v>
      </c>
      <c r="T907" t="s">
        <v>30</v>
      </c>
    </row>
    <row r="908" spans="1:20" x14ac:dyDescent="0.3">
      <c r="A908">
        <v>11192</v>
      </c>
      <c r="B908" s="2">
        <v>45873</v>
      </c>
      <c r="C908" t="s">
        <v>20</v>
      </c>
      <c r="D908" t="s">
        <v>21</v>
      </c>
      <c r="E908" t="s">
        <v>40</v>
      </c>
      <c r="F908" t="s">
        <v>41</v>
      </c>
      <c r="G908" t="s">
        <v>113</v>
      </c>
      <c r="H908" t="s">
        <v>161</v>
      </c>
      <c r="I908" t="s">
        <v>217</v>
      </c>
      <c r="J908">
        <v>664</v>
      </c>
      <c r="K908">
        <v>5</v>
      </c>
      <c r="L908" t="s">
        <v>37</v>
      </c>
      <c r="M908">
        <v>98</v>
      </c>
      <c r="N908">
        <v>49.4</v>
      </c>
      <c r="O908">
        <v>65.400000000000006</v>
      </c>
      <c r="P908">
        <v>5.55</v>
      </c>
      <c r="Q908">
        <v>3.76</v>
      </c>
      <c r="R908" t="s">
        <v>232</v>
      </c>
      <c r="S908" t="s">
        <v>47</v>
      </c>
      <c r="T908" t="s">
        <v>30</v>
      </c>
    </row>
    <row r="909" spans="1:20" x14ac:dyDescent="0.3">
      <c r="A909">
        <v>10505</v>
      </c>
      <c r="B909" s="2">
        <v>45858</v>
      </c>
      <c r="C909" t="s">
        <v>20</v>
      </c>
      <c r="D909" t="s">
        <v>21</v>
      </c>
      <c r="E909" t="s">
        <v>107</v>
      </c>
      <c r="F909" t="s">
        <v>41</v>
      </c>
      <c r="G909" t="s">
        <v>54</v>
      </c>
      <c r="H909" t="s">
        <v>85</v>
      </c>
      <c r="I909" t="s">
        <v>349</v>
      </c>
      <c r="J909">
        <v>941</v>
      </c>
      <c r="K909">
        <v>6</v>
      </c>
      <c r="L909" t="s">
        <v>71</v>
      </c>
      <c r="M909">
        <v>176</v>
      </c>
      <c r="N909">
        <v>42.9</v>
      </c>
      <c r="O909">
        <v>87.8</v>
      </c>
      <c r="P909">
        <v>6.89</v>
      </c>
      <c r="Q909">
        <v>2.12</v>
      </c>
      <c r="R909" t="s">
        <v>63</v>
      </c>
      <c r="S909" t="s">
        <v>39</v>
      </c>
      <c r="T909" t="s">
        <v>30</v>
      </c>
    </row>
    <row r="910" spans="1:20" x14ac:dyDescent="0.3">
      <c r="A910">
        <v>11345</v>
      </c>
      <c r="B910" s="2">
        <v>45775</v>
      </c>
      <c r="C910" t="s">
        <v>20</v>
      </c>
      <c r="D910" t="s">
        <v>21</v>
      </c>
      <c r="E910" t="s">
        <v>33</v>
      </c>
      <c r="F910" t="s">
        <v>41</v>
      </c>
      <c r="G910" t="s">
        <v>74</v>
      </c>
      <c r="H910" t="s">
        <v>200</v>
      </c>
      <c r="I910" t="s">
        <v>275</v>
      </c>
      <c r="J910">
        <v>1413</v>
      </c>
      <c r="K910">
        <v>43</v>
      </c>
      <c r="M910">
        <v>168</v>
      </c>
      <c r="N910">
        <v>42.7</v>
      </c>
      <c r="O910">
        <v>70</v>
      </c>
      <c r="P910">
        <v>3.74</v>
      </c>
      <c r="Q910">
        <v>3.12</v>
      </c>
      <c r="R910" t="s">
        <v>179</v>
      </c>
      <c r="S910" t="s">
        <v>73</v>
      </c>
      <c r="T910" t="s">
        <v>48</v>
      </c>
    </row>
    <row r="911" spans="1:20" x14ac:dyDescent="0.3">
      <c r="A911">
        <v>10348</v>
      </c>
      <c r="B911" s="2">
        <v>45758</v>
      </c>
      <c r="C911" t="s">
        <v>20</v>
      </c>
      <c r="D911" t="s">
        <v>59</v>
      </c>
      <c r="E911" t="s">
        <v>33</v>
      </c>
      <c r="F911" t="s">
        <v>23</v>
      </c>
      <c r="G911" t="s">
        <v>95</v>
      </c>
      <c r="H911" t="s">
        <v>35</v>
      </c>
      <c r="I911" t="s">
        <v>375</v>
      </c>
      <c r="J911">
        <v>1267</v>
      </c>
      <c r="K911">
        <v>15</v>
      </c>
      <c r="L911" t="s">
        <v>45</v>
      </c>
      <c r="M911">
        <v>47</v>
      </c>
      <c r="N911">
        <v>29.1</v>
      </c>
      <c r="O911">
        <v>78.3</v>
      </c>
      <c r="P911">
        <v>5.25</v>
      </c>
      <c r="Q911">
        <v>4.7699999999999996</v>
      </c>
      <c r="R911" t="s">
        <v>202</v>
      </c>
      <c r="S911" t="s">
        <v>39</v>
      </c>
      <c r="T911" t="s">
        <v>30</v>
      </c>
    </row>
    <row r="912" spans="1:20" x14ac:dyDescent="0.3">
      <c r="A912">
        <v>10387</v>
      </c>
      <c r="B912" s="2">
        <v>45826</v>
      </c>
      <c r="C912" t="s">
        <v>20</v>
      </c>
      <c r="D912" t="s">
        <v>32</v>
      </c>
      <c r="E912" t="s">
        <v>22</v>
      </c>
      <c r="F912" t="s">
        <v>23</v>
      </c>
      <c r="G912" t="s">
        <v>42</v>
      </c>
      <c r="H912" t="s">
        <v>123</v>
      </c>
      <c r="I912" t="s">
        <v>251</v>
      </c>
      <c r="J912">
        <v>1520</v>
      </c>
      <c r="K912">
        <v>114</v>
      </c>
      <c r="L912" t="s">
        <v>71</v>
      </c>
      <c r="M912">
        <v>45</v>
      </c>
      <c r="N912">
        <v>32.700000000000003</v>
      </c>
      <c r="O912">
        <v>71.3</v>
      </c>
      <c r="P912">
        <v>6.71</v>
      </c>
      <c r="Q912">
        <v>2.65</v>
      </c>
      <c r="R912" t="s">
        <v>159</v>
      </c>
      <c r="S912" t="s">
        <v>73</v>
      </c>
      <c r="T912" t="s">
        <v>48</v>
      </c>
    </row>
    <row r="913" spans="1:20" x14ac:dyDescent="0.3">
      <c r="A913">
        <v>10001</v>
      </c>
      <c r="B913" s="2">
        <v>45872</v>
      </c>
      <c r="C913" t="s">
        <v>31</v>
      </c>
      <c r="D913" t="s">
        <v>32</v>
      </c>
      <c r="E913" t="s">
        <v>107</v>
      </c>
      <c r="F913" t="s">
        <v>23</v>
      </c>
      <c r="G913" t="s">
        <v>134</v>
      </c>
      <c r="I913" t="s">
        <v>124</v>
      </c>
      <c r="J913">
        <v>1576</v>
      </c>
      <c r="K913">
        <v>19</v>
      </c>
      <c r="L913" t="s">
        <v>37</v>
      </c>
      <c r="M913">
        <v>154</v>
      </c>
      <c r="N913">
        <v>42.6</v>
      </c>
      <c r="O913">
        <v>70.7</v>
      </c>
      <c r="P913">
        <v>5.22</v>
      </c>
      <c r="Q913">
        <v>2.33</v>
      </c>
      <c r="R913" t="s">
        <v>80</v>
      </c>
      <c r="S913" t="s">
        <v>47</v>
      </c>
      <c r="T913" t="s">
        <v>30</v>
      </c>
    </row>
    <row r="914" spans="1:20" x14ac:dyDescent="0.3">
      <c r="A914">
        <v>10361</v>
      </c>
      <c r="B914" s="2">
        <v>45695</v>
      </c>
      <c r="C914" t="s">
        <v>20</v>
      </c>
      <c r="D914" t="s">
        <v>64</v>
      </c>
      <c r="E914" t="s">
        <v>22</v>
      </c>
      <c r="F914" t="s">
        <v>41</v>
      </c>
      <c r="G914" t="s">
        <v>54</v>
      </c>
      <c r="H914" t="s">
        <v>265</v>
      </c>
      <c r="I914" t="s">
        <v>359</v>
      </c>
      <c r="J914">
        <v>1084</v>
      </c>
      <c r="K914">
        <v>13</v>
      </c>
      <c r="L914" t="s">
        <v>57</v>
      </c>
      <c r="M914">
        <v>83</v>
      </c>
      <c r="N914">
        <v>39.700000000000003</v>
      </c>
      <c r="O914">
        <v>61.3</v>
      </c>
      <c r="P914">
        <v>5.79</v>
      </c>
      <c r="Q914">
        <v>2.57</v>
      </c>
      <c r="R914" t="s">
        <v>184</v>
      </c>
      <c r="S914" t="s">
        <v>39</v>
      </c>
      <c r="T914" t="s">
        <v>30</v>
      </c>
    </row>
    <row r="915" spans="1:20" x14ac:dyDescent="0.3">
      <c r="A915">
        <v>10895</v>
      </c>
      <c r="B915" s="2">
        <v>45712</v>
      </c>
      <c r="C915" t="s">
        <v>360</v>
      </c>
      <c r="D915" t="s">
        <v>32</v>
      </c>
      <c r="E915" t="s">
        <v>22</v>
      </c>
      <c r="F915" t="s">
        <v>23</v>
      </c>
      <c r="G915" t="s">
        <v>54</v>
      </c>
      <c r="H915" t="s">
        <v>190</v>
      </c>
      <c r="I915" t="s">
        <v>331</v>
      </c>
      <c r="J915">
        <v>1319</v>
      </c>
      <c r="K915">
        <v>76</v>
      </c>
      <c r="L915" t="s">
        <v>71</v>
      </c>
      <c r="M915">
        <v>94</v>
      </c>
      <c r="N915">
        <v>41.5</v>
      </c>
      <c r="O915">
        <v>69.099999999999994</v>
      </c>
      <c r="P915">
        <v>5.13</v>
      </c>
      <c r="Q915">
        <v>2.44</v>
      </c>
      <c r="R915" t="s">
        <v>164</v>
      </c>
      <c r="S915" t="s">
        <v>73</v>
      </c>
      <c r="T915" t="s">
        <v>48</v>
      </c>
    </row>
    <row r="916" spans="1:20" x14ac:dyDescent="0.3">
      <c r="A916">
        <v>10829</v>
      </c>
      <c r="B916" s="2">
        <v>45659</v>
      </c>
      <c r="C916" t="s">
        <v>20</v>
      </c>
      <c r="D916" t="s">
        <v>21</v>
      </c>
      <c r="E916" t="s">
        <v>33</v>
      </c>
      <c r="F916" t="s">
        <v>81</v>
      </c>
      <c r="G916" t="s">
        <v>89</v>
      </c>
      <c r="H916" t="s">
        <v>69</v>
      </c>
      <c r="I916" t="s">
        <v>298</v>
      </c>
      <c r="J916">
        <v>526</v>
      </c>
      <c r="K916">
        <v>7</v>
      </c>
      <c r="L916" t="s">
        <v>71</v>
      </c>
      <c r="M916">
        <v>125</v>
      </c>
      <c r="N916">
        <v>27.1</v>
      </c>
      <c r="O916">
        <v>66.5</v>
      </c>
      <c r="P916">
        <v>6.37</v>
      </c>
      <c r="Q916">
        <v>4</v>
      </c>
      <c r="R916" t="s">
        <v>242</v>
      </c>
      <c r="S916" t="s">
        <v>39</v>
      </c>
      <c r="T916" t="s">
        <v>30</v>
      </c>
    </row>
    <row r="917" spans="1:20" x14ac:dyDescent="0.3">
      <c r="A917">
        <v>11428</v>
      </c>
      <c r="B917" s="2">
        <v>45774</v>
      </c>
      <c r="C917" t="s">
        <v>20</v>
      </c>
      <c r="D917" t="s">
        <v>59</v>
      </c>
      <c r="E917" t="s">
        <v>22</v>
      </c>
      <c r="F917" t="s">
        <v>81</v>
      </c>
      <c r="G917" t="s">
        <v>109</v>
      </c>
      <c r="H917" t="s">
        <v>75</v>
      </c>
      <c r="I917" t="s">
        <v>393</v>
      </c>
      <c r="J917">
        <v>1196</v>
      </c>
      <c r="K917">
        <v>12</v>
      </c>
      <c r="L917" t="s">
        <v>27</v>
      </c>
      <c r="M917">
        <v>164</v>
      </c>
      <c r="N917">
        <v>36.299999999999997</v>
      </c>
      <c r="O917">
        <v>69.5</v>
      </c>
      <c r="P917">
        <v>4.6100000000000003</v>
      </c>
      <c r="Q917">
        <v>1.32</v>
      </c>
      <c r="R917" t="s">
        <v>227</v>
      </c>
      <c r="S917" t="s">
        <v>47</v>
      </c>
      <c r="T917" t="s">
        <v>30</v>
      </c>
    </row>
    <row r="918" spans="1:20" x14ac:dyDescent="0.3">
      <c r="A918">
        <v>10476</v>
      </c>
      <c r="B918" s="2">
        <v>45839</v>
      </c>
      <c r="C918" t="s">
        <v>31</v>
      </c>
      <c r="D918" t="s">
        <v>59</v>
      </c>
      <c r="E918" t="s">
        <v>40</v>
      </c>
      <c r="F918" t="s">
        <v>81</v>
      </c>
      <c r="G918" t="s">
        <v>109</v>
      </c>
      <c r="H918" t="s">
        <v>75</v>
      </c>
      <c r="I918" t="s">
        <v>136</v>
      </c>
      <c r="J918">
        <v>868</v>
      </c>
      <c r="K918">
        <v>11</v>
      </c>
      <c r="L918" t="s">
        <v>45</v>
      </c>
      <c r="M918">
        <v>159</v>
      </c>
      <c r="N918">
        <v>44.9</v>
      </c>
      <c r="O918">
        <v>72.8</v>
      </c>
      <c r="P918">
        <v>5.41</v>
      </c>
      <c r="Q918">
        <v>3.33</v>
      </c>
      <c r="R918" t="s">
        <v>153</v>
      </c>
      <c r="S918" t="s">
        <v>29</v>
      </c>
      <c r="T918" t="s">
        <v>30</v>
      </c>
    </row>
    <row r="919" spans="1:20" x14ac:dyDescent="0.3">
      <c r="A919">
        <v>11293</v>
      </c>
      <c r="B919" s="2">
        <v>45671</v>
      </c>
      <c r="C919" t="s">
        <v>31</v>
      </c>
      <c r="D919" t="s">
        <v>59</v>
      </c>
      <c r="E919" t="s">
        <v>40</v>
      </c>
      <c r="F919" t="s">
        <v>23</v>
      </c>
      <c r="G919" t="s">
        <v>113</v>
      </c>
      <c r="H919" t="s">
        <v>190</v>
      </c>
      <c r="I919" t="s">
        <v>318</v>
      </c>
      <c r="J919">
        <v>622</v>
      </c>
      <c r="K919">
        <v>3</v>
      </c>
      <c r="L919" t="s">
        <v>57</v>
      </c>
      <c r="M919">
        <v>141</v>
      </c>
      <c r="N919">
        <v>48.7</v>
      </c>
      <c r="O919">
        <v>82</v>
      </c>
      <c r="P919">
        <v>4.6100000000000003</v>
      </c>
      <c r="Q919">
        <v>1.82</v>
      </c>
      <c r="R919" t="s">
        <v>130</v>
      </c>
      <c r="S919" t="s">
        <v>29</v>
      </c>
      <c r="T919" t="s">
        <v>30</v>
      </c>
    </row>
    <row r="920" spans="1:20" x14ac:dyDescent="0.3">
      <c r="A920">
        <v>10058</v>
      </c>
      <c r="B920" s="2">
        <v>45760</v>
      </c>
      <c r="C920" t="s">
        <v>360</v>
      </c>
      <c r="D920" t="s">
        <v>59</v>
      </c>
      <c r="E920" t="s">
        <v>40</v>
      </c>
      <c r="F920" t="s">
        <v>23</v>
      </c>
      <c r="G920" t="s">
        <v>54</v>
      </c>
      <c r="H920" t="s">
        <v>90</v>
      </c>
      <c r="I920" t="s">
        <v>352</v>
      </c>
      <c r="J920">
        <v>1176</v>
      </c>
      <c r="K920">
        <v>15</v>
      </c>
      <c r="L920" t="s">
        <v>71</v>
      </c>
      <c r="M920">
        <v>135</v>
      </c>
      <c r="N920">
        <v>34.700000000000003</v>
      </c>
      <c r="O920">
        <v>82.2</v>
      </c>
      <c r="P920">
        <v>4.99</v>
      </c>
      <c r="Q920">
        <v>2.95</v>
      </c>
      <c r="R920" t="s">
        <v>122</v>
      </c>
      <c r="S920" t="s">
        <v>47</v>
      </c>
      <c r="T920" t="s">
        <v>30</v>
      </c>
    </row>
    <row r="921" spans="1:20" x14ac:dyDescent="0.3">
      <c r="A921">
        <v>10638</v>
      </c>
      <c r="B921" s="2">
        <v>45851</v>
      </c>
      <c r="C921" t="s">
        <v>49</v>
      </c>
      <c r="D921" t="s">
        <v>32</v>
      </c>
      <c r="E921" t="s">
        <v>22</v>
      </c>
      <c r="F921" t="s">
        <v>23</v>
      </c>
      <c r="G921" t="s">
        <v>74</v>
      </c>
      <c r="H921" t="s">
        <v>114</v>
      </c>
      <c r="I921" t="s">
        <v>318</v>
      </c>
      <c r="J921">
        <v>917</v>
      </c>
      <c r="K921">
        <v>7</v>
      </c>
      <c r="L921" t="s">
        <v>68</v>
      </c>
      <c r="M921">
        <v>57</v>
      </c>
      <c r="N921">
        <v>32.6</v>
      </c>
      <c r="O921">
        <v>63.4</v>
      </c>
      <c r="P921">
        <v>4.1500000000000004</v>
      </c>
      <c r="Q921">
        <v>5.0199999999999996</v>
      </c>
      <c r="R921" t="s">
        <v>125</v>
      </c>
      <c r="S921" t="s">
        <v>39</v>
      </c>
      <c r="T921" t="s">
        <v>30</v>
      </c>
    </row>
    <row r="922" spans="1:20" x14ac:dyDescent="0.3">
      <c r="A922">
        <v>11319</v>
      </c>
      <c r="B922" s="2">
        <v>45725</v>
      </c>
      <c r="C922" t="s">
        <v>20</v>
      </c>
      <c r="D922" t="s">
        <v>32</v>
      </c>
      <c r="E922" t="s">
        <v>33</v>
      </c>
      <c r="F922" t="s">
        <v>81</v>
      </c>
      <c r="G922" t="s">
        <v>34</v>
      </c>
      <c r="H922" t="s">
        <v>66</v>
      </c>
      <c r="I922" t="s">
        <v>121</v>
      </c>
      <c r="J922">
        <v>772</v>
      </c>
      <c r="K922">
        <v>15</v>
      </c>
      <c r="L922" t="s">
        <v>27</v>
      </c>
      <c r="M922">
        <v>119</v>
      </c>
      <c r="N922">
        <v>41.3</v>
      </c>
      <c r="O922">
        <v>82.7</v>
      </c>
      <c r="P922">
        <v>5.9</v>
      </c>
      <c r="Q922">
        <v>3.61</v>
      </c>
      <c r="R922" t="s">
        <v>240</v>
      </c>
      <c r="S922" t="s">
        <v>29</v>
      </c>
      <c r="T922" t="s">
        <v>30</v>
      </c>
    </row>
    <row r="923" spans="1:20" x14ac:dyDescent="0.3">
      <c r="A923">
        <v>11358</v>
      </c>
      <c r="B923" s="2">
        <v>45882</v>
      </c>
      <c r="C923" t="s">
        <v>49</v>
      </c>
      <c r="D923" t="s">
        <v>32</v>
      </c>
      <c r="E923" t="s">
        <v>33</v>
      </c>
      <c r="F923" t="s">
        <v>23</v>
      </c>
      <c r="G923" t="s">
        <v>54</v>
      </c>
      <c r="H923" t="s">
        <v>180</v>
      </c>
      <c r="I923" t="s">
        <v>241</v>
      </c>
      <c r="J923">
        <v>778</v>
      </c>
      <c r="K923">
        <v>4</v>
      </c>
      <c r="L923" t="s">
        <v>71</v>
      </c>
      <c r="M923">
        <v>153</v>
      </c>
      <c r="N923">
        <v>40.6</v>
      </c>
      <c r="O923">
        <v>85.7</v>
      </c>
      <c r="P923">
        <v>4.51</v>
      </c>
      <c r="Q923">
        <v>3.07</v>
      </c>
      <c r="R923" t="s">
        <v>130</v>
      </c>
      <c r="S923" t="s">
        <v>39</v>
      </c>
      <c r="T923" t="s">
        <v>30</v>
      </c>
    </row>
    <row r="924" spans="1:20" x14ac:dyDescent="0.3">
      <c r="A924">
        <v>10965</v>
      </c>
      <c r="B924" s="2">
        <v>45793</v>
      </c>
      <c r="C924" t="s">
        <v>20</v>
      </c>
      <c r="D924" t="s">
        <v>59</v>
      </c>
      <c r="E924" t="s">
        <v>33</v>
      </c>
      <c r="F924" t="s">
        <v>23</v>
      </c>
      <c r="G924" t="s">
        <v>95</v>
      </c>
      <c r="H924" t="s">
        <v>180</v>
      </c>
      <c r="I924" t="s">
        <v>365</v>
      </c>
      <c r="J924">
        <v>603</v>
      </c>
      <c r="K924">
        <v>12</v>
      </c>
      <c r="L924" t="s">
        <v>71</v>
      </c>
      <c r="M924">
        <v>127</v>
      </c>
      <c r="N924">
        <v>34.799999999999997</v>
      </c>
      <c r="O924">
        <v>63.6</v>
      </c>
      <c r="P924">
        <v>5.01</v>
      </c>
      <c r="Q924">
        <v>1.76</v>
      </c>
      <c r="R924" t="s">
        <v>216</v>
      </c>
      <c r="S924" t="s">
        <v>29</v>
      </c>
      <c r="T924" t="s">
        <v>30</v>
      </c>
    </row>
    <row r="925" spans="1:20" x14ac:dyDescent="0.3">
      <c r="A925">
        <v>10173</v>
      </c>
      <c r="B925" s="2">
        <v>45677</v>
      </c>
      <c r="C925" t="s">
        <v>156</v>
      </c>
      <c r="D925" t="s">
        <v>64</v>
      </c>
      <c r="E925" t="s">
        <v>33</v>
      </c>
      <c r="F925" t="s">
        <v>41</v>
      </c>
      <c r="G925" t="s">
        <v>95</v>
      </c>
      <c r="H925" t="s">
        <v>278</v>
      </c>
      <c r="I925" t="s">
        <v>236</v>
      </c>
      <c r="J925">
        <v>615</v>
      </c>
      <c r="K925">
        <v>9</v>
      </c>
      <c r="L925" t="s">
        <v>57</v>
      </c>
      <c r="M925">
        <v>70</v>
      </c>
      <c r="N925">
        <v>50.3</v>
      </c>
      <c r="O925">
        <v>80.099999999999994</v>
      </c>
      <c r="Q925">
        <v>3.82</v>
      </c>
      <c r="R925" t="s">
        <v>77</v>
      </c>
      <c r="S925" t="s">
        <v>39</v>
      </c>
      <c r="T925" t="s">
        <v>30</v>
      </c>
    </row>
    <row r="926" spans="1:20" x14ac:dyDescent="0.3">
      <c r="A926">
        <v>10451</v>
      </c>
      <c r="B926" s="2">
        <v>45906</v>
      </c>
      <c r="C926" t="s">
        <v>31</v>
      </c>
      <c r="D926" t="s">
        <v>21</v>
      </c>
      <c r="E926" t="s">
        <v>107</v>
      </c>
      <c r="F926" t="s">
        <v>41</v>
      </c>
      <c r="G926" t="s">
        <v>42</v>
      </c>
      <c r="H926" t="s">
        <v>180</v>
      </c>
      <c r="I926" t="s">
        <v>97</v>
      </c>
      <c r="J926">
        <v>947</v>
      </c>
      <c r="K926">
        <v>3</v>
      </c>
      <c r="L926" t="s">
        <v>37</v>
      </c>
      <c r="M926">
        <v>159</v>
      </c>
      <c r="N926" t="s">
        <v>396</v>
      </c>
      <c r="O926">
        <v>68.7</v>
      </c>
      <c r="P926">
        <v>4.9400000000000004</v>
      </c>
      <c r="Q926">
        <v>4.0199999999999996</v>
      </c>
      <c r="R926" t="s">
        <v>133</v>
      </c>
      <c r="S926" t="s">
        <v>29</v>
      </c>
      <c r="T926" t="s">
        <v>30</v>
      </c>
    </row>
    <row r="927" spans="1:20" x14ac:dyDescent="0.3">
      <c r="A927">
        <v>10126</v>
      </c>
      <c r="B927" s="2">
        <v>45922</v>
      </c>
      <c r="C927" t="s">
        <v>20</v>
      </c>
      <c r="D927" t="s">
        <v>21</v>
      </c>
      <c r="E927" t="s">
        <v>107</v>
      </c>
      <c r="F927" t="s">
        <v>23</v>
      </c>
      <c r="G927" t="s">
        <v>113</v>
      </c>
      <c r="H927" t="s">
        <v>61</v>
      </c>
      <c r="I927" t="s">
        <v>204</v>
      </c>
      <c r="J927">
        <v>1461</v>
      </c>
      <c r="K927">
        <v>5</v>
      </c>
      <c r="L927" t="s">
        <v>57</v>
      </c>
      <c r="M927">
        <v>82</v>
      </c>
      <c r="N927">
        <v>48.7</v>
      </c>
      <c r="O927">
        <v>85.7</v>
      </c>
      <c r="P927">
        <v>5.12</v>
      </c>
      <c r="Q927">
        <v>2.61</v>
      </c>
      <c r="R927" t="s">
        <v>240</v>
      </c>
      <c r="S927" t="s">
        <v>47</v>
      </c>
      <c r="T927" t="s">
        <v>30</v>
      </c>
    </row>
    <row r="928" spans="1:20" x14ac:dyDescent="0.3">
      <c r="A928">
        <v>11132</v>
      </c>
      <c r="B928" s="2">
        <v>45739</v>
      </c>
      <c r="C928" t="s">
        <v>49</v>
      </c>
      <c r="D928" t="s">
        <v>32</v>
      </c>
      <c r="E928" t="s">
        <v>40</v>
      </c>
      <c r="F928" t="s">
        <v>23</v>
      </c>
      <c r="G928" t="s">
        <v>95</v>
      </c>
      <c r="H928" t="s">
        <v>172</v>
      </c>
      <c r="I928" t="s">
        <v>237</v>
      </c>
      <c r="J928">
        <v>1414</v>
      </c>
      <c r="K928">
        <v>17</v>
      </c>
      <c r="L928" t="s">
        <v>57</v>
      </c>
      <c r="M928">
        <v>157</v>
      </c>
      <c r="N928">
        <v>37.700000000000003</v>
      </c>
      <c r="O928">
        <v>60.9</v>
      </c>
      <c r="P928">
        <v>6.35</v>
      </c>
      <c r="Q928">
        <v>1.73</v>
      </c>
      <c r="R928" t="s">
        <v>80</v>
      </c>
      <c r="S928" t="s">
        <v>47</v>
      </c>
      <c r="T928" t="s">
        <v>30</v>
      </c>
    </row>
    <row r="929" spans="1:20" x14ac:dyDescent="0.3">
      <c r="A929">
        <v>10531</v>
      </c>
      <c r="B929" s="2">
        <v>45673</v>
      </c>
      <c r="C929" t="s">
        <v>31</v>
      </c>
      <c r="D929" t="s">
        <v>21</v>
      </c>
      <c r="E929" t="s">
        <v>107</v>
      </c>
      <c r="F929" t="s">
        <v>23</v>
      </c>
      <c r="G929" t="s">
        <v>60</v>
      </c>
      <c r="H929" t="s">
        <v>200</v>
      </c>
      <c r="I929" t="s">
        <v>97</v>
      </c>
      <c r="J929">
        <v>1203</v>
      </c>
      <c r="K929">
        <v>7</v>
      </c>
      <c r="L929" t="s">
        <v>57</v>
      </c>
      <c r="M929">
        <v>25</v>
      </c>
      <c r="N929">
        <v>43.6</v>
      </c>
      <c r="O929">
        <v>67.400000000000006</v>
      </c>
      <c r="P929">
        <v>3.61</v>
      </c>
      <c r="Q929">
        <v>0.69</v>
      </c>
      <c r="R929" t="s">
        <v>103</v>
      </c>
      <c r="S929" t="s">
        <v>47</v>
      </c>
      <c r="T929" t="s">
        <v>30</v>
      </c>
    </row>
    <row r="930" spans="1:20" x14ac:dyDescent="0.3">
      <c r="A930">
        <v>10858</v>
      </c>
      <c r="B930" s="2">
        <v>45837</v>
      </c>
      <c r="C930" t="s">
        <v>49</v>
      </c>
      <c r="D930" t="s">
        <v>64</v>
      </c>
      <c r="E930" t="s">
        <v>22</v>
      </c>
      <c r="F930" t="s">
        <v>23</v>
      </c>
      <c r="G930" t="s">
        <v>113</v>
      </c>
      <c r="H930" t="s">
        <v>200</v>
      </c>
      <c r="I930" t="s">
        <v>260</v>
      </c>
      <c r="J930">
        <v>887</v>
      </c>
      <c r="K930">
        <v>29</v>
      </c>
      <c r="L930" t="s">
        <v>27</v>
      </c>
      <c r="M930">
        <v>104</v>
      </c>
      <c r="N930">
        <v>38</v>
      </c>
      <c r="O930">
        <v>61.4</v>
      </c>
      <c r="P930">
        <v>4.72</v>
      </c>
      <c r="Q930">
        <v>3.04</v>
      </c>
      <c r="R930" t="s">
        <v>167</v>
      </c>
      <c r="S930" t="s">
        <v>47</v>
      </c>
      <c r="T930" t="s">
        <v>48</v>
      </c>
    </row>
    <row r="931" spans="1:20" x14ac:dyDescent="0.3">
      <c r="A931">
        <v>10714</v>
      </c>
      <c r="B931" s="2">
        <v>46019</v>
      </c>
      <c r="C931" t="s">
        <v>49</v>
      </c>
      <c r="D931" t="s">
        <v>64</v>
      </c>
      <c r="E931" t="s">
        <v>40</v>
      </c>
      <c r="F931" t="s">
        <v>23</v>
      </c>
      <c r="G931" t="s">
        <v>89</v>
      </c>
      <c r="H931" t="s">
        <v>169</v>
      </c>
      <c r="I931" t="s">
        <v>206</v>
      </c>
      <c r="J931">
        <v>1020</v>
      </c>
      <c r="K931">
        <v>10</v>
      </c>
      <c r="L931" t="s">
        <v>27</v>
      </c>
      <c r="M931">
        <v>132</v>
      </c>
      <c r="N931">
        <v>42.6</v>
      </c>
      <c r="O931">
        <v>66.599999999999994</v>
      </c>
      <c r="P931">
        <v>5.42</v>
      </c>
      <c r="Q931">
        <v>3.42</v>
      </c>
      <c r="R931" t="s">
        <v>46</v>
      </c>
      <c r="S931" t="s">
        <v>73</v>
      </c>
      <c r="T931" t="s">
        <v>30</v>
      </c>
    </row>
    <row r="932" spans="1:20" x14ac:dyDescent="0.3">
      <c r="A932">
        <v>10091</v>
      </c>
      <c r="B932" s="2">
        <v>45715</v>
      </c>
      <c r="C932" t="s">
        <v>31</v>
      </c>
      <c r="D932" t="s">
        <v>59</v>
      </c>
      <c r="E932" t="s">
        <v>33</v>
      </c>
      <c r="F932" t="s">
        <v>23</v>
      </c>
      <c r="G932" t="s">
        <v>54</v>
      </c>
      <c r="H932" t="s">
        <v>252</v>
      </c>
      <c r="I932" t="s">
        <v>239</v>
      </c>
      <c r="J932">
        <v>609</v>
      </c>
      <c r="K932">
        <v>5</v>
      </c>
      <c r="L932" t="s">
        <v>27</v>
      </c>
      <c r="M932">
        <v>39</v>
      </c>
      <c r="N932">
        <v>40.200000000000003</v>
      </c>
      <c r="O932">
        <v>85.8</v>
      </c>
      <c r="Q932">
        <v>2.0499999999999998</v>
      </c>
      <c r="R932" t="s">
        <v>77</v>
      </c>
      <c r="S932" t="s">
        <v>73</v>
      </c>
      <c r="T932" t="s">
        <v>30</v>
      </c>
    </row>
    <row r="933" spans="1:20" x14ac:dyDescent="0.3">
      <c r="A933">
        <v>11463</v>
      </c>
      <c r="B933" s="2">
        <v>45759</v>
      </c>
      <c r="C933" t="s">
        <v>20</v>
      </c>
      <c r="D933" t="s">
        <v>59</v>
      </c>
      <c r="E933" t="s">
        <v>33</v>
      </c>
      <c r="F933" t="s">
        <v>41</v>
      </c>
      <c r="G933" t="s">
        <v>113</v>
      </c>
      <c r="H933" t="s">
        <v>175</v>
      </c>
      <c r="I933" t="s">
        <v>332</v>
      </c>
      <c r="J933">
        <v>865</v>
      </c>
      <c r="K933">
        <v>13</v>
      </c>
      <c r="L933" t="s">
        <v>27</v>
      </c>
      <c r="M933">
        <v>5</v>
      </c>
      <c r="N933">
        <v>26.8</v>
      </c>
      <c r="O933">
        <v>77.099999999999994</v>
      </c>
      <c r="P933">
        <v>5.56</v>
      </c>
      <c r="Q933">
        <v>2.08</v>
      </c>
      <c r="R933" t="s">
        <v>63</v>
      </c>
      <c r="S933" t="s">
        <v>73</v>
      </c>
      <c r="T933" t="s">
        <v>30</v>
      </c>
    </row>
    <row r="934" spans="1:20" x14ac:dyDescent="0.3">
      <c r="A934">
        <v>10182</v>
      </c>
      <c r="B934" s="2">
        <v>45791</v>
      </c>
      <c r="C934" t="s">
        <v>49</v>
      </c>
      <c r="D934" t="s">
        <v>59</v>
      </c>
      <c r="E934" t="s">
        <v>33</v>
      </c>
      <c r="F934" t="s">
        <v>108</v>
      </c>
      <c r="G934" t="s">
        <v>89</v>
      </c>
      <c r="H934" t="s">
        <v>69</v>
      </c>
      <c r="I934" t="s">
        <v>238</v>
      </c>
      <c r="J934">
        <v>1102</v>
      </c>
      <c r="K934">
        <v>13</v>
      </c>
      <c r="L934" t="s">
        <v>27</v>
      </c>
      <c r="M934">
        <v>174</v>
      </c>
      <c r="N934">
        <v>49.8</v>
      </c>
      <c r="O934">
        <v>86.7</v>
      </c>
      <c r="P934">
        <v>5</v>
      </c>
      <c r="Q934">
        <v>2.4300000000000002</v>
      </c>
      <c r="R934" t="s">
        <v>280</v>
      </c>
      <c r="T934" t="s">
        <v>30</v>
      </c>
    </row>
    <row r="935" spans="1:20" x14ac:dyDescent="0.3">
      <c r="A935">
        <v>10876</v>
      </c>
      <c r="B935" s="2">
        <v>45659</v>
      </c>
      <c r="C935" t="s">
        <v>49</v>
      </c>
      <c r="D935" t="s">
        <v>59</v>
      </c>
      <c r="E935" t="s">
        <v>40</v>
      </c>
      <c r="F935" t="s">
        <v>81</v>
      </c>
      <c r="G935" t="s">
        <v>60</v>
      </c>
      <c r="H935" t="s">
        <v>144</v>
      </c>
      <c r="I935" t="s">
        <v>355</v>
      </c>
      <c r="J935">
        <v>1091</v>
      </c>
      <c r="K935">
        <v>8</v>
      </c>
      <c r="L935" t="s">
        <v>71</v>
      </c>
      <c r="M935">
        <v>180</v>
      </c>
      <c r="N935">
        <v>36.1</v>
      </c>
      <c r="O935">
        <v>66.599999999999994</v>
      </c>
      <c r="P935">
        <v>5.75</v>
      </c>
      <c r="Q935">
        <v>3.95</v>
      </c>
      <c r="R935" t="s">
        <v>195</v>
      </c>
      <c r="S935" t="s">
        <v>39</v>
      </c>
      <c r="T935" t="s">
        <v>30</v>
      </c>
    </row>
    <row r="936" spans="1:20" x14ac:dyDescent="0.3">
      <c r="A936">
        <v>11214</v>
      </c>
      <c r="B936" s="2">
        <v>45971</v>
      </c>
      <c r="C936" t="s">
        <v>360</v>
      </c>
      <c r="D936" t="s">
        <v>64</v>
      </c>
      <c r="E936" t="s">
        <v>22</v>
      </c>
      <c r="F936" t="s">
        <v>81</v>
      </c>
      <c r="G936" t="s">
        <v>54</v>
      </c>
      <c r="H936" t="s">
        <v>263</v>
      </c>
      <c r="I936" t="s">
        <v>246</v>
      </c>
      <c r="J936">
        <v>515</v>
      </c>
      <c r="K936">
        <v>12</v>
      </c>
      <c r="L936" t="s">
        <v>45</v>
      </c>
      <c r="M936">
        <v>51</v>
      </c>
      <c r="N936">
        <v>33.6</v>
      </c>
      <c r="O936">
        <v>72.599999999999994</v>
      </c>
      <c r="P936">
        <v>5.8</v>
      </c>
      <c r="Q936">
        <v>4.09</v>
      </c>
      <c r="R936" t="s">
        <v>28</v>
      </c>
      <c r="S936" t="s">
        <v>73</v>
      </c>
      <c r="T936" t="s">
        <v>30</v>
      </c>
    </row>
    <row r="937" spans="1:20" x14ac:dyDescent="0.3">
      <c r="A937">
        <v>10787</v>
      </c>
      <c r="B937" s="2">
        <v>45858</v>
      </c>
      <c r="C937" t="s">
        <v>20</v>
      </c>
      <c r="D937" t="s">
        <v>32</v>
      </c>
      <c r="E937" t="s">
        <v>33</v>
      </c>
      <c r="F937" t="s">
        <v>41</v>
      </c>
      <c r="G937" t="s">
        <v>109</v>
      </c>
      <c r="H937" t="s">
        <v>175</v>
      </c>
      <c r="I937" t="s">
        <v>76</v>
      </c>
      <c r="J937">
        <v>902</v>
      </c>
      <c r="K937">
        <v>11</v>
      </c>
      <c r="L937" t="s">
        <v>57</v>
      </c>
      <c r="M937">
        <v>174</v>
      </c>
      <c r="N937">
        <v>44.6</v>
      </c>
      <c r="O937">
        <v>63.7</v>
      </c>
      <c r="P937">
        <v>4.7300000000000004</v>
      </c>
      <c r="Q937">
        <v>2.5499999999999998</v>
      </c>
      <c r="R937" t="s">
        <v>164</v>
      </c>
      <c r="S937" t="s">
        <v>73</v>
      </c>
      <c r="T937" t="s">
        <v>30</v>
      </c>
    </row>
    <row r="938" spans="1:20" x14ac:dyDescent="0.3">
      <c r="A938">
        <v>10415</v>
      </c>
      <c r="B938" s="2">
        <v>45846</v>
      </c>
      <c r="C938" t="s">
        <v>31</v>
      </c>
      <c r="D938" t="s">
        <v>59</v>
      </c>
      <c r="E938" t="s">
        <v>33</v>
      </c>
      <c r="F938" t="s">
        <v>41</v>
      </c>
      <c r="G938" t="s">
        <v>113</v>
      </c>
      <c r="H938" t="s">
        <v>43</v>
      </c>
      <c r="I938" t="s">
        <v>364</v>
      </c>
      <c r="J938">
        <v>1317</v>
      </c>
      <c r="K938">
        <v>9</v>
      </c>
      <c r="L938" t="s">
        <v>45</v>
      </c>
      <c r="M938">
        <v>85</v>
      </c>
      <c r="N938">
        <v>42.4</v>
      </c>
      <c r="O938">
        <v>65.400000000000006</v>
      </c>
      <c r="P938">
        <v>6.45</v>
      </c>
      <c r="Q938">
        <v>0.92</v>
      </c>
      <c r="R938" t="s">
        <v>53</v>
      </c>
      <c r="S938" t="s">
        <v>39</v>
      </c>
      <c r="T938" t="s">
        <v>30</v>
      </c>
    </row>
    <row r="939" spans="1:20" x14ac:dyDescent="0.3">
      <c r="A939">
        <v>10252</v>
      </c>
      <c r="B939" s="2">
        <v>46005</v>
      </c>
      <c r="C939" t="s">
        <v>31</v>
      </c>
      <c r="D939" t="s">
        <v>64</v>
      </c>
      <c r="E939" t="s">
        <v>40</v>
      </c>
      <c r="F939" t="s">
        <v>41</v>
      </c>
      <c r="G939" t="s">
        <v>34</v>
      </c>
      <c r="H939" t="s">
        <v>35</v>
      </c>
      <c r="I939" t="s">
        <v>307</v>
      </c>
      <c r="J939">
        <v>1336</v>
      </c>
      <c r="K939">
        <v>21</v>
      </c>
      <c r="L939" t="s">
        <v>68</v>
      </c>
      <c r="M939">
        <v>158</v>
      </c>
      <c r="N939">
        <v>44.1</v>
      </c>
      <c r="O939">
        <v>78.3</v>
      </c>
      <c r="P939">
        <v>6.77</v>
      </c>
      <c r="Q939">
        <v>2.2999999999999998</v>
      </c>
      <c r="R939" t="s">
        <v>174</v>
      </c>
      <c r="S939" t="s">
        <v>47</v>
      </c>
      <c r="T939" t="s">
        <v>30</v>
      </c>
    </row>
    <row r="940" spans="1:20" x14ac:dyDescent="0.3">
      <c r="A940">
        <v>10070</v>
      </c>
      <c r="B940" s="2">
        <v>45665</v>
      </c>
      <c r="C940" t="s">
        <v>31</v>
      </c>
      <c r="D940" t="s">
        <v>32</v>
      </c>
      <c r="E940" t="s">
        <v>33</v>
      </c>
      <c r="F940" t="s">
        <v>41</v>
      </c>
      <c r="G940" t="s">
        <v>50</v>
      </c>
      <c r="H940" t="s">
        <v>263</v>
      </c>
      <c r="I940" t="s">
        <v>187</v>
      </c>
      <c r="J940">
        <v>941</v>
      </c>
      <c r="K940">
        <v>37</v>
      </c>
      <c r="L940" t="s">
        <v>27</v>
      </c>
      <c r="M940">
        <v>176</v>
      </c>
      <c r="N940">
        <v>50.7</v>
      </c>
      <c r="O940">
        <v>75.900000000000006</v>
      </c>
      <c r="P940">
        <v>4.38</v>
      </c>
      <c r="Q940">
        <v>2.75</v>
      </c>
      <c r="R940" t="s">
        <v>245</v>
      </c>
      <c r="S940" t="s">
        <v>29</v>
      </c>
      <c r="T940" t="s">
        <v>48</v>
      </c>
    </row>
    <row r="941" spans="1:20" x14ac:dyDescent="0.3">
      <c r="A941">
        <v>10804</v>
      </c>
      <c r="B941" s="2">
        <v>45840</v>
      </c>
      <c r="C941" t="s">
        <v>199</v>
      </c>
      <c r="D941" t="s">
        <v>64</v>
      </c>
      <c r="E941" t="s">
        <v>107</v>
      </c>
      <c r="F941" t="s">
        <v>23</v>
      </c>
      <c r="G941" t="s">
        <v>60</v>
      </c>
      <c r="H941" t="s">
        <v>141</v>
      </c>
      <c r="I941" t="s">
        <v>349</v>
      </c>
      <c r="J941">
        <v>534</v>
      </c>
      <c r="K941">
        <v>14</v>
      </c>
      <c r="M941">
        <v>116</v>
      </c>
      <c r="N941">
        <v>39.700000000000003</v>
      </c>
      <c r="O941">
        <v>69.7</v>
      </c>
      <c r="P941">
        <v>4.17</v>
      </c>
      <c r="Q941">
        <v>2.46</v>
      </c>
      <c r="R941" t="s">
        <v>77</v>
      </c>
      <c r="S941" t="s">
        <v>47</v>
      </c>
      <c r="T941" t="s">
        <v>30</v>
      </c>
    </row>
    <row r="942" spans="1:20" x14ac:dyDescent="0.3">
      <c r="A942">
        <v>10132</v>
      </c>
      <c r="B942" s="2">
        <v>45784</v>
      </c>
      <c r="C942" t="s">
        <v>49</v>
      </c>
      <c r="D942" t="s">
        <v>64</v>
      </c>
      <c r="E942" t="s">
        <v>40</v>
      </c>
      <c r="F942" t="s">
        <v>108</v>
      </c>
      <c r="G942" t="s">
        <v>134</v>
      </c>
      <c r="H942" t="s">
        <v>278</v>
      </c>
      <c r="I942" t="s">
        <v>322</v>
      </c>
      <c r="J942">
        <v>1176</v>
      </c>
      <c r="K942">
        <v>3</v>
      </c>
      <c r="L942" t="s">
        <v>45</v>
      </c>
      <c r="M942">
        <v>80</v>
      </c>
      <c r="N942">
        <v>40.4</v>
      </c>
      <c r="O942">
        <v>66.8</v>
      </c>
      <c r="P942">
        <v>5.33</v>
      </c>
      <c r="Q942">
        <v>3.29</v>
      </c>
      <c r="R942" t="s">
        <v>232</v>
      </c>
      <c r="S942" t="s">
        <v>29</v>
      </c>
      <c r="T942" t="s">
        <v>30</v>
      </c>
    </row>
    <row r="943" spans="1:20" x14ac:dyDescent="0.3">
      <c r="A943">
        <v>10301</v>
      </c>
      <c r="B943" s="2">
        <v>45676</v>
      </c>
      <c r="C943" t="s">
        <v>20</v>
      </c>
      <c r="D943" t="s">
        <v>64</v>
      </c>
      <c r="E943" t="s">
        <v>40</v>
      </c>
      <c r="F943" t="s">
        <v>81</v>
      </c>
      <c r="G943" t="s">
        <v>74</v>
      </c>
      <c r="H943" t="s">
        <v>116</v>
      </c>
      <c r="I943" t="s">
        <v>375</v>
      </c>
      <c r="J943">
        <v>764</v>
      </c>
      <c r="K943">
        <v>7</v>
      </c>
      <c r="L943" t="s">
        <v>68</v>
      </c>
      <c r="M943">
        <v>43</v>
      </c>
      <c r="N943">
        <v>33.799999999999997</v>
      </c>
      <c r="P943">
        <v>7.21</v>
      </c>
      <c r="Q943">
        <v>2.76</v>
      </c>
      <c r="R943" t="s">
        <v>53</v>
      </c>
      <c r="T943" t="s">
        <v>30</v>
      </c>
    </row>
    <row r="944" spans="1:20" x14ac:dyDescent="0.3">
      <c r="A944">
        <v>11032</v>
      </c>
      <c r="B944" s="2">
        <v>46022</v>
      </c>
      <c r="C944" t="s">
        <v>20</v>
      </c>
      <c r="D944" t="s">
        <v>64</v>
      </c>
      <c r="E944" t="s">
        <v>22</v>
      </c>
      <c r="F944" t="s">
        <v>81</v>
      </c>
      <c r="G944" t="s">
        <v>24</v>
      </c>
      <c r="H944" t="s">
        <v>85</v>
      </c>
      <c r="I944" t="s">
        <v>310</v>
      </c>
      <c r="J944">
        <v>1210</v>
      </c>
      <c r="K944">
        <v>4</v>
      </c>
      <c r="L944" t="s">
        <v>45</v>
      </c>
      <c r="M944">
        <v>82</v>
      </c>
      <c r="N944">
        <v>45.1</v>
      </c>
      <c r="O944">
        <v>80</v>
      </c>
      <c r="P944">
        <v>5.92</v>
      </c>
      <c r="Q944">
        <v>4.34</v>
      </c>
      <c r="R944" t="s">
        <v>133</v>
      </c>
      <c r="S944" t="s">
        <v>73</v>
      </c>
      <c r="T944" t="s">
        <v>30</v>
      </c>
    </row>
    <row r="945" spans="1:20" x14ac:dyDescent="0.3">
      <c r="A945">
        <v>10327</v>
      </c>
      <c r="B945" s="2">
        <v>45689</v>
      </c>
      <c r="C945" t="s">
        <v>20</v>
      </c>
      <c r="D945" t="s">
        <v>59</v>
      </c>
      <c r="E945" t="s">
        <v>40</v>
      </c>
      <c r="F945" t="s">
        <v>23</v>
      </c>
      <c r="G945" t="s">
        <v>54</v>
      </c>
      <c r="H945" t="s">
        <v>148</v>
      </c>
      <c r="I945" t="s">
        <v>124</v>
      </c>
      <c r="J945">
        <v>1261</v>
      </c>
      <c r="K945">
        <v>15</v>
      </c>
      <c r="L945" t="s">
        <v>37</v>
      </c>
      <c r="M945">
        <v>34</v>
      </c>
      <c r="N945">
        <v>40.6</v>
      </c>
      <c r="O945">
        <v>65.5</v>
      </c>
      <c r="P945">
        <v>5.58</v>
      </c>
      <c r="Q945">
        <v>0.11</v>
      </c>
      <c r="R945" t="s">
        <v>186</v>
      </c>
      <c r="S945" t="s">
        <v>73</v>
      </c>
      <c r="T945" t="s">
        <v>30</v>
      </c>
    </row>
    <row r="946" spans="1:20" x14ac:dyDescent="0.3">
      <c r="A946">
        <v>11477</v>
      </c>
      <c r="B946" s="2">
        <v>45823</v>
      </c>
      <c r="C946" t="s">
        <v>31</v>
      </c>
      <c r="D946" t="s">
        <v>64</v>
      </c>
      <c r="E946" t="s">
        <v>33</v>
      </c>
      <c r="F946" t="s">
        <v>23</v>
      </c>
      <c r="G946" t="s">
        <v>113</v>
      </c>
      <c r="H946" t="s">
        <v>190</v>
      </c>
      <c r="I946" t="s">
        <v>204</v>
      </c>
      <c r="J946">
        <v>647</v>
      </c>
      <c r="K946">
        <v>16</v>
      </c>
      <c r="L946" t="s">
        <v>27</v>
      </c>
      <c r="M946">
        <v>142</v>
      </c>
      <c r="N946">
        <v>43</v>
      </c>
      <c r="O946">
        <v>57.2</v>
      </c>
      <c r="P946">
        <v>4.3600000000000003</v>
      </c>
      <c r="Q946">
        <v>3.43</v>
      </c>
      <c r="R946" t="s">
        <v>28</v>
      </c>
      <c r="S946" t="s">
        <v>39</v>
      </c>
      <c r="T946" t="s">
        <v>30</v>
      </c>
    </row>
    <row r="947" spans="1:20" x14ac:dyDescent="0.3">
      <c r="A947">
        <v>11122</v>
      </c>
      <c r="B947" s="2">
        <v>45783</v>
      </c>
      <c r="C947" t="s">
        <v>31</v>
      </c>
      <c r="D947" t="s">
        <v>21</v>
      </c>
      <c r="E947" t="s">
        <v>33</v>
      </c>
      <c r="F947" t="s">
        <v>81</v>
      </c>
      <c r="G947" t="s">
        <v>134</v>
      </c>
      <c r="H947" t="s">
        <v>141</v>
      </c>
      <c r="I947" t="s">
        <v>275</v>
      </c>
      <c r="J947">
        <v>1227</v>
      </c>
      <c r="K947">
        <v>4</v>
      </c>
      <c r="L947" t="s">
        <v>68</v>
      </c>
      <c r="M947">
        <v>53</v>
      </c>
      <c r="N947">
        <v>39.799999999999997</v>
      </c>
      <c r="O947">
        <v>70.5</v>
      </c>
      <c r="P947">
        <v>5.97</v>
      </c>
      <c r="Q947">
        <v>2.64</v>
      </c>
      <c r="R947" t="s">
        <v>133</v>
      </c>
      <c r="S947" t="s">
        <v>29</v>
      </c>
      <c r="T947" t="s">
        <v>30</v>
      </c>
    </row>
    <row r="948" spans="1:20" x14ac:dyDescent="0.3">
      <c r="A948">
        <v>10500</v>
      </c>
      <c r="B948" s="2">
        <v>45818</v>
      </c>
      <c r="C948" t="s">
        <v>31</v>
      </c>
      <c r="D948" t="s">
        <v>64</v>
      </c>
      <c r="E948" t="s">
        <v>40</v>
      </c>
      <c r="F948" t="s">
        <v>98</v>
      </c>
      <c r="G948" t="s">
        <v>42</v>
      </c>
      <c r="H948" t="s">
        <v>196</v>
      </c>
      <c r="I948" t="s">
        <v>115</v>
      </c>
      <c r="J948">
        <v>1017</v>
      </c>
      <c r="K948">
        <v>9</v>
      </c>
      <c r="L948" t="s">
        <v>57</v>
      </c>
      <c r="M948">
        <v>136</v>
      </c>
      <c r="N948">
        <v>46.1</v>
      </c>
      <c r="O948">
        <v>83.4</v>
      </c>
      <c r="P948">
        <v>6.37</v>
      </c>
      <c r="Q948">
        <v>4.2699999999999996</v>
      </c>
      <c r="R948" t="s">
        <v>152</v>
      </c>
      <c r="T948" t="s">
        <v>30</v>
      </c>
    </row>
    <row r="949" spans="1:20" x14ac:dyDescent="0.3">
      <c r="A949">
        <v>10342</v>
      </c>
      <c r="B949" s="2">
        <v>45895</v>
      </c>
      <c r="C949" t="s">
        <v>20</v>
      </c>
      <c r="D949" t="s">
        <v>32</v>
      </c>
      <c r="E949" t="s">
        <v>107</v>
      </c>
      <c r="F949" t="s">
        <v>23</v>
      </c>
      <c r="G949" t="s">
        <v>89</v>
      </c>
      <c r="H949" t="s">
        <v>177</v>
      </c>
      <c r="I949" t="s">
        <v>254</v>
      </c>
      <c r="J949">
        <v>1237</v>
      </c>
      <c r="K949">
        <v>43</v>
      </c>
      <c r="L949" t="s">
        <v>57</v>
      </c>
      <c r="M949">
        <v>21</v>
      </c>
      <c r="N949">
        <v>46.4</v>
      </c>
      <c r="O949">
        <v>91.1</v>
      </c>
      <c r="P949">
        <v>5.51</v>
      </c>
      <c r="Q949">
        <v>2.85</v>
      </c>
      <c r="R949" t="s">
        <v>119</v>
      </c>
      <c r="S949" t="s">
        <v>73</v>
      </c>
      <c r="T949" t="s">
        <v>48</v>
      </c>
    </row>
    <row r="950" spans="1:20" x14ac:dyDescent="0.3">
      <c r="A950">
        <v>10833</v>
      </c>
      <c r="B950" s="2">
        <v>45698</v>
      </c>
      <c r="C950" t="s">
        <v>49</v>
      </c>
      <c r="D950" t="s">
        <v>32</v>
      </c>
      <c r="E950" t="s">
        <v>33</v>
      </c>
      <c r="F950" t="s">
        <v>41</v>
      </c>
      <c r="G950" t="s">
        <v>109</v>
      </c>
      <c r="H950" t="s">
        <v>82</v>
      </c>
      <c r="I950" t="s">
        <v>139</v>
      </c>
      <c r="J950">
        <v>644</v>
      </c>
      <c r="K950">
        <v>16</v>
      </c>
      <c r="L950" t="s">
        <v>37</v>
      </c>
      <c r="M950">
        <v>96</v>
      </c>
      <c r="N950">
        <v>38.6</v>
      </c>
      <c r="O950">
        <v>78.2</v>
      </c>
      <c r="P950">
        <v>4.3899999999999997</v>
      </c>
      <c r="Q950">
        <v>3.02</v>
      </c>
      <c r="R950" t="s">
        <v>167</v>
      </c>
      <c r="S950" t="s">
        <v>29</v>
      </c>
      <c r="T950" t="s">
        <v>30</v>
      </c>
    </row>
    <row r="951" spans="1:20" x14ac:dyDescent="0.3">
      <c r="A951">
        <v>10365</v>
      </c>
      <c r="B951" s="2">
        <v>45802</v>
      </c>
      <c r="C951" t="s">
        <v>49</v>
      </c>
      <c r="D951" t="s">
        <v>21</v>
      </c>
      <c r="E951" t="s">
        <v>22</v>
      </c>
      <c r="F951" t="s">
        <v>41</v>
      </c>
      <c r="G951" t="s">
        <v>95</v>
      </c>
      <c r="H951" t="s">
        <v>88</v>
      </c>
      <c r="I951" t="s">
        <v>170</v>
      </c>
      <c r="J951">
        <v>716</v>
      </c>
      <c r="K951">
        <v>28</v>
      </c>
      <c r="L951" t="s">
        <v>27</v>
      </c>
      <c r="M951">
        <v>68</v>
      </c>
      <c r="N951" t="s">
        <v>397</v>
      </c>
      <c r="O951">
        <v>71.900000000000006</v>
      </c>
      <c r="P951">
        <v>4.21</v>
      </c>
      <c r="Q951">
        <v>0.71</v>
      </c>
      <c r="R951" t="s">
        <v>240</v>
      </c>
      <c r="S951" t="s">
        <v>73</v>
      </c>
      <c r="T951" t="s">
        <v>48</v>
      </c>
    </row>
    <row r="952" spans="1:20" x14ac:dyDescent="0.3">
      <c r="A952">
        <v>10496</v>
      </c>
      <c r="B952" s="2">
        <v>45951</v>
      </c>
      <c r="C952" t="s">
        <v>49</v>
      </c>
      <c r="D952" t="s">
        <v>21</v>
      </c>
      <c r="E952" t="s">
        <v>40</v>
      </c>
      <c r="F952" t="s">
        <v>23</v>
      </c>
      <c r="G952" t="s">
        <v>74</v>
      </c>
      <c r="H952" t="s">
        <v>180</v>
      </c>
      <c r="I952" t="s">
        <v>173</v>
      </c>
      <c r="J952">
        <v>456</v>
      </c>
      <c r="K952">
        <v>21</v>
      </c>
      <c r="L952" t="s">
        <v>57</v>
      </c>
      <c r="M952">
        <v>132</v>
      </c>
      <c r="N952">
        <v>43.3</v>
      </c>
      <c r="O952">
        <v>67.900000000000006</v>
      </c>
      <c r="P952">
        <v>4.21</v>
      </c>
      <c r="Q952">
        <v>3.99</v>
      </c>
      <c r="R952" t="s">
        <v>143</v>
      </c>
      <c r="S952" t="s">
        <v>73</v>
      </c>
      <c r="T952" t="s">
        <v>48</v>
      </c>
    </row>
    <row r="953" spans="1:20" x14ac:dyDescent="0.3">
      <c r="A953">
        <v>11407</v>
      </c>
      <c r="B953" s="2">
        <v>45785</v>
      </c>
      <c r="C953" t="s">
        <v>31</v>
      </c>
      <c r="D953" t="s">
        <v>21</v>
      </c>
      <c r="E953" t="s">
        <v>22</v>
      </c>
      <c r="F953" t="s">
        <v>81</v>
      </c>
      <c r="G953" t="s">
        <v>54</v>
      </c>
      <c r="H953" t="s">
        <v>180</v>
      </c>
      <c r="I953" t="s">
        <v>357</v>
      </c>
      <c r="J953">
        <v>488</v>
      </c>
      <c r="K953">
        <v>19</v>
      </c>
      <c r="L953" t="s">
        <v>57</v>
      </c>
      <c r="M953">
        <v>32</v>
      </c>
      <c r="N953">
        <v>36</v>
      </c>
      <c r="O953">
        <v>73.900000000000006</v>
      </c>
      <c r="P953">
        <v>4.6399999999999997</v>
      </c>
      <c r="Q953">
        <v>2.66</v>
      </c>
      <c r="R953" t="s">
        <v>179</v>
      </c>
      <c r="S953" t="s">
        <v>47</v>
      </c>
      <c r="T953" t="s">
        <v>48</v>
      </c>
    </row>
    <row r="954" spans="1:20" x14ac:dyDescent="0.3">
      <c r="A954">
        <v>10339</v>
      </c>
      <c r="B954" s="2">
        <v>45751</v>
      </c>
      <c r="C954" t="s">
        <v>20</v>
      </c>
      <c r="D954" t="s">
        <v>59</v>
      </c>
      <c r="E954" t="s">
        <v>33</v>
      </c>
      <c r="F954" t="s">
        <v>23</v>
      </c>
      <c r="G954" t="s">
        <v>24</v>
      </c>
      <c r="H954" t="s">
        <v>66</v>
      </c>
      <c r="I954" t="s">
        <v>273</v>
      </c>
      <c r="J954">
        <v>1222</v>
      </c>
      <c r="K954">
        <v>60</v>
      </c>
      <c r="L954" t="s">
        <v>68</v>
      </c>
      <c r="M954">
        <v>135</v>
      </c>
      <c r="N954">
        <v>46.3</v>
      </c>
      <c r="O954">
        <v>73.400000000000006</v>
      </c>
      <c r="P954">
        <v>5.73</v>
      </c>
      <c r="Q954">
        <v>1.88</v>
      </c>
      <c r="R954" t="s">
        <v>111</v>
      </c>
      <c r="S954" t="s">
        <v>47</v>
      </c>
      <c r="T954" t="s">
        <v>48</v>
      </c>
    </row>
    <row r="955" spans="1:20" x14ac:dyDescent="0.3">
      <c r="A955">
        <v>10422</v>
      </c>
      <c r="B955" s="2">
        <v>45984</v>
      </c>
      <c r="C955" t="s">
        <v>31</v>
      </c>
      <c r="D955" t="s">
        <v>59</v>
      </c>
      <c r="E955" t="s">
        <v>22</v>
      </c>
      <c r="F955" t="s">
        <v>23</v>
      </c>
      <c r="G955" t="s">
        <v>54</v>
      </c>
      <c r="H955" t="s">
        <v>88</v>
      </c>
      <c r="I955" t="s">
        <v>262</v>
      </c>
      <c r="J955">
        <v>1441</v>
      </c>
      <c r="K955">
        <v>128</v>
      </c>
      <c r="L955" t="s">
        <v>27</v>
      </c>
      <c r="M955">
        <v>60</v>
      </c>
      <c r="N955">
        <v>42.6</v>
      </c>
      <c r="O955">
        <v>92.1</v>
      </c>
      <c r="P955">
        <v>5.34</v>
      </c>
      <c r="Q955">
        <v>0.03</v>
      </c>
      <c r="R955" t="s">
        <v>189</v>
      </c>
      <c r="S955" t="s">
        <v>73</v>
      </c>
      <c r="T955" t="s">
        <v>48</v>
      </c>
    </row>
    <row r="956" spans="1:20" x14ac:dyDescent="0.3">
      <c r="A956">
        <v>10165</v>
      </c>
      <c r="B956" s="2">
        <v>45704</v>
      </c>
      <c r="C956" t="s">
        <v>49</v>
      </c>
      <c r="D956" t="s">
        <v>21</v>
      </c>
      <c r="E956" t="s">
        <v>40</v>
      </c>
      <c r="F956" t="s">
        <v>23</v>
      </c>
      <c r="G956" t="s">
        <v>74</v>
      </c>
      <c r="H956" t="s">
        <v>223</v>
      </c>
      <c r="I956" t="s">
        <v>284</v>
      </c>
      <c r="J956">
        <v>755</v>
      </c>
      <c r="K956">
        <v>10</v>
      </c>
      <c r="L956" t="s">
        <v>45</v>
      </c>
      <c r="M956">
        <v>153</v>
      </c>
      <c r="N956">
        <v>39.5</v>
      </c>
      <c r="O956">
        <v>63.7</v>
      </c>
      <c r="P956">
        <v>6.4</v>
      </c>
      <c r="Q956">
        <v>2.2400000000000002</v>
      </c>
      <c r="R956" t="s">
        <v>202</v>
      </c>
      <c r="T956" t="s">
        <v>30</v>
      </c>
    </row>
    <row r="957" spans="1:20" x14ac:dyDescent="0.3">
      <c r="A957">
        <v>10029</v>
      </c>
      <c r="B957" s="2">
        <v>45667</v>
      </c>
      <c r="C957" t="s">
        <v>49</v>
      </c>
      <c r="D957" t="s">
        <v>59</v>
      </c>
      <c r="E957" t="s">
        <v>40</v>
      </c>
      <c r="F957" t="s">
        <v>23</v>
      </c>
      <c r="G957" t="s">
        <v>50</v>
      </c>
      <c r="H957" t="s">
        <v>175</v>
      </c>
      <c r="I957" t="s">
        <v>110</v>
      </c>
      <c r="J957">
        <v>1358</v>
      </c>
      <c r="K957">
        <v>48</v>
      </c>
      <c r="L957" t="s">
        <v>45</v>
      </c>
      <c r="M957">
        <v>69</v>
      </c>
      <c r="N957">
        <v>44.4</v>
      </c>
      <c r="O957">
        <v>71.900000000000006</v>
      </c>
      <c r="P957">
        <v>6.3</v>
      </c>
      <c r="Q957">
        <v>2.0499999999999998</v>
      </c>
      <c r="R957" t="s">
        <v>195</v>
      </c>
      <c r="S957" t="s">
        <v>29</v>
      </c>
      <c r="T957" t="s">
        <v>48</v>
      </c>
    </row>
    <row r="958" spans="1:20" x14ac:dyDescent="0.3">
      <c r="A958">
        <v>10517</v>
      </c>
      <c r="B958" s="2">
        <v>45783</v>
      </c>
      <c r="C958" t="s">
        <v>49</v>
      </c>
      <c r="D958" t="s">
        <v>32</v>
      </c>
      <c r="E958" t="s">
        <v>107</v>
      </c>
      <c r="F958" t="s">
        <v>41</v>
      </c>
      <c r="G958" t="s">
        <v>34</v>
      </c>
      <c r="H958" t="s">
        <v>192</v>
      </c>
      <c r="I958" t="s">
        <v>373</v>
      </c>
      <c r="J958">
        <v>1218</v>
      </c>
      <c r="K958">
        <v>46</v>
      </c>
      <c r="L958" t="s">
        <v>68</v>
      </c>
      <c r="M958">
        <v>178</v>
      </c>
      <c r="N958">
        <v>46.4</v>
      </c>
      <c r="O958">
        <v>72.8</v>
      </c>
      <c r="P958">
        <v>6.88</v>
      </c>
      <c r="Q958">
        <v>1.47</v>
      </c>
      <c r="R958" t="s">
        <v>128</v>
      </c>
      <c r="S958" t="s">
        <v>29</v>
      </c>
      <c r="T958" t="s">
        <v>48</v>
      </c>
    </row>
    <row r="959" spans="1:20" x14ac:dyDescent="0.3">
      <c r="A959">
        <v>10194</v>
      </c>
      <c r="B959" s="2">
        <v>45731</v>
      </c>
      <c r="C959" t="s">
        <v>271</v>
      </c>
      <c r="D959" t="s">
        <v>32</v>
      </c>
      <c r="E959" t="s">
        <v>22</v>
      </c>
      <c r="F959" t="s">
        <v>23</v>
      </c>
      <c r="G959" t="s">
        <v>95</v>
      </c>
      <c r="H959" t="s">
        <v>78</v>
      </c>
      <c r="I959" t="s">
        <v>333</v>
      </c>
      <c r="J959">
        <v>1598</v>
      </c>
      <c r="K959">
        <v>47</v>
      </c>
      <c r="L959" t="s">
        <v>71</v>
      </c>
      <c r="M959">
        <v>143</v>
      </c>
      <c r="N959">
        <v>40.6</v>
      </c>
      <c r="O959">
        <v>76.5</v>
      </c>
      <c r="P959">
        <v>4.0199999999999996</v>
      </c>
      <c r="Q959">
        <v>2.96</v>
      </c>
      <c r="R959" t="s">
        <v>186</v>
      </c>
      <c r="S959" t="s">
        <v>73</v>
      </c>
      <c r="T959" t="s">
        <v>30</v>
      </c>
    </row>
    <row r="960" spans="1:20" x14ac:dyDescent="0.3">
      <c r="A960">
        <v>10984</v>
      </c>
      <c r="B960" s="2">
        <v>45662</v>
      </c>
      <c r="C960" t="s">
        <v>49</v>
      </c>
      <c r="D960" t="s">
        <v>64</v>
      </c>
      <c r="E960" t="s">
        <v>33</v>
      </c>
      <c r="F960" t="s">
        <v>23</v>
      </c>
      <c r="G960" t="s">
        <v>113</v>
      </c>
      <c r="H960" t="s">
        <v>196</v>
      </c>
      <c r="I960" t="s">
        <v>117</v>
      </c>
      <c r="J960">
        <v>1485</v>
      </c>
      <c r="K960">
        <v>6</v>
      </c>
      <c r="L960" t="s">
        <v>27</v>
      </c>
      <c r="M960">
        <v>93</v>
      </c>
      <c r="N960">
        <v>60.9</v>
      </c>
      <c r="O960">
        <v>64.400000000000006</v>
      </c>
      <c r="P960">
        <v>3.94</v>
      </c>
      <c r="Q960">
        <v>4.6500000000000004</v>
      </c>
      <c r="R960" t="s">
        <v>147</v>
      </c>
      <c r="S960" t="s">
        <v>39</v>
      </c>
      <c r="T960" t="s">
        <v>30</v>
      </c>
    </row>
    <row r="961" spans="1:20" x14ac:dyDescent="0.3">
      <c r="A961">
        <v>11374</v>
      </c>
      <c r="B961" s="2">
        <v>45998</v>
      </c>
      <c r="C961" t="s">
        <v>49</v>
      </c>
      <c r="D961" t="s">
        <v>64</v>
      </c>
      <c r="E961" t="s">
        <v>22</v>
      </c>
      <c r="F961" t="s">
        <v>81</v>
      </c>
      <c r="G961" t="s">
        <v>95</v>
      </c>
      <c r="H961" t="s">
        <v>215</v>
      </c>
      <c r="I961" t="s">
        <v>181</v>
      </c>
      <c r="J961">
        <v>1594</v>
      </c>
      <c r="K961">
        <v>18</v>
      </c>
      <c r="L961" t="s">
        <v>27</v>
      </c>
      <c r="M961">
        <v>92</v>
      </c>
      <c r="N961">
        <v>41.1</v>
      </c>
      <c r="O961">
        <v>79.099999999999994</v>
      </c>
      <c r="P961">
        <v>5.86</v>
      </c>
      <c r="Q961">
        <v>3.45</v>
      </c>
      <c r="R961" t="s">
        <v>242</v>
      </c>
      <c r="S961" t="s">
        <v>29</v>
      </c>
      <c r="T961" t="s">
        <v>30</v>
      </c>
    </row>
    <row r="962" spans="1:20" x14ac:dyDescent="0.3">
      <c r="A962">
        <v>10946</v>
      </c>
      <c r="B962" s="2">
        <v>45685</v>
      </c>
      <c r="C962" t="s">
        <v>31</v>
      </c>
      <c r="D962" t="s">
        <v>59</v>
      </c>
      <c r="E962" t="s">
        <v>33</v>
      </c>
      <c r="F962" t="s">
        <v>41</v>
      </c>
      <c r="G962" t="s">
        <v>134</v>
      </c>
      <c r="H962" t="s">
        <v>123</v>
      </c>
      <c r="I962" t="s">
        <v>321</v>
      </c>
      <c r="J962">
        <v>1469</v>
      </c>
      <c r="K962">
        <v>49</v>
      </c>
      <c r="L962" t="s">
        <v>37</v>
      </c>
      <c r="M962">
        <v>85</v>
      </c>
      <c r="N962">
        <v>43.1</v>
      </c>
      <c r="O962">
        <v>72.5</v>
      </c>
      <c r="P962">
        <v>4.76</v>
      </c>
      <c r="Q962">
        <v>3.71</v>
      </c>
      <c r="R962" t="s">
        <v>209</v>
      </c>
      <c r="S962" t="s">
        <v>73</v>
      </c>
      <c r="T962" t="s">
        <v>48</v>
      </c>
    </row>
    <row r="963" spans="1:20" x14ac:dyDescent="0.3">
      <c r="A963">
        <v>11373</v>
      </c>
      <c r="B963" s="2">
        <v>45909</v>
      </c>
      <c r="C963" t="s">
        <v>20</v>
      </c>
      <c r="D963" t="s">
        <v>64</v>
      </c>
      <c r="E963" t="s">
        <v>22</v>
      </c>
      <c r="F963" t="s">
        <v>81</v>
      </c>
      <c r="G963" t="s">
        <v>113</v>
      </c>
      <c r="H963" t="s">
        <v>192</v>
      </c>
      <c r="I963" t="s">
        <v>329</v>
      </c>
      <c r="J963">
        <v>617</v>
      </c>
      <c r="K963">
        <v>4</v>
      </c>
      <c r="L963" t="s">
        <v>71</v>
      </c>
      <c r="M963">
        <v>179</v>
      </c>
      <c r="N963">
        <v>50.4</v>
      </c>
      <c r="O963">
        <v>79.8</v>
      </c>
      <c r="P963">
        <v>4.03</v>
      </c>
      <c r="Q963">
        <v>4.12</v>
      </c>
      <c r="R963" t="s">
        <v>153</v>
      </c>
      <c r="S963" t="s">
        <v>29</v>
      </c>
      <c r="T963" t="s">
        <v>30</v>
      </c>
    </row>
    <row r="964" spans="1:20" x14ac:dyDescent="0.3">
      <c r="A964">
        <v>10170</v>
      </c>
      <c r="B964" s="2">
        <v>45669</v>
      </c>
      <c r="C964" t="s">
        <v>49</v>
      </c>
      <c r="D964" t="s">
        <v>64</v>
      </c>
      <c r="E964" t="s">
        <v>40</v>
      </c>
      <c r="F964" t="s">
        <v>23</v>
      </c>
      <c r="G964" t="s">
        <v>54</v>
      </c>
      <c r="H964" t="s">
        <v>51</v>
      </c>
      <c r="I964" t="s">
        <v>118</v>
      </c>
      <c r="J964">
        <v>1464</v>
      </c>
      <c r="K964">
        <v>20</v>
      </c>
      <c r="L964" t="s">
        <v>45</v>
      </c>
      <c r="M964">
        <v>101</v>
      </c>
      <c r="N964">
        <v>49.1</v>
      </c>
      <c r="O964">
        <v>70.5</v>
      </c>
      <c r="P964">
        <v>4.05</v>
      </c>
      <c r="Q964">
        <v>3.46</v>
      </c>
      <c r="R964" t="s">
        <v>111</v>
      </c>
      <c r="S964" t="s">
        <v>29</v>
      </c>
      <c r="T964" t="s">
        <v>30</v>
      </c>
    </row>
    <row r="965" spans="1:20" x14ac:dyDescent="0.3">
      <c r="A965">
        <v>10168</v>
      </c>
      <c r="B965" s="2">
        <v>45996</v>
      </c>
      <c r="C965" t="s">
        <v>31</v>
      </c>
      <c r="D965" t="s">
        <v>21</v>
      </c>
      <c r="E965" t="s">
        <v>40</v>
      </c>
      <c r="F965" t="s">
        <v>23</v>
      </c>
      <c r="G965" t="s">
        <v>60</v>
      </c>
      <c r="H965" t="s">
        <v>175</v>
      </c>
      <c r="I965" t="s">
        <v>334</v>
      </c>
      <c r="J965">
        <v>1412</v>
      </c>
      <c r="K965">
        <v>39</v>
      </c>
      <c r="L965" t="s">
        <v>45</v>
      </c>
      <c r="M965">
        <v>166</v>
      </c>
      <c r="N965">
        <v>31.4</v>
      </c>
      <c r="O965">
        <v>69.099999999999994</v>
      </c>
      <c r="P965">
        <v>5.91</v>
      </c>
      <c r="Q965">
        <v>3.43</v>
      </c>
      <c r="R965" t="s">
        <v>111</v>
      </c>
      <c r="S965" t="s">
        <v>73</v>
      </c>
      <c r="T965" t="s">
        <v>30</v>
      </c>
    </row>
    <row r="966" spans="1:20" x14ac:dyDescent="0.3">
      <c r="A966">
        <v>10653</v>
      </c>
      <c r="B966" s="2">
        <v>45702</v>
      </c>
      <c r="C966" t="s">
        <v>49</v>
      </c>
      <c r="D966" t="s">
        <v>64</v>
      </c>
      <c r="E966" t="s">
        <v>22</v>
      </c>
      <c r="F966" t="s">
        <v>81</v>
      </c>
      <c r="G966" t="s">
        <v>74</v>
      </c>
      <c r="H966" t="s">
        <v>205</v>
      </c>
      <c r="I966" t="s">
        <v>258</v>
      </c>
      <c r="J966">
        <v>1292</v>
      </c>
      <c r="K966">
        <v>14</v>
      </c>
      <c r="L966" t="s">
        <v>68</v>
      </c>
      <c r="M966">
        <v>78</v>
      </c>
      <c r="N966">
        <v>40.1</v>
      </c>
      <c r="O966">
        <v>66</v>
      </c>
      <c r="P966">
        <v>5.0199999999999996</v>
      </c>
      <c r="Q966">
        <v>2.75</v>
      </c>
      <c r="R966" t="s">
        <v>179</v>
      </c>
      <c r="S966" t="s">
        <v>39</v>
      </c>
      <c r="T966" t="s">
        <v>30</v>
      </c>
    </row>
    <row r="967" spans="1:20" x14ac:dyDescent="0.3">
      <c r="A967">
        <v>10174</v>
      </c>
      <c r="B967" s="2">
        <v>45736</v>
      </c>
      <c r="C967" t="s">
        <v>31</v>
      </c>
      <c r="D967" t="s">
        <v>59</v>
      </c>
      <c r="E967" t="s">
        <v>40</v>
      </c>
      <c r="F967" t="s">
        <v>81</v>
      </c>
      <c r="G967" t="s">
        <v>113</v>
      </c>
      <c r="H967" t="s">
        <v>96</v>
      </c>
      <c r="I967" t="s">
        <v>384</v>
      </c>
      <c r="J967">
        <v>957</v>
      </c>
      <c r="K967">
        <v>2</v>
      </c>
      <c r="L967" t="s">
        <v>27</v>
      </c>
      <c r="M967">
        <v>102</v>
      </c>
      <c r="N967">
        <v>38.5</v>
      </c>
      <c r="O967">
        <v>70.900000000000006</v>
      </c>
      <c r="P967">
        <v>4.09</v>
      </c>
      <c r="Q967">
        <v>4.49</v>
      </c>
      <c r="R967" t="s">
        <v>267</v>
      </c>
      <c r="S967" t="s">
        <v>73</v>
      </c>
      <c r="T967" t="s">
        <v>30</v>
      </c>
    </row>
    <row r="968" spans="1:20" x14ac:dyDescent="0.3">
      <c r="A968">
        <v>10519</v>
      </c>
      <c r="B968" s="2">
        <v>45668</v>
      </c>
      <c r="C968" t="s">
        <v>49</v>
      </c>
      <c r="D968" t="s">
        <v>21</v>
      </c>
      <c r="E968" t="s">
        <v>107</v>
      </c>
      <c r="F968" t="s">
        <v>23</v>
      </c>
      <c r="G968" t="s">
        <v>24</v>
      </c>
      <c r="H968" t="s">
        <v>43</v>
      </c>
      <c r="I968" t="s">
        <v>217</v>
      </c>
      <c r="J968">
        <v>645</v>
      </c>
      <c r="K968">
        <v>14</v>
      </c>
      <c r="L968" t="s">
        <v>68</v>
      </c>
      <c r="M968">
        <v>7</v>
      </c>
      <c r="N968">
        <v>36.6</v>
      </c>
      <c r="O968">
        <v>77.8</v>
      </c>
      <c r="P968">
        <v>5.5</v>
      </c>
      <c r="Q968">
        <v>1.65</v>
      </c>
      <c r="R968" t="s">
        <v>202</v>
      </c>
      <c r="S968" t="s">
        <v>47</v>
      </c>
      <c r="T968" t="s">
        <v>30</v>
      </c>
    </row>
    <row r="969" spans="1:20" x14ac:dyDescent="0.3">
      <c r="A969">
        <v>11224</v>
      </c>
      <c r="B969" s="2">
        <v>45751</v>
      </c>
      <c r="C969" t="s">
        <v>31</v>
      </c>
      <c r="D969" t="s">
        <v>32</v>
      </c>
      <c r="E969" t="s">
        <v>33</v>
      </c>
      <c r="F969" t="s">
        <v>23</v>
      </c>
      <c r="G969" t="s">
        <v>89</v>
      </c>
      <c r="H969" t="s">
        <v>190</v>
      </c>
      <c r="I969" t="s">
        <v>91</v>
      </c>
      <c r="J969">
        <v>1243</v>
      </c>
      <c r="K969">
        <v>19</v>
      </c>
      <c r="L969" t="s">
        <v>45</v>
      </c>
      <c r="M969">
        <v>34</v>
      </c>
      <c r="N969">
        <v>38.5</v>
      </c>
      <c r="O969">
        <v>72.3</v>
      </c>
      <c r="P969">
        <v>5.36</v>
      </c>
      <c r="Q969">
        <v>3.27</v>
      </c>
      <c r="R969" t="s">
        <v>111</v>
      </c>
      <c r="S969" t="s">
        <v>39</v>
      </c>
      <c r="T969" t="s">
        <v>30</v>
      </c>
    </row>
    <row r="970" spans="1:20" x14ac:dyDescent="0.3">
      <c r="A970">
        <v>11191</v>
      </c>
      <c r="B970" s="2">
        <v>45698</v>
      </c>
      <c r="C970" t="s">
        <v>31</v>
      </c>
      <c r="D970" t="s">
        <v>59</v>
      </c>
      <c r="E970" t="s">
        <v>22</v>
      </c>
      <c r="F970" t="s">
        <v>81</v>
      </c>
      <c r="G970" t="s">
        <v>50</v>
      </c>
      <c r="H970" t="s">
        <v>82</v>
      </c>
      <c r="I970" t="s">
        <v>343</v>
      </c>
      <c r="J970">
        <v>973</v>
      </c>
      <c r="K970">
        <v>2</v>
      </c>
      <c r="L970" t="s">
        <v>27</v>
      </c>
      <c r="M970">
        <v>77</v>
      </c>
      <c r="N970">
        <v>47.7</v>
      </c>
      <c r="O970">
        <v>79.5</v>
      </c>
      <c r="P970">
        <v>6.03</v>
      </c>
      <c r="Q970">
        <v>3.1</v>
      </c>
      <c r="R970" t="s">
        <v>147</v>
      </c>
      <c r="S970" t="s">
        <v>73</v>
      </c>
      <c r="T970" t="s">
        <v>30</v>
      </c>
    </row>
    <row r="971" spans="1:20" x14ac:dyDescent="0.3">
      <c r="A971">
        <v>10913</v>
      </c>
      <c r="B971" s="2">
        <v>45986</v>
      </c>
      <c r="C971" t="s">
        <v>31</v>
      </c>
      <c r="D971" t="s">
        <v>32</v>
      </c>
      <c r="E971" t="s">
        <v>22</v>
      </c>
      <c r="F971" t="s">
        <v>41</v>
      </c>
      <c r="G971" t="s">
        <v>34</v>
      </c>
      <c r="H971" t="s">
        <v>85</v>
      </c>
      <c r="I971" t="s">
        <v>70</v>
      </c>
      <c r="J971">
        <v>1043</v>
      </c>
      <c r="K971">
        <v>3</v>
      </c>
      <c r="L971" t="s">
        <v>71</v>
      </c>
      <c r="M971">
        <v>116</v>
      </c>
      <c r="N971">
        <v>45.9</v>
      </c>
      <c r="O971">
        <v>67.099999999999994</v>
      </c>
      <c r="P971">
        <v>5.28</v>
      </c>
      <c r="Q971">
        <v>3.4</v>
      </c>
      <c r="R971" t="s">
        <v>222</v>
      </c>
      <c r="S971" t="s">
        <v>73</v>
      </c>
      <c r="T971" t="s">
        <v>30</v>
      </c>
    </row>
    <row r="972" spans="1:20" x14ac:dyDescent="0.3">
      <c r="A972">
        <v>10492</v>
      </c>
      <c r="B972" s="2">
        <v>45941</v>
      </c>
      <c r="C972" t="s">
        <v>31</v>
      </c>
      <c r="D972" t="s">
        <v>59</v>
      </c>
      <c r="E972" t="s">
        <v>33</v>
      </c>
      <c r="F972" t="s">
        <v>23</v>
      </c>
      <c r="G972" t="s">
        <v>74</v>
      </c>
      <c r="H972" t="s">
        <v>200</v>
      </c>
      <c r="I972" t="s">
        <v>220</v>
      </c>
      <c r="J972">
        <v>1210</v>
      </c>
      <c r="K972">
        <v>4</v>
      </c>
      <c r="L972" t="s">
        <v>57</v>
      </c>
      <c r="M972">
        <v>171</v>
      </c>
      <c r="N972">
        <v>48.6</v>
      </c>
      <c r="O972">
        <v>72.400000000000006</v>
      </c>
      <c r="P972">
        <v>5.54</v>
      </c>
      <c r="Q972">
        <v>2.29</v>
      </c>
      <c r="R972" t="s">
        <v>38</v>
      </c>
      <c r="S972" t="s">
        <v>73</v>
      </c>
      <c r="T972" t="s">
        <v>30</v>
      </c>
    </row>
    <row r="973" spans="1:20" x14ac:dyDescent="0.3">
      <c r="A973">
        <v>10954</v>
      </c>
      <c r="B973" s="2">
        <v>45898</v>
      </c>
      <c r="C973" t="s">
        <v>20</v>
      </c>
      <c r="D973" t="s">
        <v>32</v>
      </c>
      <c r="E973" t="s">
        <v>22</v>
      </c>
      <c r="F973" t="s">
        <v>41</v>
      </c>
      <c r="G973" t="s">
        <v>42</v>
      </c>
      <c r="H973" t="s">
        <v>75</v>
      </c>
      <c r="I973" t="s">
        <v>345</v>
      </c>
      <c r="J973">
        <v>1041</v>
      </c>
      <c r="K973">
        <v>6</v>
      </c>
      <c r="L973" t="s">
        <v>37</v>
      </c>
      <c r="M973">
        <v>160</v>
      </c>
      <c r="N973">
        <v>45</v>
      </c>
      <c r="O973">
        <v>79.8</v>
      </c>
      <c r="P973">
        <v>5.1100000000000003</v>
      </c>
      <c r="Q973">
        <v>3.15</v>
      </c>
      <c r="R973" t="s">
        <v>183</v>
      </c>
      <c r="S973" t="s">
        <v>39</v>
      </c>
      <c r="T973" t="s">
        <v>30</v>
      </c>
    </row>
    <row r="974" spans="1:20" x14ac:dyDescent="0.3">
      <c r="A974">
        <v>10074</v>
      </c>
      <c r="B974" s="2">
        <v>45660</v>
      </c>
      <c r="C974" t="s">
        <v>31</v>
      </c>
      <c r="D974" t="s">
        <v>64</v>
      </c>
      <c r="E974" t="s">
        <v>107</v>
      </c>
      <c r="F974" t="s">
        <v>108</v>
      </c>
      <c r="G974" t="s">
        <v>113</v>
      </c>
      <c r="H974" t="s">
        <v>88</v>
      </c>
      <c r="I974" t="s">
        <v>129</v>
      </c>
      <c r="J974">
        <v>832</v>
      </c>
      <c r="K974">
        <v>31</v>
      </c>
      <c r="L974" t="s">
        <v>37</v>
      </c>
      <c r="M974">
        <v>91</v>
      </c>
      <c r="N974">
        <v>39.9</v>
      </c>
      <c r="O974">
        <v>89.3</v>
      </c>
      <c r="P974">
        <v>3.95</v>
      </c>
      <c r="Q974">
        <v>3.96</v>
      </c>
      <c r="R974" t="s">
        <v>243</v>
      </c>
      <c r="S974" t="s">
        <v>47</v>
      </c>
      <c r="T974" t="s">
        <v>48</v>
      </c>
    </row>
    <row r="975" spans="1:20" x14ac:dyDescent="0.3">
      <c r="A975">
        <v>11367</v>
      </c>
      <c r="B975" s="2">
        <v>45777</v>
      </c>
      <c r="C975" t="s">
        <v>150</v>
      </c>
      <c r="D975" t="s">
        <v>32</v>
      </c>
      <c r="E975" t="s">
        <v>22</v>
      </c>
      <c r="F975" t="s">
        <v>23</v>
      </c>
      <c r="G975" t="s">
        <v>134</v>
      </c>
      <c r="H975" t="s">
        <v>43</v>
      </c>
      <c r="I975" t="s">
        <v>261</v>
      </c>
      <c r="J975">
        <v>848</v>
      </c>
      <c r="K975">
        <v>12</v>
      </c>
      <c r="L975" t="s">
        <v>57</v>
      </c>
      <c r="M975">
        <v>9</v>
      </c>
      <c r="N975">
        <v>35.200000000000003</v>
      </c>
      <c r="O975">
        <v>78.8</v>
      </c>
      <c r="P975">
        <v>5.92</v>
      </c>
      <c r="Q975">
        <v>5.44</v>
      </c>
      <c r="R975" t="s">
        <v>87</v>
      </c>
      <c r="S975" t="s">
        <v>39</v>
      </c>
      <c r="T975" t="s">
        <v>30</v>
      </c>
    </row>
    <row r="976" spans="1:20" x14ac:dyDescent="0.3">
      <c r="A976">
        <v>10588</v>
      </c>
      <c r="B976" s="2">
        <v>45828</v>
      </c>
      <c r="C976" t="s">
        <v>291</v>
      </c>
      <c r="D976" t="s">
        <v>59</v>
      </c>
      <c r="E976" t="s">
        <v>22</v>
      </c>
      <c r="F976" t="s">
        <v>81</v>
      </c>
      <c r="G976" t="s">
        <v>60</v>
      </c>
      <c r="H976" t="s">
        <v>123</v>
      </c>
      <c r="I976" t="s">
        <v>357</v>
      </c>
      <c r="J976">
        <v>605</v>
      </c>
      <c r="K976">
        <v>24</v>
      </c>
      <c r="L976" t="s">
        <v>27</v>
      </c>
      <c r="M976">
        <v>46</v>
      </c>
      <c r="N976">
        <v>34</v>
      </c>
      <c r="O976">
        <v>72.900000000000006</v>
      </c>
      <c r="P976">
        <v>6.46</v>
      </c>
      <c r="Q976">
        <v>3.62</v>
      </c>
      <c r="R976" t="s">
        <v>140</v>
      </c>
      <c r="S976" t="s">
        <v>39</v>
      </c>
      <c r="T976" t="s">
        <v>48</v>
      </c>
    </row>
    <row r="977" spans="1:20" x14ac:dyDescent="0.3">
      <c r="A977">
        <v>10751</v>
      </c>
      <c r="B977" s="2">
        <v>45977</v>
      </c>
      <c r="C977" t="s">
        <v>20</v>
      </c>
      <c r="D977" t="s">
        <v>59</v>
      </c>
      <c r="E977" t="s">
        <v>33</v>
      </c>
      <c r="F977" t="s">
        <v>23</v>
      </c>
      <c r="G977" t="s">
        <v>50</v>
      </c>
      <c r="H977" t="s">
        <v>165</v>
      </c>
      <c r="I977" t="s">
        <v>255</v>
      </c>
      <c r="J977">
        <v>1212</v>
      </c>
      <c r="K977">
        <v>9</v>
      </c>
      <c r="L977" t="s">
        <v>71</v>
      </c>
      <c r="M977">
        <v>165</v>
      </c>
      <c r="N977">
        <v>42.8</v>
      </c>
      <c r="O977">
        <v>73.8</v>
      </c>
      <c r="P977">
        <v>6.42</v>
      </c>
      <c r="Q977">
        <v>3.12</v>
      </c>
      <c r="R977" t="s">
        <v>222</v>
      </c>
      <c r="S977" t="s">
        <v>39</v>
      </c>
      <c r="T977" t="s">
        <v>30</v>
      </c>
    </row>
    <row r="978" spans="1:20" x14ac:dyDescent="0.3">
      <c r="A978">
        <v>10658</v>
      </c>
      <c r="B978" s="2">
        <v>45931</v>
      </c>
      <c r="C978" t="s">
        <v>20</v>
      </c>
      <c r="D978" t="s">
        <v>32</v>
      </c>
      <c r="E978" t="s">
        <v>107</v>
      </c>
      <c r="F978" t="s">
        <v>23</v>
      </c>
      <c r="G978" t="s">
        <v>34</v>
      </c>
      <c r="H978" t="s">
        <v>148</v>
      </c>
      <c r="I978" t="s">
        <v>347</v>
      </c>
      <c r="J978">
        <v>1067</v>
      </c>
      <c r="K978">
        <v>6</v>
      </c>
      <c r="L978" t="s">
        <v>27</v>
      </c>
      <c r="M978">
        <v>81</v>
      </c>
      <c r="N978">
        <v>34.9</v>
      </c>
      <c r="O978">
        <v>62.6</v>
      </c>
      <c r="P978">
        <v>3.75</v>
      </c>
      <c r="Q978">
        <v>2.16</v>
      </c>
      <c r="R978" t="s">
        <v>155</v>
      </c>
      <c r="S978" t="s">
        <v>47</v>
      </c>
      <c r="T978" t="s">
        <v>30</v>
      </c>
    </row>
    <row r="979" spans="1:20" x14ac:dyDescent="0.3">
      <c r="A979">
        <v>10843</v>
      </c>
      <c r="B979" s="2">
        <v>45896</v>
      </c>
      <c r="C979" t="s">
        <v>199</v>
      </c>
      <c r="D979" t="s">
        <v>59</v>
      </c>
      <c r="E979" t="s">
        <v>107</v>
      </c>
      <c r="F979" t="s">
        <v>41</v>
      </c>
      <c r="G979" t="s">
        <v>113</v>
      </c>
      <c r="H979" t="s">
        <v>131</v>
      </c>
      <c r="I979" t="s">
        <v>154</v>
      </c>
      <c r="J979">
        <v>1017</v>
      </c>
      <c r="K979">
        <v>13</v>
      </c>
      <c r="L979" t="s">
        <v>45</v>
      </c>
      <c r="M979">
        <v>73</v>
      </c>
      <c r="N979">
        <v>43.3</v>
      </c>
      <c r="O979">
        <v>77.900000000000006</v>
      </c>
      <c r="P979">
        <v>4.83</v>
      </c>
      <c r="Q979">
        <v>4.13</v>
      </c>
      <c r="R979" t="s">
        <v>119</v>
      </c>
      <c r="S979" t="s">
        <v>39</v>
      </c>
      <c r="T979" t="s">
        <v>30</v>
      </c>
    </row>
    <row r="980" spans="1:20" x14ac:dyDescent="0.3">
      <c r="A980">
        <v>10235</v>
      </c>
      <c r="B980" s="2">
        <v>45908</v>
      </c>
      <c r="C980" t="s">
        <v>31</v>
      </c>
      <c r="D980" t="s">
        <v>64</v>
      </c>
      <c r="E980" t="s">
        <v>22</v>
      </c>
      <c r="F980" t="s">
        <v>108</v>
      </c>
      <c r="G980" t="s">
        <v>24</v>
      </c>
      <c r="H980" t="s">
        <v>85</v>
      </c>
      <c r="I980" t="s">
        <v>370</v>
      </c>
      <c r="J980">
        <v>1234</v>
      </c>
      <c r="K980">
        <v>23</v>
      </c>
      <c r="L980" t="s">
        <v>27</v>
      </c>
      <c r="M980">
        <v>177</v>
      </c>
      <c r="N980">
        <v>38.9</v>
      </c>
      <c r="O980">
        <v>52.7</v>
      </c>
      <c r="P980">
        <v>4.5599999999999996</v>
      </c>
      <c r="Q980">
        <v>2.6</v>
      </c>
      <c r="R980" t="s">
        <v>227</v>
      </c>
      <c r="S980" t="s">
        <v>39</v>
      </c>
      <c r="T980" t="s">
        <v>30</v>
      </c>
    </row>
    <row r="981" spans="1:20" x14ac:dyDescent="0.3">
      <c r="A981">
        <v>10733</v>
      </c>
      <c r="B981" s="2">
        <v>45803</v>
      </c>
      <c r="C981" t="s">
        <v>31</v>
      </c>
      <c r="D981" t="s">
        <v>32</v>
      </c>
      <c r="E981" t="s">
        <v>33</v>
      </c>
      <c r="F981" t="s">
        <v>41</v>
      </c>
      <c r="G981" t="s">
        <v>54</v>
      </c>
      <c r="H981" t="s">
        <v>123</v>
      </c>
      <c r="I981" t="s">
        <v>194</v>
      </c>
      <c r="J981">
        <v>741</v>
      </c>
      <c r="K981">
        <v>7</v>
      </c>
      <c r="L981" t="s">
        <v>45</v>
      </c>
      <c r="M981">
        <v>153</v>
      </c>
      <c r="N981">
        <v>49.3</v>
      </c>
      <c r="O981">
        <v>69.8</v>
      </c>
      <c r="P981">
        <v>5.35</v>
      </c>
      <c r="Q981">
        <v>1.35</v>
      </c>
      <c r="R981" t="s">
        <v>77</v>
      </c>
      <c r="S981" t="s">
        <v>73</v>
      </c>
      <c r="T981" t="s">
        <v>30</v>
      </c>
    </row>
    <row r="982" spans="1:20" x14ac:dyDescent="0.3">
      <c r="A982">
        <v>10215</v>
      </c>
      <c r="B982" s="2">
        <v>45760</v>
      </c>
      <c r="C982" t="s">
        <v>31</v>
      </c>
      <c r="D982" t="s">
        <v>59</v>
      </c>
      <c r="E982" t="s">
        <v>22</v>
      </c>
      <c r="F982" t="s">
        <v>23</v>
      </c>
      <c r="G982" t="s">
        <v>42</v>
      </c>
      <c r="H982" t="s">
        <v>85</v>
      </c>
      <c r="I982" t="s">
        <v>166</v>
      </c>
      <c r="J982">
        <v>1340</v>
      </c>
      <c r="K982">
        <v>16</v>
      </c>
      <c r="L982" t="s">
        <v>57</v>
      </c>
      <c r="M982">
        <v>93</v>
      </c>
      <c r="N982">
        <v>39.1</v>
      </c>
      <c r="O982">
        <v>87.1</v>
      </c>
      <c r="P982">
        <v>5.65</v>
      </c>
      <c r="Q982">
        <v>1.33</v>
      </c>
      <c r="R982" t="s">
        <v>38</v>
      </c>
      <c r="S982" t="s">
        <v>73</v>
      </c>
      <c r="T982" t="s">
        <v>30</v>
      </c>
    </row>
    <row r="983" spans="1:20" x14ac:dyDescent="0.3">
      <c r="A983">
        <v>10163</v>
      </c>
      <c r="B983" s="2">
        <v>45697</v>
      </c>
      <c r="C983" t="s">
        <v>31</v>
      </c>
      <c r="D983" t="s">
        <v>64</v>
      </c>
      <c r="E983" t="s">
        <v>107</v>
      </c>
      <c r="F983" t="s">
        <v>41</v>
      </c>
      <c r="G983" t="s">
        <v>134</v>
      </c>
      <c r="H983" t="s">
        <v>180</v>
      </c>
      <c r="I983" t="s">
        <v>56</v>
      </c>
      <c r="J983">
        <v>924</v>
      </c>
      <c r="K983">
        <v>3</v>
      </c>
      <c r="L983" t="s">
        <v>71</v>
      </c>
      <c r="M983">
        <v>71</v>
      </c>
      <c r="N983">
        <v>21.5</v>
      </c>
      <c r="O983">
        <v>82</v>
      </c>
      <c r="P983">
        <v>5.07</v>
      </c>
      <c r="Q983">
        <v>3.53</v>
      </c>
      <c r="R983" t="s">
        <v>232</v>
      </c>
      <c r="S983" t="s">
        <v>73</v>
      </c>
      <c r="T983" t="s">
        <v>30</v>
      </c>
    </row>
    <row r="984" spans="1:20" x14ac:dyDescent="0.3">
      <c r="A984">
        <v>10133</v>
      </c>
      <c r="B984" s="2">
        <v>45696</v>
      </c>
      <c r="C984" t="s">
        <v>31</v>
      </c>
      <c r="D984" t="s">
        <v>21</v>
      </c>
      <c r="E984" t="s">
        <v>33</v>
      </c>
      <c r="F984" t="s">
        <v>23</v>
      </c>
      <c r="G984" t="s">
        <v>42</v>
      </c>
      <c r="H984" t="s">
        <v>148</v>
      </c>
      <c r="I984" t="s">
        <v>44</v>
      </c>
      <c r="J984">
        <v>899</v>
      </c>
      <c r="K984">
        <v>12</v>
      </c>
      <c r="L984" t="s">
        <v>45</v>
      </c>
      <c r="M984">
        <v>135</v>
      </c>
      <c r="N984">
        <v>34</v>
      </c>
      <c r="O984">
        <v>72.900000000000006</v>
      </c>
      <c r="P984">
        <v>5.17</v>
      </c>
      <c r="Q984">
        <v>2.57</v>
      </c>
      <c r="R984" t="s">
        <v>130</v>
      </c>
      <c r="S984" t="s">
        <v>39</v>
      </c>
      <c r="T984" t="s">
        <v>30</v>
      </c>
    </row>
    <row r="985" spans="1:20" x14ac:dyDescent="0.3">
      <c r="A985">
        <v>11113</v>
      </c>
      <c r="B985" s="2">
        <v>45868</v>
      </c>
      <c r="C985" t="s">
        <v>31</v>
      </c>
      <c r="D985" t="s">
        <v>32</v>
      </c>
      <c r="E985" t="s">
        <v>40</v>
      </c>
      <c r="F985" t="s">
        <v>81</v>
      </c>
      <c r="G985" t="s">
        <v>74</v>
      </c>
      <c r="H985" t="s">
        <v>213</v>
      </c>
      <c r="I985" t="s">
        <v>354</v>
      </c>
      <c r="J985">
        <v>1573</v>
      </c>
      <c r="K985">
        <v>23</v>
      </c>
      <c r="L985" t="s">
        <v>27</v>
      </c>
      <c r="M985">
        <v>5</v>
      </c>
      <c r="N985">
        <v>46.4</v>
      </c>
      <c r="P985">
        <v>2.7</v>
      </c>
      <c r="Q985">
        <v>3.9</v>
      </c>
      <c r="R985" t="s">
        <v>216</v>
      </c>
      <c r="S985" t="s">
        <v>39</v>
      </c>
      <c r="T985" t="s">
        <v>30</v>
      </c>
    </row>
    <row r="986" spans="1:20" x14ac:dyDescent="0.3">
      <c r="A986">
        <v>10223</v>
      </c>
      <c r="B986" s="2">
        <v>45923</v>
      </c>
      <c r="C986" t="s">
        <v>31</v>
      </c>
      <c r="D986" t="s">
        <v>32</v>
      </c>
      <c r="E986" t="s">
        <v>40</v>
      </c>
      <c r="F986" t="s">
        <v>81</v>
      </c>
      <c r="G986" t="s">
        <v>74</v>
      </c>
      <c r="H986" t="s">
        <v>90</v>
      </c>
      <c r="I986" t="s">
        <v>393</v>
      </c>
      <c r="J986">
        <v>1055</v>
      </c>
      <c r="K986">
        <v>3</v>
      </c>
      <c r="L986" t="s">
        <v>37</v>
      </c>
      <c r="M986">
        <v>130</v>
      </c>
      <c r="N986">
        <v>37.799999999999997</v>
      </c>
      <c r="O986">
        <v>71.2</v>
      </c>
      <c r="P986">
        <v>5.27</v>
      </c>
      <c r="Q986">
        <v>2.23</v>
      </c>
      <c r="R986" t="s">
        <v>184</v>
      </c>
      <c r="S986" t="s">
        <v>39</v>
      </c>
      <c r="T986" t="s">
        <v>30</v>
      </c>
    </row>
    <row r="987" spans="1:20" x14ac:dyDescent="0.3">
      <c r="A987">
        <v>11238</v>
      </c>
      <c r="B987" s="2">
        <v>45683</v>
      </c>
      <c r="C987" t="s">
        <v>20</v>
      </c>
      <c r="D987" t="s">
        <v>32</v>
      </c>
      <c r="E987" t="s">
        <v>22</v>
      </c>
      <c r="F987" t="s">
        <v>41</v>
      </c>
      <c r="G987" t="s">
        <v>89</v>
      </c>
      <c r="H987" t="s">
        <v>213</v>
      </c>
      <c r="I987" t="s">
        <v>218</v>
      </c>
      <c r="J987">
        <v>522</v>
      </c>
      <c r="K987">
        <v>13</v>
      </c>
      <c r="L987" t="s">
        <v>68</v>
      </c>
      <c r="M987">
        <v>19</v>
      </c>
      <c r="N987">
        <v>51.3</v>
      </c>
      <c r="O987">
        <v>57.6</v>
      </c>
      <c r="P987">
        <v>5.86</v>
      </c>
      <c r="Q987">
        <v>4.3099999999999996</v>
      </c>
      <c r="R987" t="s">
        <v>137</v>
      </c>
      <c r="S987" t="s">
        <v>73</v>
      </c>
      <c r="T987" t="s">
        <v>30</v>
      </c>
    </row>
    <row r="988" spans="1:20" x14ac:dyDescent="0.3">
      <c r="A988">
        <v>10935</v>
      </c>
      <c r="B988" s="2">
        <v>45712</v>
      </c>
      <c r="C988" t="s">
        <v>20</v>
      </c>
      <c r="D988" t="s">
        <v>32</v>
      </c>
      <c r="E988" t="s">
        <v>40</v>
      </c>
      <c r="F988" t="s">
        <v>23</v>
      </c>
      <c r="G988" t="s">
        <v>113</v>
      </c>
      <c r="H988" t="s">
        <v>223</v>
      </c>
      <c r="I988" t="s">
        <v>380</v>
      </c>
      <c r="J988">
        <v>1020</v>
      </c>
      <c r="K988">
        <v>15</v>
      </c>
      <c r="L988" t="s">
        <v>45</v>
      </c>
      <c r="M988">
        <v>140</v>
      </c>
      <c r="N988">
        <v>61.6</v>
      </c>
      <c r="O988">
        <v>75.900000000000006</v>
      </c>
      <c r="P988">
        <v>4.21</v>
      </c>
      <c r="Q988">
        <v>3.52</v>
      </c>
      <c r="R988" t="s">
        <v>202</v>
      </c>
      <c r="S988" t="s">
        <v>29</v>
      </c>
      <c r="T988" t="s">
        <v>30</v>
      </c>
    </row>
    <row r="989" spans="1:20" x14ac:dyDescent="0.3">
      <c r="A989">
        <v>10186</v>
      </c>
      <c r="B989" s="2">
        <v>45881</v>
      </c>
      <c r="C989" t="s">
        <v>49</v>
      </c>
      <c r="D989" t="s">
        <v>59</v>
      </c>
      <c r="E989" t="s">
        <v>107</v>
      </c>
      <c r="F989" t="s">
        <v>98</v>
      </c>
      <c r="G989" t="s">
        <v>134</v>
      </c>
      <c r="H989" t="s">
        <v>120</v>
      </c>
      <c r="I989" t="s">
        <v>343</v>
      </c>
      <c r="J989">
        <v>1348</v>
      </c>
      <c r="K989">
        <v>3</v>
      </c>
      <c r="L989" t="s">
        <v>37</v>
      </c>
      <c r="M989">
        <v>120</v>
      </c>
      <c r="N989">
        <v>37.799999999999997</v>
      </c>
      <c r="O989">
        <v>73.7</v>
      </c>
      <c r="P989">
        <v>6.16</v>
      </c>
      <c r="Q989">
        <v>2.2599999999999998</v>
      </c>
      <c r="R989" t="s">
        <v>122</v>
      </c>
      <c r="S989" t="s">
        <v>47</v>
      </c>
      <c r="T989" t="s">
        <v>30</v>
      </c>
    </row>
    <row r="990" spans="1:20" x14ac:dyDescent="0.3">
      <c r="A990">
        <v>10042</v>
      </c>
      <c r="B990" s="2">
        <v>45746</v>
      </c>
      <c r="C990" t="s">
        <v>49</v>
      </c>
      <c r="D990" t="s">
        <v>21</v>
      </c>
      <c r="E990" t="s">
        <v>107</v>
      </c>
      <c r="F990" t="s">
        <v>41</v>
      </c>
      <c r="G990" t="s">
        <v>95</v>
      </c>
      <c r="H990" t="s">
        <v>165</v>
      </c>
      <c r="I990" t="s">
        <v>253</v>
      </c>
      <c r="J990">
        <v>454</v>
      </c>
      <c r="K990">
        <v>2</v>
      </c>
      <c r="L990" t="s">
        <v>37</v>
      </c>
      <c r="M990">
        <v>27</v>
      </c>
      <c r="N990">
        <v>56</v>
      </c>
      <c r="O990">
        <v>59.4</v>
      </c>
      <c r="P990">
        <v>4.2300000000000004</v>
      </c>
      <c r="Q990">
        <v>1.03</v>
      </c>
      <c r="R990" t="s">
        <v>137</v>
      </c>
      <c r="S990" t="s">
        <v>29</v>
      </c>
      <c r="T990" t="s">
        <v>30</v>
      </c>
    </row>
    <row r="991" spans="1:20" x14ac:dyDescent="0.3">
      <c r="A991">
        <v>10693</v>
      </c>
      <c r="B991" s="2">
        <v>45988</v>
      </c>
      <c r="C991" t="s">
        <v>20</v>
      </c>
      <c r="D991" t="s">
        <v>21</v>
      </c>
      <c r="E991" t="s">
        <v>107</v>
      </c>
      <c r="F991" t="s">
        <v>23</v>
      </c>
      <c r="G991" t="s">
        <v>24</v>
      </c>
      <c r="H991" t="s">
        <v>123</v>
      </c>
      <c r="I991" t="s">
        <v>163</v>
      </c>
      <c r="J991">
        <v>1475</v>
      </c>
      <c r="K991">
        <v>19</v>
      </c>
      <c r="L991" t="s">
        <v>57</v>
      </c>
      <c r="M991">
        <v>101</v>
      </c>
      <c r="N991">
        <v>32.6</v>
      </c>
      <c r="O991">
        <v>64.900000000000006</v>
      </c>
      <c r="P991">
        <v>3.89</v>
      </c>
      <c r="Q991">
        <v>1.36</v>
      </c>
      <c r="R991" t="s">
        <v>240</v>
      </c>
      <c r="S991" t="s">
        <v>47</v>
      </c>
      <c r="T991" t="s">
        <v>30</v>
      </c>
    </row>
    <row r="992" spans="1:20" x14ac:dyDescent="0.3">
      <c r="A992">
        <v>10109</v>
      </c>
      <c r="B992" s="2">
        <v>45681</v>
      </c>
      <c r="C992" t="s">
        <v>49</v>
      </c>
      <c r="D992" t="s">
        <v>59</v>
      </c>
      <c r="E992" t="s">
        <v>33</v>
      </c>
      <c r="F992" t="s">
        <v>108</v>
      </c>
      <c r="G992" t="s">
        <v>54</v>
      </c>
      <c r="H992" t="s">
        <v>114</v>
      </c>
      <c r="I992" t="s">
        <v>117</v>
      </c>
      <c r="J992">
        <v>975</v>
      </c>
      <c r="K992">
        <v>11</v>
      </c>
      <c r="L992" t="s">
        <v>57</v>
      </c>
      <c r="M992">
        <v>67</v>
      </c>
      <c r="N992">
        <v>49.8</v>
      </c>
      <c r="O992">
        <v>66.8</v>
      </c>
      <c r="P992">
        <v>5.96</v>
      </c>
      <c r="Q992">
        <v>3.55</v>
      </c>
      <c r="R992" t="s">
        <v>155</v>
      </c>
      <c r="S992" t="s">
        <v>47</v>
      </c>
      <c r="T992" t="s">
        <v>30</v>
      </c>
    </row>
    <row r="993" spans="1:20" x14ac:dyDescent="0.3">
      <c r="A993">
        <v>10039</v>
      </c>
      <c r="B993" s="2">
        <v>45851</v>
      </c>
      <c r="C993" t="s">
        <v>31</v>
      </c>
      <c r="D993" t="s">
        <v>32</v>
      </c>
      <c r="E993" t="s">
        <v>107</v>
      </c>
      <c r="F993" t="s">
        <v>108</v>
      </c>
      <c r="G993" t="s">
        <v>54</v>
      </c>
      <c r="H993" t="s">
        <v>131</v>
      </c>
      <c r="I993" t="s">
        <v>361</v>
      </c>
      <c r="J993">
        <v>453</v>
      </c>
      <c r="K993">
        <v>18</v>
      </c>
      <c r="L993" t="s">
        <v>57</v>
      </c>
      <c r="M993">
        <v>158</v>
      </c>
      <c r="N993">
        <v>36.700000000000003</v>
      </c>
      <c r="O993">
        <v>57.6</v>
      </c>
      <c r="P993">
        <v>3.9</v>
      </c>
      <c r="Q993">
        <v>2.85</v>
      </c>
      <c r="R993" t="s">
        <v>229</v>
      </c>
      <c r="S993" t="s">
        <v>73</v>
      </c>
      <c r="T993" t="s">
        <v>48</v>
      </c>
    </row>
    <row r="994" spans="1:20" x14ac:dyDescent="0.3">
      <c r="A994">
        <v>10569</v>
      </c>
      <c r="B994" s="2">
        <v>45990</v>
      </c>
      <c r="C994" t="s">
        <v>199</v>
      </c>
      <c r="D994" t="s">
        <v>21</v>
      </c>
      <c r="E994" t="s">
        <v>40</v>
      </c>
      <c r="F994" t="s">
        <v>81</v>
      </c>
      <c r="G994" t="s">
        <v>34</v>
      </c>
      <c r="H994" t="s">
        <v>82</v>
      </c>
      <c r="I994" t="s">
        <v>238</v>
      </c>
      <c r="J994">
        <v>1453</v>
      </c>
      <c r="K994">
        <v>3</v>
      </c>
      <c r="L994" t="s">
        <v>37</v>
      </c>
      <c r="M994">
        <v>31</v>
      </c>
      <c r="N994">
        <v>43</v>
      </c>
      <c r="O994">
        <v>73.2</v>
      </c>
      <c r="P994">
        <v>4.1399999999999997</v>
      </c>
      <c r="Q994">
        <v>2.71</v>
      </c>
      <c r="R994" t="s">
        <v>84</v>
      </c>
      <c r="S994" t="s">
        <v>47</v>
      </c>
      <c r="T994" t="s">
        <v>30</v>
      </c>
    </row>
    <row r="995" spans="1:20" x14ac:dyDescent="0.3">
      <c r="A995">
        <v>11006</v>
      </c>
      <c r="B995" s="2">
        <v>46007</v>
      </c>
      <c r="C995" t="s">
        <v>31</v>
      </c>
      <c r="D995" t="s">
        <v>59</v>
      </c>
      <c r="E995" t="s">
        <v>33</v>
      </c>
      <c r="F995" t="s">
        <v>23</v>
      </c>
      <c r="G995" t="s">
        <v>74</v>
      </c>
      <c r="H995" t="s">
        <v>200</v>
      </c>
      <c r="I995" t="s">
        <v>310</v>
      </c>
      <c r="J995">
        <v>611</v>
      </c>
      <c r="K995">
        <v>6</v>
      </c>
      <c r="L995" t="s">
        <v>27</v>
      </c>
      <c r="M995">
        <v>25</v>
      </c>
      <c r="N995">
        <v>40.799999999999997</v>
      </c>
      <c r="O995">
        <v>74.900000000000006</v>
      </c>
      <c r="P995">
        <v>5.96</v>
      </c>
      <c r="Q995">
        <v>1.59</v>
      </c>
      <c r="R995" t="s">
        <v>183</v>
      </c>
      <c r="S995" t="s">
        <v>47</v>
      </c>
      <c r="T995" t="s">
        <v>30</v>
      </c>
    </row>
    <row r="996" spans="1:20" x14ac:dyDescent="0.3">
      <c r="A996">
        <v>11279</v>
      </c>
      <c r="B996" s="2">
        <v>45731</v>
      </c>
      <c r="C996" t="s">
        <v>31</v>
      </c>
      <c r="D996" t="s">
        <v>32</v>
      </c>
      <c r="E996" t="s">
        <v>22</v>
      </c>
      <c r="F996" t="s">
        <v>23</v>
      </c>
      <c r="G996" t="s">
        <v>60</v>
      </c>
      <c r="H996" t="s">
        <v>190</v>
      </c>
      <c r="I996" t="s">
        <v>338</v>
      </c>
      <c r="J996">
        <v>1487</v>
      </c>
      <c r="K996">
        <v>36</v>
      </c>
      <c r="L996" t="s">
        <v>27</v>
      </c>
      <c r="M996">
        <v>136</v>
      </c>
      <c r="N996">
        <v>35.200000000000003</v>
      </c>
      <c r="O996">
        <v>57.1</v>
      </c>
      <c r="P996">
        <v>4.63</v>
      </c>
      <c r="Q996">
        <v>4.84</v>
      </c>
      <c r="R996" t="s">
        <v>84</v>
      </c>
      <c r="S996" t="s">
        <v>73</v>
      </c>
      <c r="T996" t="s">
        <v>30</v>
      </c>
    </row>
    <row r="997" spans="1:20" x14ac:dyDescent="0.3">
      <c r="A997">
        <v>11454</v>
      </c>
      <c r="B997" s="2">
        <v>45889</v>
      </c>
      <c r="C997" t="s">
        <v>31</v>
      </c>
      <c r="D997" t="s">
        <v>21</v>
      </c>
      <c r="E997" t="s">
        <v>33</v>
      </c>
      <c r="F997" t="s">
        <v>81</v>
      </c>
      <c r="G997" t="s">
        <v>50</v>
      </c>
      <c r="H997" t="s">
        <v>82</v>
      </c>
      <c r="I997" t="s">
        <v>218</v>
      </c>
      <c r="J997">
        <v>695</v>
      </c>
      <c r="K997">
        <v>45</v>
      </c>
      <c r="L997" t="s">
        <v>68</v>
      </c>
      <c r="M997">
        <v>69</v>
      </c>
      <c r="N997">
        <v>34</v>
      </c>
      <c r="O997">
        <v>61.5</v>
      </c>
      <c r="P997">
        <v>4.47</v>
      </c>
      <c r="Q997">
        <v>3.18</v>
      </c>
      <c r="R997" t="s">
        <v>267</v>
      </c>
      <c r="S997" t="s">
        <v>73</v>
      </c>
      <c r="T997" t="s">
        <v>48</v>
      </c>
    </row>
    <row r="998" spans="1:20" x14ac:dyDescent="0.3">
      <c r="A998">
        <v>10484</v>
      </c>
      <c r="B998" s="2">
        <v>45985</v>
      </c>
      <c r="C998" t="s">
        <v>20</v>
      </c>
      <c r="D998" t="s">
        <v>21</v>
      </c>
      <c r="E998" t="s">
        <v>33</v>
      </c>
      <c r="F998" t="s">
        <v>41</v>
      </c>
      <c r="G998" t="s">
        <v>24</v>
      </c>
      <c r="H998" t="s">
        <v>101</v>
      </c>
      <c r="I998" t="s">
        <v>244</v>
      </c>
      <c r="J998">
        <v>1538</v>
      </c>
      <c r="K998">
        <v>39</v>
      </c>
      <c r="L998" t="s">
        <v>37</v>
      </c>
      <c r="M998">
        <v>109</v>
      </c>
      <c r="N998">
        <v>47.8</v>
      </c>
      <c r="O998">
        <v>70.7</v>
      </c>
      <c r="P998">
        <v>6.16</v>
      </c>
      <c r="Q998">
        <v>2.81</v>
      </c>
      <c r="R998" t="s">
        <v>147</v>
      </c>
      <c r="S998" t="s">
        <v>47</v>
      </c>
      <c r="T998" t="s">
        <v>30</v>
      </c>
    </row>
    <row r="999" spans="1:20" x14ac:dyDescent="0.3">
      <c r="A999">
        <v>10469</v>
      </c>
      <c r="B999" s="2">
        <v>45827</v>
      </c>
      <c r="C999" t="s">
        <v>49</v>
      </c>
      <c r="D999" t="s">
        <v>64</v>
      </c>
      <c r="E999" t="s">
        <v>40</v>
      </c>
      <c r="F999" t="s">
        <v>23</v>
      </c>
      <c r="G999" t="s">
        <v>134</v>
      </c>
      <c r="H999" t="s">
        <v>351</v>
      </c>
      <c r="I999" t="s">
        <v>70</v>
      </c>
      <c r="J999">
        <v>489</v>
      </c>
      <c r="K999">
        <v>16</v>
      </c>
      <c r="L999" t="s">
        <v>27</v>
      </c>
      <c r="M999">
        <v>118</v>
      </c>
      <c r="N999">
        <v>51.3</v>
      </c>
      <c r="O999">
        <v>87.1</v>
      </c>
      <c r="P999">
        <v>5.69</v>
      </c>
      <c r="Q999">
        <v>3.22</v>
      </c>
      <c r="R999" t="s">
        <v>147</v>
      </c>
      <c r="S999" t="s">
        <v>47</v>
      </c>
      <c r="T999" t="s">
        <v>48</v>
      </c>
    </row>
    <row r="1000" spans="1:20" x14ac:dyDescent="0.3">
      <c r="A1000">
        <v>10891</v>
      </c>
      <c r="B1000" s="2">
        <v>45836</v>
      </c>
      <c r="C1000" t="s">
        <v>49</v>
      </c>
      <c r="D1000" t="s">
        <v>21</v>
      </c>
      <c r="E1000" t="s">
        <v>33</v>
      </c>
      <c r="F1000" t="s">
        <v>81</v>
      </c>
      <c r="G1000" t="s">
        <v>89</v>
      </c>
      <c r="H1000" t="s">
        <v>278</v>
      </c>
      <c r="I1000" t="s">
        <v>56</v>
      </c>
      <c r="J1000">
        <v>699</v>
      </c>
      <c r="K1000">
        <v>9</v>
      </c>
      <c r="L1000" t="s">
        <v>37</v>
      </c>
      <c r="M1000">
        <v>112</v>
      </c>
      <c r="N1000">
        <v>39.5</v>
      </c>
      <c r="O1000">
        <v>78.7</v>
      </c>
      <c r="P1000">
        <v>5.07</v>
      </c>
      <c r="Q1000">
        <v>2.74</v>
      </c>
      <c r="R1000" t="s">
        <v>28</v>
      </c>
      <c r="S1000" t="s">
        <v>29</v>
      </c>
      <c r="T1000" t="s">
        <v>30</v>
      </c>
    </row>
    <row r="1001" spans="1:20" x14ac:dyDescent="0.3">
      <c r="A1001">
        <v>10948</v>
      </c>
      <c r="B1001" s="2">
        <v>45997</v>
      </c>
      <c r="C1001" t="s">
        <v>20</v>
      </c>
      <c r="D1001" t="s">
        <v>32</v>
      </c>
      <c r="E1001" t="s">
        <v>22</v>
      </c>
      <c r="F1001" t="s">
        <v>41</v>
      </c>
      <c r="G1001" t="s">
        <v>109</v>
      </c>
      <c r="H1001" t="s">
        <v>252</v>
      </c>
      <c r="I1001" t="s">
        <v>282</v>
      </c>
      <c r="J1001">
        <v>1146</v>
      </c>
      <c r="K1001">
        <v>9</v>
      </c>
      <c r="L1001" t="s">
        <v>71</v>
      </c>
      <c r="M1001">
        <v>130</v>
      </c>
      <c r="N1001">
        <v>49.8</v>
      </c>
      <c r="O1001">
        <v>67.2</v>
      </c>
      <c r="P1001">
        <v>5.49</v>
      </c>
      <c r="Q1001">
        <v>3.93</v>
      </c>
      <c r="R1001" t="s">
        <v>245</v>
      </c>
      <c r="S1001" t="s">
        <v>47</v>
      </c>
      <c r="T1001" t="s">
        <v>30</v>
      </c>
    </row>
    <row r="1002" spans="1:20" x14ac:dyDescent="0.3">
      <c r="A1002">
        <v>10025</v>
      </c>
      <c r="B1002" s="2">
        <v>45996</v>
      </c>
      <c r="C1002" t="s">
        <v>20</v>
      </c>
      <c r="D1002" t="s">
        <v>64</v>
      </c>
      <c r="E1002" t="s">
        <v>33</v>
      </c>
      <c r="F1002" t="s">
        <v>81</v>
      </c>
      <c r="G1002" t="s">
        <v>50</v>
      </c>
      <c r="H1002" t="s">
        <v>200</v>
      </c>
      <c r="I1002" t="s">
        <v>305</v>
      </c>
      <c r="J1002">
        <v>619</v>
      </c>
      <c r="K1002">
        <v>4</v>
      </c>
      <c r="L1002" t="s">
        <v>57</v>
      </c>
      <c r="M1002">
        <v>136</v>
      </c>
      <c r="N1002">
        <v>51.3</v>
      </c>
      <c r="O1002">
        <v>64.400000000000006</v>
      </c>
      <c r="P1002">
        <v>3.33</v>
      </c>
      <c r="Q1002">
        <v>2.41</v>
      </c>
      <c r="R1002" t="s">
        <v>209</v>
      </c>
      <c r="S1002" t="s">
        <v>39</v>
      </c>
      <c r="T1002" t="s">
        <v>30</v>
      </c>
    </row>
    <row r="1003" spans="1:20" x14ac:dyDescent="0.3">
      <c r="A1003">
        <v>10356</v>
      </c>
      <c r="B1003" s="2">
        <v>45965</v>
      </c>
      <c r="C1003" t="s">
        <v>49</v>
      </c>
      <c r="D1003" t="s">
        <v>21</v>
      </c>
      <c r="E1003" t="s">
        <v>22</v>
      </c>
      <c r="F1003" t="s">
        <v>98</v>
      </c>
      <c r="G1003" t="s">
        <v>54</v>
      </c>
      <c r="H1003" t="s">
        <v>35</v>
      </c>
      <c r="I1003" t="s">
        <v>365</v>
      </c>
      <c r="J1003">
        <v>797</v>
      </c>
      <c r="K1003">
        <v>5</v>
      </c>
      <c r="L1003" t="s">
        <v>57</v>
      </c>
      <c r="M1003">
        <v>89</v>
      </c>
      <c r="N1003">
        <v>43.7</v>
      </c>
      <c r="O1003">
        <v>67.5</v>
      </c>
      <c r="P1003">
        <v>4.46</v>
      </c>
      <c r="Q1003">
        <v>4.32</v>
      </c>
      <c r="R1003" t="s">
        <v>164</v>
      </c>
      <c r="S1003" t="s">
        <v>73</v>
      </c>
      <c r="T1003" t="s">
        <v>30</v>
      </c>
    </row>
    <row r="1004" spans="1:20" x14ac:dyDescent="0.3">
      <c r="A1004">
        <v>11203</v>
      </c>
      <c r="B1004" s="2">
        <v>45698</v>
      </c>
      <c r="C1004" t="s">
        <v>31</v>
      </c>
      <c r="D1004" t="s">
        <v>21</v>
      </c>
      <c r="E1004" t="s">
        <v>22</v>
      </c>
      <c r="F1004" t="s">
        <v>23</v>
      </c>
      <c r="G1004" t="s">
        <v>74</v>
      </c>
      <c r="H1004" t="s">
        <v>90</v>
      </c>
      <c r="I1004" t="s">
        <v>97</v>
      </c>
      <c r="J1004">
        <v>473</v>
      </c>
      <c r="K1004">
        <v>17</v>
      </c>
      <c r="L1004" t="s">
        <v>27</v>
      </c>
      <c r="M1004">
        <v>161</v>
      </c>
      <c r="N1004">
        <v>59.1</v>
      </c>
      <c r="O1004">
        <v>69.3</v>
      </c>
      <c r="P1004">
        <v>5.56</v>
      </c>
      <c r="Q1004">
        <v>2.19</v>
      </c>
      <c r="R1004" t="s">
        <v>229</v>
      </c>
      <c r="S1004" t="s">
        <v>73</v>
      </c>
      <c r="T1004" t="s">
        <v>48</v>
      </c>
    </row>
    <row r="1005" spans="1:20" x14ac:dyDescent="0.3">
      <c r="A1005">
        <v>10069</v>
      </c>
      <c r="B1005" s="2">
        <v>45741</v>
      </c>
      <c r="C1005" t="s">
        <v>49</v>
      </c>
      <c r="D1005" t="s">
        <v>32</v>
      </c>
      <c r="E1005" t="s">
        <v>22</v>
      </c>
      <c r="F1005" t="s">
        <v>41</v>
      </c>
      <c r="G1005" t="s">
        <v>113</v>
      </c>
      <c r="H1005" t="s">
        <v>99</v>
      </c>
      <c r="I1005" t="s">
        <v>318</v>
      </c>
      <c r="J1005">
        <v>1298</v>
      </c>
      <c r="K1005">
        <v>20</v>
      </c>
      <c r="L1005" t="s">
        <v>27</v>
      </c>
      <c r="M1005">
        <v>128</v>
      </c>
      <c r="N1005">
        <v>48.6</v>
      </c>
      <c r="O1005">
        <v>78.900000000000006</v>
      </c>
      <c r="P1005">
        <v>5.48</v>
      </c>
      <c r="Q1005">
        <v>2.48</v>
      </c>
      <c r="R1005" t="s">
        <v>119</v>
      </c>
      <c r="S1005" t="s">
        <v>47</v>
      </c>
      <c r="T1005" t="s">
        <v>30</v>
      </c>
    </row>
    <row r="1006" spans="1:20" x14ac:dyDescent="0.3">
      <c r="A1006">
        <v>10885</v>
      </c>
      <c r="B1006" s="2">
        <v>45674</v>
      </c>
      <c r="C1006" t="s">
        <v>49</v>
      </c>
      <c r="D1006" t="s">
        <v>59</v>
      </c>
      <c r="E1006" t="s">
        <v>107</v>
      </c>
      <c r="F1006" t="s">
        <v>41</v>
      </c>
      <c r="G1006" t="s">
        <v>34</v>
      </c>
      <c r="H1006" t="s">
        <v>96</v>
      </c>
      <c r="I1006" t="s">
        <v>256</v>
      </c>
      <c r="J1006">
        <v>869</v>
      </c>
      <c r="K1006">
        <v>9</v>
      </c>
      <c r="L1006" t="s">
        <v>57</v>
      </c>
      <c r="M1006">
        <v>11</v>
      </c>
      <c r="N1006">
        <v>56</v>
      </c>
      <c r="O1006">
        <v>66.7</v>
      </c>
      <c r="P1006">
        <v>4.95</v>
      </c>
      <c r="Q1006">
        <v>4.6100000000000003</v>
      </c>
      <c r="R1006" t="s">
        <v>122</v>
      </c>
      <c r="S1006" t="s">
        <v>29</v>
      </c>
      <c r="T1006" t="s">
        <v>30</v>
      </c>
    </row>
    <row r="1007" spans="1:20" x14ac:dyDescent="0.3">
      <c r="A1007">
        <v>11277</v>
      </c>
      <c r="B1007" s="2">
        <v>46021</v>
      </c>
      <c r="C1007" t="s">
        <v>207</v>
      </c>
      <c r="D1007" t="s">
        <v>32</v>
      </c>
      <c r="E1007" t="s">
        <v>33</v>
      </c>
      <c r="F1007" t="s">
        <v>23</v>
      </c>
      <c r="G1007" t="s">
        <v>109</v>
      </c>
      <c r="H1007" t="s">
        <v>200</v>
      </c>
      <c r="I1007" t="s">
        <v>149</v>
      </c>
      <c r="J1007">
        <v>952</v>
      </c>
      <c r="K1007">
        <v>2</v>
      </c>
      <c r="L1007" t="s">
        <v>37</v>
      </c>
      <c r="M1007">
        <v>128</v>
      </c>
      <c r="N1007">
        <v>30.4</v>
      </c>
      <c r="O1007">
        <v>64.099999999999994</v>
      </c>
      <c r="P1007">
        <v>5.3</v>
      </c>
      <c r="Q1007">
        <v>2.89</v>
      </c>
      <c r="R1007" t="s">
        <v>189</v>
      </c>
      <c r="S1007" t="s">
        <v>39</v>
      </c>
      <c r="T1007" t="s">
        <v>30</v>
      </c>
    </row>
    <row r="1008" spans="1:20" x14ac:dyDescent="0.3">
      <c r="A1008">
        <v>10367</v>
      </c>
      <c r="B1008" s="2">
        <v>45816</v>
      </c>
      <c r="C1008" t="s">
        <v>20</v>
      </c>
      <c r="D1008" t="s">
        <v>21</v>
      </c>
      <c r="E1008" t="s">
        <v>33</v>
      </c>
      <c r="F1008" t="s">
        <v>81</v>
      </c>
      <c r="G1008" t="s">
        <v>42</v>
      </c>
      <c r="H1008" t="s">
        <v>75</v>
      </c>
      <c r="I1008" t="s">
        <v>163</v>
      </c>
      <c r="J1008">
        <v>1044</v>
      </c>
      <c r="K1008">
        <v>17</v>
      </c>
      <c r="L1008" t="s">
        <v>71</v>
      </c>
      <c r="M1008">
        <v>61</v>
      </c>
      <c r="N1008">
        <v>38.9</v>
      </c>
      <c r="O1008">
        <v>67.5</v>
      </c>
      <c r="P1008">
        <v>5.71</v>
      </c>
      <c r="Q1008">
        <v>2.11</v>
      </c>
      <c r="R1008" t="s">
        <v>227</v>
      </c>
      <c r="S1008" t="s">
        <v>39</v>
      </c>
      <c r="T1008" t="s">
        <v>30</v>
      </c>
    </row>
    <row r="1009" spans="1:20" x14ac:dyDescent="0.3">
      <c r="A1009">
        <v>10506</v>
      </c>
      <c r="B1009" s="2">
        <v>45715</v>
      </c>
      <c r="C1009" t="s">
        <v>271</v>
      </c>
      <c r="D1009" t="s">
        <v>59</v>
      </c>
      <c r="E1009" t="s">
        <v>40</v>
      </c>
      <c r="F1009" t="s">
        <v>23</v>
      </c>
      <c r="G1009" t="s">
        <v>89</v>
      </c>
      <c r="H1009" t="s">
        <v>141</v>
      </c>
      <c r="I1009" t="s">
        <v>317</v>
      </c>
      <c r="J1009">
        <v>1233</v>
      </c>
      <c r="K1009">
        <v>4</v>
      </c>
      <c r="L1009" t="s">
        <v>68</v>
      </c>
      <c r="M1009">
        <v>74</v>
      </c>
      <c r="N1009">
        <v>33</v>
      </c>
      <c r="O1009">
        <v>63.8</v>
      </c>
      <c r="P1009">
        <v>5.15</v>
      </c>
      <c r="Q1009">
        <v>5.8</v>
      </c>
      <c r="R1009" t="s">
        <v>174</v>
      </c>
      <c r="S1009" t="s">
        <v>73</v>
      </c>
      <c r="T1009" t="s">
        <v>30</v>
      </c>
    </row>
    <row r="1010" spans="1:20" x14ac:dyDescent="0.3">
      <c r="A1010">
        <v>10851</v>
      </c>
      <c r="B1010" s="2">
        <v>45823</v>
      </c>
      <c r="C1010" t="s">
        <v>31</v>
      </c>
      <c r="D1010" t="s">
        <v>64</v>
      </c>
      <c r="E1010" t="s">
        <v>40</v>
      </c>
      <c r="F1010" t="s">
        <v>98</v>
      </c>
      <c r="G1010" t="s">
        <v>134</v>
      </c>
      <c r="H1010" t="s">
        <v>75</v>
      </c>
      <c r="I1010" t="s">
        <v>67</v>
      </c>
      <c r="J1010">
        <v>467</v>
      </c>
      <c r="K1010">
        <v>16</v>
      </c>
      <c r="L1010" t="s">
        <v>45</v>
      </c>
      <c r="M1010">
        <v>132</v>
      </c>
      <c r="N1010">
        <v>42.1</v>
      </c>
      <c r="O1010">
        <v>72.3</v>
      </c>
      <c r="P1010">
        <v>4.24</v>
      </c>
      <c r="Q1010">
        <v>1.71</v>
      </c>
      <c r="R1010" t="s">
        <v>229</v>
      </c>
      <c r="S1010" t="s">
        <v>39</v>
      </c>
      <c r="T1010" t="s">
        <v>48</v>
      </c>
    </row>
    <row r="1011" spans="1:20" x14ac:dyDescent="0.3">
      <c r="A1011">
        <v>11328</v>
      </c>
      <c r="B1011" s="2">
        <v>45872</v>
      </c>
      <c r="C1011" t="s">
        <v>20</v>
      </c>
      <c r="D1011" t="s">
        <v>59</v>
      </c>
      <c r="E1011" t="s">
        <v>22</v>
      </c>
      <c r="F1011" t="s">
        <v>81</v>
      </c>
      <c r="G1011" t="s">
        <v>113</v>
      </c>
      <c r="H1011" t="s">
        <v>123</v>
      </c>
      <c r="I1011" t="s">
        <v>91</v>
      </c>
      <c r="J1011">
        <v>568</v>
      </c>
      <c r="K1011">
        <v>8</v>
      </c>
      <c r="L1011" t="s">
        <v>37</v>
      </c>
      <c r="M1011" t="s">
        <v>398</v>
      </c>
      <c r="N1011">
        <v>37.200000000000003</v>
      </c>
      <c r="O1011">
        <v>85</v>
      </c>
      <c r="P1011">
        <v>6.57</v>
      </c>
      <c r="Q1011">
        <v>1.79</v>
      </c>
      <c r="R1011" t="s">
        <v>125</v>
      </c>
      <c r="S1011" t="s">
        <v>47</v>
      </c>
      <c r="T1011" t="s">
        <v>30</v>
      </c>
    </row>
    <row r="1012" spans="1:20" x14ac:dyDescent="0.3">
      <c r="A1012">
        <v>10384</v>
      </c>
      <c r="B1012" s="2">
        <v>45947</v>
      </c>
      <c r="C1012" t="s">
        <v>31</v>
      </c>
      <c r="D1012" t="s">
        <v>59</v>
      </c>
      <c r="E1012" t="s">
        <v>33</v>
      </c>
      <c r="F1012" t="s">
        <v>41</v>
      </c>
      <c r="G1012" t="s">
        <v>42</v>
      </c>
      <c r="H1012" t="s">
        <v>252</v>
      </c>
      <c r="I1012" t="s">
        <v>203</v>
      </c>
      <c r="J1012">
        <v>805</v>
      </c>
      <c r="K1012">
        <v>11</v>
      </c>
      <c r="L1012" t="s">
        <v>37</v>
      </c>
      <c r="M1012">
        <v>36</v>
      </c>
      <c r="N1012">
        <v>46.6</v>
      </c>
      <c r="O1012">
        <v>63.4</v>
      </c>
      <c r="P1012">
        <v>5.75</v>
      </c>
      <c r="Q1012">
        <v>2.63</v>
      </c>
      <c r="R1012" t="s">
        <v>143</v>
      </c>
      <c r="S1012" t="s">
        <v>39</v>
      </c>
      <c r="T1012" t="s">
        <v>30</v>
      </c>
    </row>
    <row r="1013" spans="1:20" x14ac:dyDescent="0.3">
      <c r="A1013">
        <v>10735</v>
      </c>
      <c r="B1013" s="2">
        <v>45725</v>
      </c>
      <c r="C1013" t="s">
        <v>49</v>
      </c>
      <c r="D1013" t="s">
        <v>59</v>
      </c>
      <c r="E1013" t="s">
        <v>107</v>
      </c>
      <c r="F1013" t="s">
        <v>23</v>
      </c>
      <c r="G1013" t="s">
        <v>89</v>
      </c>
      <c r="H1013" t="s">
        <v>177</v>
      </c>
      <c r="I1013" t="s">
        <v>348</v>
      </c>
      <c r="J1013">
        <v>1273</v>
      </c>
      <c r="K1013">
        <v>15</v>
      </c>
      <c r="L1013" t="s">
        <v>27</v>
      </c>
      <c r="M1013">
        <v>174</v>
      </c>
      <c r="N1013">
        <v>37.299999999999997</v>
      </c>
      <c r="O1013">
        <v>70</v>
      </c>
      <c r="P1013">
        <v>6.61</v>
      </c>
      <c r="Q1013">
        <v>2.62</v>
      </c>
      <c r="R1013" t="s">
        <v>77</v>
      </c>
      <c r="S1013" t="s">
        <v>73</v>
      </c>
      <c r="T1013" t="s">
        <v>30</v>
      </c>
    </row>
    <row r="1014" spans="1:20" x14ac:dyDescent="0.3">
      <c r="A1014">
        <v>10718</v>
      </c>
      <c r="B1014" s="2">
        <v>45678</v>
      </c>
      <c r="C1014" t="s">
        <v>20</v>
      </c>
      <c r="D1014" t="s">
        <v>32</v>
      </c>
      <c r="E1014" t="s">
        <v>22</v>
      </c>
      <c r="F1014" t="s">
        <v>23</v>
      </c>
      <c r="G1014" t="s">
        <v>113</v>
      </c>
      <c r="H1014" t="s">
        <v>114</v>
      </c>
      <c r="I1014" t="s">
        <v>283</v>
      </c>
      <c r="J1014">
        <v>1174</v>
      </c>
      <c r="K1014">
        <v>5</v>
      </c>
      <c r="L1014" t="s">
        <v>27</v>
      </c>
      <c r="M1014">
        <v>128</v>
      </c>
      <c r="N1014">
        <v>45</v>
      </c>
      <c r="O1014">
        <v>72.2</v>
      </c>
      <c r="P1014">
        <v>5.47</v>
      </c>
      <c r="Q1014">
        <v>1.55</v>
      </c>
      <c r="R1014" t="s">
        <v>267</v>
      </c>
      <c r="S1014" t="s">
        <v>73</v>
      </c>
      <c r="T1014" t="s">
        <v>30</v>
      </c>
    </row>
    <row r="1015" spans="1:20" x14ac:dyDescent="0.3">
      <c r="A1015">
        <v>11348</v>
      </c>
      <c r="B1015" s="2">
        <v>45744</v>
      </c>
      <c r="C1015" t="s">
        <v>20</v>
      </c>
      <c r="D1015" t="s">
        <v>32</v>
      </c>
      <c r="E1015" t="s">
        <v>107</v>
      </c>
      <c r="F1015" t="s">
        <v>23</v>
      </c>
      <c r="G1015" t="s">
        <v>42</v>
      </c>
      <c r="H1015" t="s">
        <v>265</v>
      </c>
      <c r="I1015" t="s">
        <v>333</v>
      </c>
      <c r="J1015">
        <v>1570</v>
      </c>
      <c r="K1015">
        <v>51</v>
      </c>
      <c r="L1015" t="s">
        <v>37</v>
      </c>
      <c r="M1015">
        <v>37</v>
      </c>
      <c r="N1015">
        <v>37.200000000000003</v>
      </c>
      <c r="O1015">
        <v>66.900000000000006</v>
      </c>
      <c r="P1015">
        <v>3.78</v>
      </c>
      <c r="Q1015">
        <v>1.92</v>
      </c>
      <c r="R1015" t="s">
        <v>227</v>
      </c>
      <c r="S1015" t="s">
        <v>73</v>
      </c>
      <c r="T1015" t="s">
        <v>48</v>
      </c>
    </row>
    <row r="1016" spans="1:20" x14ac:dyDescent="0.3">
      <c r="A1016">
        <v>10455</v>
      </c>
      <c r="B1016" s="2">
        <v>45750</v>
      </c>
      <c r="C1016" t="s">
        <v>20</v>
      </c>
      <c r="D1016" t="s">
        <v>32</v>
      </c>
      <c r="E1016" t="s">
        <v>40</v>
      </c>
      <c r="F1016" t="s">
        <v>23</v>
      </c>
      <c r="G1016" t="s">
        <v>24</v>
      </c>
      <c r="H1016" t="s">
        <v>138</v>
      </c>
      <c r="I1016" t="s">
        <v>100</v>
      </c>
      <c r="J1016">
        <v>768</v>
      </c>
      <c r="K1016">
        <v>10</v>
      </c>
      <c r="L1016" t="s">
        <v>37</v>
      </c>
      <c r="M1016">
        <v>40</v>
      </c>
      <c r="N1016">
        <v>44.8</v>
      </c>
      <c r="O1016">
        <v>73.099999999999994</v>
      </c>
      <c r="P1016">
        <v>6.88</v>
      </c>
      <c r="Q1016">
        <v>1.28</v>
      </c>
      <c r="R1016" t="s">
        <v>92</v>
      </c>
      <c r="S1016" t="s">
        <v>29</v>
      </c>
      <c r="T1016" t="s">
        <v>30</v>
      </c>
    </row>
    <row r="1017" spans="1:20" x14ac:dyDescent="0.3">
      <c r="A1017">
        <v>10265</v>
      </c>
      <c r="B1017" s="2">
        <v>46011</v>
      </c>
      <c r="C1017" t="s">
        <v>20</v>
      </c>
      <c r="D1017" t="s">
        <v>21</v>
      </c>
      <c r="E1017" t="s">
        <v>107</v>
      </c>
      <c r="F1017" t="s">
        <v>23</v>
      </c>
      <c r="G1017" t="s">
        <v>89</v>
      </c>
      <c r="H1017" t="s">
        <v>196</v>
      </c>
      <c r="I1017" t="s">
        <v>266</v>
      </c>
      <c r="J1017">
        <v>1011</v>
      </c>
      <c r="K1017">
        <v>22</v>
      </c>
      <c r="L1017" t="s">
        <v>45</v>
      </c>
      <c r="M1017">
        <v>38</v>
      </c>
      <c r="N1017">
        <v>31.9</v>
      </c>
      <c r="O1017">
        <v>61.5</v>
      </c>
      <c r="P1017">
        <v>5.42</v>
      </c>
      <c r="Q1017">
        <v>0.45</v>
      </c>
      <c r="R1017" t="s">
        <v>267</v>
      </c>
      <c r="S1017" t="s">
        <v>73</v>
      </c>
      <c r="T1017" t="s">
        <v>30</v>
      </c>
    </row>
    <row r="1018" spans="1:20" x14ac:dyDescent="0.3">
      <c r="A1018">
        <v>10076</v>
      </c>
      <c r="B1018" s="2">
        <v>45677</v>
      </c>
      <c r="C1018" t="s">
        <v>49</v>
      </c>
      <c r="D1018" t="s">
        <v>64</v>
      </c>
      <c r="E1018" t="s">
        <v>40</v>
      </c>
      <c r="F1018" t="s">
        <v>274</v>
      </c>
      <c r="G1018" t="s">
        <v>34</v>
      </c>
      <c r="H1018" t="s">
        <v>172</v>
      </c>
      <c r="I1018" t="s">
        <v>380</v>
      </c>
      <c r="J1018">
        <v>608</v>
      </c>
      <c r="K1018">
        <v>22</v>
      </c>
      <c r="L1018" t="s">
        <v>57</v>
      </c>
      <c r="M1018">
        <v>83</v>
      </c>
      <c r="N1018">
        <v>40.799999999999997</v>
      </c>
      <c r="O1018">
        <v>79.099999999999994</v>
      </c>
      <c r="P1018">
        <v>5.72</v>
      </c>
      <c r="Q1018">
        <v>1.07</v>
      </c>
      <c r="R1018" t="s">
        <v>28</v>
      </c>
      <c r="S1018" t="s">
        <v>39</v>
      </c>
      <c r="T1018" t="s">
        <v>48</v>
      </c>
    </row>
    <row r="1019" spans="1:20" x14ac:dyDescent="0.3">
      <c r="A1019">
        <v>10915</v>
      </c>
      <c r="B1019" s="2">
        <v>45971</v>
      </c>
      <c r="C1019" t="s">
        <v>31</v>
      </c>
      <c r="D1019" t="s">
        <v>64</v>
      </c>
      <c r="E1019" t="s">
        <v>107</v>
      </c>
      <c r="F1019" t="s">
        <v>81</v>
      </c>
      <c r="G1019" t="s">
        <v>89</v>
      </c>
      <c r="H1019" t="s">
        <v>190</v>
      </c>
      <c r="I1019" t="s">
        <v>331</v>
      </c>
      <c r="J1019">
        <v>1335</v>
      </c>
      <c r="K1019">
        <v>20</v>
      </c>
      <c r="L1019" t="s">
        <v>37</v>
      </c>
      <c r="M1019">
        <v>37</v>
      </c>
      <c r="N1019">
        <v>42</v>
      </c>
      <c r="O1019">
        <v>79.2</v>
      </c>
      <c r="P1019">
        <v>4.42</v>
      </c>
      <c r="Q1019">
        <v>4.7699999999999996</v>
      </c>
      <c r="R1019" t="s">
        <v>183</v>
      </c>
      <c r="S1019" t="s">
        <v>73</v>
      </c>
      <c r="T1019" t="s">
        <v>30</v>
      </c>
    </row>
    <row r="1020" spans="1:20" x14ac:dyDescent="0.3">
      <c r="A1020">
        <v>10233</v>
      </c>
      <c r="B1020" s="2">
        <v>45784</v>
      </c>
      <c r="C1020" t="s">
        <v>20</v>
      </c>
      <c r="D1020" t="s">
        <v>21</v>
      </c>
      <c r="E1020" t="s">
        <v>107</v>
      </c>
      <c r="F1020" t="s">
        <v>81</v>
      </c>
      <c r="G1020" t="s">
        <v>89</v>
      </c>
      <c r="H1020" t="s">
        <v>90</v>
      </c>
      <c r="I1020" t="s">
        <v>316</v>
      </c>
      <c r="J1020">
        <v>763</v>
      </c>
      <c r="K1020">
        <v>6</v>
      </c>
      <c r="L1020" t="s">
        <v>57</v>
      </c>
      <c r="M1020">
        <v>152</v>
      </c>
      <c r="N1020">
        <v>41.2</v>
      </c>
      <c r="O1020">
        <v>74</v>
      </c>
      <c r="P1020">
        <v>5.72</v>
      </c>
      <c r="Q1020">
        <v>1.55</v>
      </c>
      <c r="R1020" t="s">
        <v>222</v>
      </c>
      <c r="S1020" t="s">
        <v>39</v>
      </c>
      <c r="T1020" t="s">
        <v>30</v>
      </c>
    </row>
    <row r="1021" spans="1:20" x14ac:dyDescent="0.3">
      <c r="A1021">
        <v>10445</v>
      </c>
      <c r="B1021" s="2">
        <v>45820</v>
      </c>
      <c r="C1021" t="s">
        <v>49</v>
      </c>
      <c r="D1021" t="s">
        <v>64</v>
      </c>
      <c r="E1021" t="s">
        <v>40</v>
      </c>
      <c r="F1021" t="s">
        <v>81</v>
      </c>
      <c r="G1021" t="s">
        <v>50</v>
      </c>
      <c r="H1021" t="s">
        <v>196</v>
      </c>
      <c r="I1021" t="s">
        <v>136</v>
      </c>
      <c r="J1021">
        <v>996</v>
      </c>
      <c r="K1021">
        <v>13</v>
      </c>
      <c r="L1021" t="s">
        <v>68</v>
      </c>
      <c r="M1021">
        <v>176</v>
      </c>
      <c r="N1021">
        <v>41.4</v>
      </c>
      <c r="O1021">
        <v>70.3</v>
      </c>
      <c r="P1021">
        <v>5.92</v>
      </c>
      <c r="Q1021">
        <v>2.14</v>
      </c>
      <c r="R1021" t="s">
        <v>72</v>
      </c>
      <c r="S1021" t="s">
        <v>39</v>
      </c>
      <c r="T1021" t="s">
        <v>30</v>
      </c>
    </row>
    <row r="1022" spans="1:20" x14ac:dyDescent="0.3">
      <c r="A1022">
        <v>10396</v>
      </c>
      <c r="B1022" s="2">
        <v>45866</v>
      </c>
      <c r="C1022" t="s">
        <v>49</v>
      </c>
      <c r="D1022" t="s">
        <v>21</v>
      </c>
      <c r="E1022" t="s">
        <v>22</v>
      </c>
      <c r="F1022" t="s">
        <v>23</v>
      </c>
      <c r="G1022" t="s">
        <v>95</v>
      </c>
      <c r="H1022" t="s">
        <v>126</v>
      </c>
      <c r="I1022" t="s">
        <v>355</v>
      </c>
      <c r="J1022">
        <v>728</v>
      </c>
      <c r="K1022">
        <v>2</v>
      </c>
      <c r="L1022" t="s">
        <v>68</v>
      </c>
      <c r="M1022">
        <v>172</v>
      </c>
      <c r="N1022">
        <v>36.9</v>
      </c>
      <c r="O1022">
        <v>70.7</v>
      </c>
      <c r="P1022">
        <v>5.78</v>
      </c>
      <c r="Q1022">
        <v>4.3899999999999997</v>
      </c>
      <c r="R1022" t="s">
        <v>119</v>
      </c>
      <c r="S1022" t="s">
        <v>47</v>
      </c>
      <c r="T1022" t="s">
        <v>30</v>
      </c>
    </row>
    <row r="1023" spans="1:20" x14ac:dyDescent="0.3">
      <c r="A1023">
        <v>10612</v>
      </c>
      <c r="B1023" s="2">
        <v>46014</v>
      </c>
      <c r="C1023" t="s">
        <v>20</v>
      </c>
      <c r="D1023" t="s">
        <v>32</v>
      </c>
      <c r="E1023" t="s">
        <v>40</v>
      </c>
      <c r="F1023" t="s">
        <v>23</v>
      </c>
      <c r="G1023" t="s">
        <v>54</v>
      </c>
      <c r="H1023" t="s">
        <v>123</v>
      </c>
      <c r="I1023" t="s">
        <v>347</v>
      </c>
      <c r="J1023">
        <v>629</v>
      </c>
      <c r="K1023">
        <v>7</v>
      </c>
      <c r="L1023" t="s">
        <v>27</v>
      </c>
      <c r="M1023">
        <v>119</v>
      </c>
      <c r="N1023">
        <v>59.2</v>
      </c>
      <c r="O1023">
        <v>71.099999999999994</v>
      </c>
      <c r="P1023">
        <v>5.96</v>
      </c>
      <c r="Q1023">
        <v>1.71</v>
      </c>
      <c r="R1023" t="s">
        <v>153</v>
      </c>
      <c r="S1023" t="s">
        <v>29</v>
      </c>
      <c r="T1023" t="s">
        <v>30</v>
      </c>
    </row>
    <row r="1024" spans="1:20" x14ac:dyDescent="0.3">
      <c r="A1024">
        <v>10177</v>
      </c>
      <c r="B1024" s="2">
        <v>45821</v>
      </c>
      <c r="C1024" t="s">
        <v>31</v>
      </c>
      <c r="D1024" t="s">
        <v>32</v>
      </c>
      <c r="E1024" t="s">
        <v>22</v>
      </c>
      <c r="F1024" t="s">
        <v>81</v>
      </c>
      <c r="G1024" t="s">
        <v>95</v>
      </c>
      <c r="H1024" t="s">
        <v>101</v>
      </c>
      <c r="I1024" t="s">
        <v>239</v>
      </c>
      <c r="J1024">
        <v>780</v>
      </c>
      <c r="K1024">
        <v>19</v>
      </c>
      <c r="L1024" t="s">
        <v>71</v>
      </c>
      <c r="M1024">
        <v>69</v>
      </c>
      <c r="N1024">
        <v>48.8</v>
      </c>
      <c r="O1024">
        <v>66</v>
      </c>
      <c r="P1024">
        <v>4.0999999999999996</v>
      </c>
      <c r="Q1024">
        <v>2.4300000000000002</v>
      </c>
      <c r="R1024" t="s">
        <v>242</v>
      </c>
      <c r="S1024" t="s">
        <v>73</v>
      </c>
      <c r="T1024" t="s">
        <v>30</v>
      </c>
    </row>
    <row r="1025" spans="1:20" x14ac:dyDescent="0.3">
      <c r="A1025">
        <v>10019</v>
      </c>
      <c r="B1025" s="2">
        <v>45935</v>
      </c>
      <c r="C1025" t="s">
        <v>20</v>
      </c>
      <c r="D1025" t="s">
        <v>32</v>
      </c>
      <c r="E1025" t="s">
        <v>40</v>
      </c>
      <c r="F1025" t="s">
        <v>23</v>
      </c>
      <c r="G1025" t="s">
        <v>95</v>
      </c>
      <c r="H1025" t="s">
        <v>193</v>
      </c>
      <c r="I1025" t="s">
        <v>289</v>
      </c>
      <c r="J1025">
        <v>937</v>
      </c>
      <c r="K1025">
        <v>13</v>
      </c>
      <c r="L1025" t="s">
        <v>27</v>
      </c>
      <c r="M1025">
        <v>33</v>
      </c>
      <c r="N1025">
        <v>40.299999999999997</v>
      </c>
      <c r="O1025">
        <v>87</v>
      </c>
      <c r="P1025">
        <v>5.18</v>
      </c>
      <c r="Q1025">
        <v>1.77</v>
      </c>
      <c r="R1025" t="s">
        <v>209</v>
      </c>
      <c r="S1025" t="s">
        <v>47</v>
      </c>
      <c r="T1025" t="s">
        <v>30</v>
      </c>
    </row>
    <row r="1026" spans="1:20" x14ac:dyDescent="0.3">
      <c r="A1026">
        <v>11323</v>
      </c>
      <c r="B1026" s="2">
        <v>45838</v>
      </c>
      <c r="C1026" t="s">
        <v>156</v>
      </c>
      <c r="D1026" t="s">
        <v>59</v>
      </c>
      <c r="E1026" t="s">
        <v>40</v>
      </c>
      <c r="F1026" t="s">
        <v>23</v>
      </c>
      <c r="G1026" t="s">
        <v>109</v>
      </c>
      <c r="H1026" t="s">
        <v>177</v>
      </c>
      <c r="I1026" t="s">
        <v>83</v>
      </c>
      <c r="J1026">
        <v>1343</v>
      </c>
      <c r="K1026">
        <v>33</v>
      </c>
      <c r="L1026" t="s">
        <v>57</v>
      </c>
      <c r="M1026">
        <v>16</v>
      </c>
      <c r="N1026">
        <v>47</v>
      </c>
      <c r="O1026">
        <v>71.400000000000006</v>
      </c>
      <c r="P1026">
        <v>5.04</v>
      </c>
      <c r="Q1026">
        <v>3.16</v>
      </c>
      <c r="R1026" t="s">
        <v>84</v>
      </c>
      <c r="S1026" t="s">
        <v>73</v>
      </c>
      <c r="T1026" t="s">
        <v>30</v>
      </c>
    </row>
    <row r="1027" spans="1:20" x14ac:dyDescent="0.3">
      <c r="A1027">
        <v>11174</v>
      </c>
      <c r="B1027" s="2">
        <v>45881</v>
      </c>
      <c r="C1027" t="s">
        <v>31</v>
      </c>
      <c r="D1027" t="s">
        <v>64</v>
      </c>
      <c r="E1027" t="s">
        <v>22</v>
      </c>
      <c r="F1027" t="s">
        <v>23</v>
      </c>
      <c r="G1027" t="s">
        <v>54</v>
      </c>
      <c r="H1027" t="s">
        <v>169</v>
      </c>
      <c r="I1027" t="s">
        <v>239</v>
      </c>
      <c r="J1027">
        <v>1034</v>
      </c>
      <c r="K1027">
        <v>14</v>
      </c>
      <c r="L1027" t="s">
        <v>57</v>
      </c>
      <c r="M1027">
        <v>158</v>
      </c>
      <c r="N1027">
        <v>42.1</v>
      </c>
      <c r="O1027">
        <v>59.7</v>
      </c>
      <c r="P1027">
        <v>4.9800000000000004</v>
      </c>
      <c r="Q1027">
        <v>3.08</v>
      </c>
      <c r="R1027" t="s">
        <v>195</v>
      </c>
      <c r="S1027" t="s">
        <v>39</v>
      </c>
      <c r="T1027" t="s">
        <v>30</v>
      </c>
    </row>
    <row r="1028" spans="1:20" x14ac:dyDescent="0.3">
      <c r="A1028">
        <v>11227</v>
      </c>
      <c r="B1028" s="2">
        <v>45996</v>
      </c>
      <c r="C1028" t="s">
        <v>271</v>
      </c>
      <c r="D1028" t="s">
        <v>21</v>
      </c>
      <c r="E1028" t="s">
        <v>33</v>
      </c>
      <c r="F1028" t="s">
        <v>23</v>
      </c>
      <c r="G1028" t="s">
        <v>54</v>
      </c>
      <c r="H1028" t="s">
        <v>165</v>
      </c>
      <c r="I1028" t="s">
        <v>377</v>
      </c>
      <c r="J1028">
        <v>920</v>
      </c>
      <c r="K1028">
        <v>9</v>
      </c>
      <c r="L1028" t="s">
        <v>68</v>
      </c>
      <c r="M1028">
        <v>113</v>
      </c>
      <c r="N1028">
        <v>35.299999999999997</v>
      </c>
      <c r="O1028">
        <v>64.900000000000006</v>
      </c>
      <c r="P1028">
        <v>5.18</v>
      </c>
      <c r="Q1028">
        <v>3.62</v>
      </c>
      <c r="R1028" t="s">
        <v>189</v>
      </c>
      <c r="S1028" t="s">
        <v>47</v>
      </c>
      <c r="T1028" t="s">
        <v>30</v>
      </c>
    </row>
    <row r="1029" spans="1:20" x14ac:dyDescent="0.3">
      <c r="A1029">
        <v>10596</v>
      </c>
      <c r="B1029" s="2">
        <v>45871</v>
      </c>
      <c r="C1029" t="s">
        <v>49</v>
      </c>
      <c r="D1029" t="s">
        <v>21</v>
      </c>
      <c r="E1029" t="s">
        <v>107</v>
      </c>
      <c r="F1029" t="s">
        <v>41</v>
      </c>
      <c r="G1029" t="s">
        <v>109</v>
      </c>
      <c r="H1029" t="s">
        <v>144</v>
      </c>
      <c r="I1029" t="s">
        <v>298</v>
      </c>
      <c r="J1029">
        <v>1563</v>
      </c>
      <c r="K1029">
        <v>16</v>
      </c>
      <c r="L1029" t="s">
        <v>57</v>
      </c>
      <c r="M1029">
        <v>6</v>
      </c>
      <c r="N1029">
        <v>44.8</v>
      </c>
      <c r="O1029">
        <v>71.099999999999994</v>
      </c>
      <c r="P1029">
        <v>6.46</v>
      </c>
      <c r="Q1029">
        <v>2.42</v>
      </c>
      <c r="R1029" t="s">
        <v>232</v>
      </c>
      <c r="S1029" t="s">
        <v>47</v>
      </c>
      <c r="T1029" t="s">
        <v>30</v>
      </c>
    </row>
    <row r="1030" spans="1:20" x14ac:dyDescent="0.3">
      <c r="A1030">
        <v>10062</v>
      </c>
      <c r="B1030" s="2">
        <v>45704</v>
      </c>
      <c r="C1030" t="s">
        <v>31</v>
      </c>
      <c r="D1030" t="s">
        <v>64</v>
      </c>
      <c r="E1030" t="s">
        <v>22</v>
      </c>
      <c r="F1030" t="s">
        <v>81</v>
      </c>
      <c r="G1030" t="s">
        <v>60</v>
      </c>
      <c r="H1030" t="s">
        <v>35</v>
      </c>
      <c r="I1030" t="s">
        <v>348</v>
      </c>
      <c r="J1030">
        <v>667</v>
      </c>
      <c r="K1030">
        <v>26</v>
      </c>
      <c r="L1030" t="s">
        <v>57</v>
      </c>
      <c r="M1030">
        <v>127</v>
      </c>
      <c r="N1030">
        <v>51.9</v>
      </c>
      <c r="O1030">
        <v>67.400000000000006</v>
      </c>
      <c r="P1030">
        <v>4.53</v>
      </c>
      <c r="Q1030">
        <v>3.32</v>
      </c>
      <c r="R1030" t="s">
        <v>202</v>
      </c>
      <c r="S1030" t="s">
        <v>39</v>
      </c>
      <c r="T1030" t="s">
        <v>48</v>
      </c>
    </row>
    <row r="1031" spans="1:20" x14ac:dyDescent="0.3">
      <c r="A1031">
        <v>10873</v>
      </c>
      <c r="B1031" s="2">
        <v>45889</v>
      </c>
      <c r="C1031" t="s">
        <v>49</v>
      </c>
      <c r="D1031" t="s">
        <v>59</v>
      </c>
      <c r="E1031" t="s">
        <v>40</v>
      </c>
      <c r="F1031" t="s">
        <v>23</v>
      </c>
      <c r="G1031" t="s">
        <v>95</v>
      </c>
      <c r="H1031" t="s">
        <v>141</v>
      </c>
      <c r="I1031" t="s">
        <v>319</v>
      </c>
      <c r="J1031">
        <v>989</v>
      </c>
      <c r="K1031">
        <v>11</v>
      </c>
      <c r="L1031" t="s">
        <v>37</v>
      </c>
      <c r="M1031">
        <v>69</v>
      </c>
      <c r="N1031">
        <v>40.799999999999997</v>
      </c>
      <c r="O1031">
        <v>84.3</v>
      </c>
      <c r="P1031">
        <v>6.03</v>
      </c>
      <c r="Q1031">
        <v>1.83</v>
      </c>
      <c r="R1031" t="s">
        <v>267</v>
      </c>
      <c r="S1031" t="s">
        <v>47</v>
      </c>
      <c r="T1031" t="s">
        <v>30</v>
      </c>
    </row>
    <row r="1032" spans="1:20" x14ac:dyDescent="0.3">
      <c r="A1032">
        <v>11129</v>
      </c>
      <c r="B1032" s="2">
        <v>46000</v>
      </c>
      <c r="C1032" t="s">
        <v>49</v>
      </c>
      <c r="D1032" t="s">
        <v>32</v>
      </c>
      <c r="E1032" t="s">
        <v>40</v>
      </c>
      <c r="F1032" t="s">
        <v>41</v>
      </c>
      <c r="G1032" t="s">
        <v>60</v>
      </c>
      <c r="H1032" t="s">
        <v>172</v>
      </c>
      <c r="I1032" t="s">
        <v>56</v>
      </c>
      <c r="J1032">
        <v>648</v>
      </c>
      <c r="K1032">
        <v>8</v>
      </c>
      <c r="L1032" t="s">
        <v>27</v>
      </c>
      <c r="M1032">
        <v>88</v>
      </c>
      <c r="N1032">
        <v>54.3</v>
      </c>
      <c r="O1032">
        <v>62.3</v>
      </c>
      <c r="P1032">
        <v>3.79</v>
      </c>
      <c r="Q1032">
        <v>4.7</v>
      </c>
      <c r="R1032" t="s">
        <v>38</v>
      </c>
      <c r="S1032" t="s">
        <v>39</v>
      </c>
      <c r="T1032" t="s">
        <v>30</v>
      </c>
    </row>
    <row r="1033" spans="1:20" x14ac:dyDescent="0.3">
      <c r="A1033">
        <v>11419</v>
      </c>
      <c r="B1033" s="2">
        <v>45741</v>
      </c>
      <c r="C1033" t="s">
        <v>49</v>
      </c>
      <c r="D1033" t="s">
        <v>32</v>
      </c>
      <c r="E1033" t="s">
        <v>22</v>
      </c>
      <c r="F1033" t="s">
        <v>41</v>
      </c>
      <c r="G1033" t="s">
        <v>109</v>
      </c>
      <c r="H1033" t="s">
        <v>213</v>
      </c>
      <c r="I1033" t="s">
        <v>353</v>
      </c>
      <c r="J1033">
        <v>901</v>
      </c>
      <c r="K1033">
        <v>5</v>
      </c>
      <c r="L1033" t="s">
        <v>57</v>
      </c>
      <c r="M1033">
        <v>100</v>
      </c>
      <c r="N1033">
        <v>29.5</v>
      </c>
      <c r="O1033">
        <v>70.2</v>
      </c>
      <c r="P1033">
        <v>6.01</v>
      </c>
      <c r="Q1033">
        <v>3.62</v>
      </c>
      <c r="R1033" t="s">
        <v>28</v>
      </c>
      <c r="S1033" t="s">
        <v>29</v>
      </c>
      <c r="T1033" t="s">
        <v>30</v>
      </c>
    </row>
    <row r="1034" spans="1:20" x14ac:dyDescent="0.3">
      <c r="A1034">
        <v>10279</v>
      </c>
      <c r="B1034" s="2">
        <v>46020</v>
      </c>
      <c r="C1034" t="s">
        <v>20</v>
      </c>
      <c r="D1034" t="s">
        <v>32</v>
      </c>
      <c r="E1034" t="s">
        <v>33</v>
      </c>
      <c r="F1034" t="s">
        <v>23</v>
      </c>
      <c r="G1034" t="s">
        <v>34</v>
      </c>
      <c r="H1034" t="s">
        <v>120</v>
      </c>
      <c r="I1034" t="s">
        <v>275</v>
      </c>
      <c r="J1034">
        <v>1259</v>
      </c>
      <c r="K1034">
        <v>12</v>
      </c>
      <c r="L1034" t="s">
        <v>71</v>
      </c>
      <c r="M1034">
        <v>122</v>
      </c>
      <c r="N1034">
        <v>51.8</v>
      </c>
      <c r="P1034">
        <v>5.54</v>
      </c>
      <c r="Q1034">
        <v>3.22</v>
      </c>
      <c r="R1034" t="s">
        <v>38</v>
      </c>
      <c r="S1034" t="s">
        <v>73</v>
      </c>
      <c r="T1034" t="s">
        <v>30</v>
      </c>
    </row>
    <row r="1035" spans="1:20" x14ac:dyDescent="0.3">
      <c r="A1035">
        <v>10037</v>
      </c>
      <c r="B1035" s="2">
        <v>45724</v>
      </c>
      <c r="C1035" t="s">
        <v>360</v>
      </c>
      <c r="D1035" t="s">
        <v>64</v>
      </c>
      <c r="E1035" t="s">
        <v>33</v>
      </c>
      <c r="F1035" t="s">
        <v>23</v>
      </c>
      <c r="G1035" t="s">
        <v>74</v>
      </c>
      <c r="H1035" t="s">
        <v>172</v>
      </c>
      <c r="I1035" t="s">
        <v>236</v>
      </c>
      <c r="J1035">
        <v>535</v>
      </c>
      <c r="K1035">
        <v>3</v>
      </c>
      <c r="L1035" t="s">
        <v>68</v>
      </c>
      <c r="M1035">
        <v>12</v>
      </c>
      <c r="N1035">
        <v>52.4</v>
      </c>
      <c r="O1035">
        <v>87.9</v>
      </c>
      <c r="P1035">
        <v>3.98</v>
      </c>
      <c r="Q1035">
        <v>1.55</v>
      </c>
      <c r="R1035" t="s">
        <v>103</v>
      </c>
      <c r="S1035" t="s">
        <v>47</v>
      </c>
      <c r="T1035" t="s">
        <v>30</v>
      </c>
    </row>
    <row r="1036" spans="1:20" x14ac:dyDescent="0.3">
      <c r="A1036">
        <v>10663</v>
      </c>
      <c r="B1036" s="2">
        <v>45926</v>
      </c>
      <c r="C1036" t="s">
        <v>20</v>
      </c>
      <c r="D1036" t="s">
        <v>32</v>
      </c>
      <c r="E1036" t="s">
        <v>33</v>
      </c>
      <c r="F1036" t="s">
        <v>23</v>
      </c>
      <c r="G1036" t="s">
        <v>50</v>
      </c>
      <c r="H1036" t="s">
        <v>96</v>
      </c>
      <c r="I1036" t="s">
        <v>264</v>
      </c>
      <c r="J1036">
        <v>549</v>
      </c>
      <c r="K1036">
        <v>14</v>
      </c>
      <c r="L1036" t="s">
        <v>27</v>
      </c>
      <c r="M1036">
        <v>62</v>
      </c>
      <c r="N1036">
        <v>40.6</v>
      </c>
      <c r="O1036">
        <v>83.7</v>
      </c>
      <c r="P1036">
        <v>5.67</v>
      </c>
      <c r="Q1036">
        <v>3.22</v>
      </c>
      <c r="R1036" t="s">
        <v>189</v>
      </c>
      <c r="S1036" t="s">
        <v>73</v>
      </c>
      <c r="T1036" t="s">
        <v>30</v>
      </c>
    </row>
    <row r="1037" spans="1:20" x14ac:dyDescent="0.3">
      <c r="A1037">
        <v>11452</v>
      </c>
      <c r="B1037" s="2">
        <v>45952</v>
      </c>
      <c r="C1037" t="s">
        <v>49</v>
      </c>
      <c r="D1037" t="s">
        <v>21</v>
      </c>
      <c r="E1037" t="s">
        <v>40</v>
      </c>
      <c r="F1037" t="s">
        <v>41</v>
      </c>
      <c r="G1037" t="s">
        <v>109</v>
      </c>
      <c r="H1037" t="s">
        <v>138</v>
      </c>
      <c r="I1037" t="s">
        <v>201</v>
      </c>
      <c r="J1037">
        <v>1325</v>
      </c>
      <c r="K1037">
        <v>11</v>
      </c>
      <c r="L1037" t="s">
        <v>37</v>
      </c>
      <c r="M1037">
        <v>30</v>
      </c>
      <c r="N1037">
        <v>37.700000000000003</v>
      </c>
      <c r="O1037">
        <v>68.400000000000006</v>
      </c>
      <c r="P1037">
        <v>5.59</v>
      </c>
      <c r="Q1037">
        <v>2.23</v>
      </c>
      <c r="R1037" t="s">
        <v>63</v>
      </c>
      <c r="S1037" t="s">
        <v>39</v>
      </c>
      <c r="T1037" t="s">
        <v>30</v>
      </c>
    </row>
    <row r="1038" spans="1:20" x14ac:dyDescent="0.3">
      <c r="A1038">
        <v>10597</v>
      </c>
      <c r="B1038" s="2">
        <v>45685</v>
      </c>
      <c r="C1038" t="s">
        <v>49</v>
      </c>
      <c r="D1038" t="s">
        <v>59</v>
      </c>
      <c r="E1038" t="s">
        <v>33</v>
      </c>
      <c r="F1038" t="s">
        <v>81</v>
      </c>
      <c r="G1038" t="s">
        <v>95</v>
      </c>
      <c r="H1038" t="s">
        <v>200</v>
      </c>
      <c r="I1038" t="s">
        <v>296</v>
      </c>
      <c r="J1038">
        <v>1520</v>
      </c>
      <c r="K1038">
        <v>6</v>
      </c>
      <c r="L1038" t="s">
        <v>37</v>
      </c>
      <c r="M1038">
        <v>63</v>
      </c>
      <c r="N1038">
        <v>45.1</v>
      </c>
      <c r="O1038">
        <v>73.5</v>
      </c>
      <c r="P1038">
        <v>5.46</v>
      </c>
      <c r="Q1038">
        <v>3.14</v>
      </c>
      <c r="R1038" t="s">
        <v>267</v>
      </c>
      <c r="S1038" t="s">
        <v>47</v>
      </c>
      <c r="T1038" t="s">
        <v>30</v>
      </c>
    </row>
    <row r="1039" spans="1:20" x14ac:dyDescent="0.3">
      <c r="A1039">
        <v>10978</v>
      </c>
      <c r="B1039" s="2">
        <v>45887</v>
      </c>
      <c r="C1039" t="s">
        <v>20</v>
      </c>
      <c r="D1039" t="s">
        <v>59</v>
      </c>
      <c r="E1039" t="s">
        <v>40</v>
      </c>
      <c r="F1039" t="s">
        <v>108</v>
      </c>
      <c r="G1039" t="s">
        <v>42</v>
      </c>
      <c r="H1039" t="s">
        <v>177</v>
      </c>
      <c r="I1039" t="s">
        <v>241</v>
      </c>
      <c r="J1039">
        <v>692</v>
      </c>
      <c r="K1039">
        <v>5</v>
      </c>
      <c r="L1039" t="s">
        <v>68</v>
      </c>
      <c r="M1039">
        <v>92</v>
      </c>
      <c r="N1039">
        <v>36.799999999999997</v>
      </c>
      <c r="O1039">
        <v>72</v>
      </c>
      <c r="P1039">
        <v>6.6</v>
      </c>
      <c r="Q1039">
        <v>1.29</v>
      </c>
      <c r="R1039" t="s">
        <v>152</v>
      </c>
      <c r="S1039" t="s">
        <v>73</v>
      </c>
      <c r="T1039" t="s">
        <v>30</v>
      </c>
    </row>
    <row r="1040" spans="1:20" x14ac:dyDescent="0.3">
      <c r="A1040">
        <v>10739</v>
      </c>
      <c r="B1040" s="2">
        <v>45814</v>
      </c>
      <c r="C1040" t="s">
        <v>49</v>
      </c>
      <c r="D1040" t="s">
        <v>64</v>
      </c>
      <c r="E1040" t="s">
        <v>40</v>
      </c>
      <c r="F1040" t="s">
        <v>23</v>
      </c>
      <c r="G1040" t="s">
        <v>109</v>
      </c>
      <c r="H1040" t="s">
        <v>169</v>
      </c>
      <c r="I1040" t="s">
        <v>178</v>
      </c>
      <c r="J1040">
        <v>1579</v>
      </c>
      <c r="K1040">
        <v>17</v>
      </c>
      <c r="L1040" t="s">
        <v>45</v>
      </c>
      <c r="M1040">
        <v>66</v>
      </c>
      <c r="N1040">
        <v>42.1</v>
      </c>
      <c r="O1040">
        <v>61</v>
      </c>
      <c r="P1040">
        <v>4.8499999999999996</v>
      </c>
      <c r="Q1040">
        <v>3.44</v>
      </c>
      <c r="R1040" t="s">
        <v>46</v>
      </c>
      <c r="S1040" t="s">
        <v>47</v>
      </c>
      <c r="T1040" t="s">
        <v>30</v>
      </c>
    </row>
    <row r="1041" spans="1:20" x14ac:dyDescent="0.3">
      <c r="A1041">
        <v>10192</v>
      </c>
      <c r="B1041" s="2">
        <v>45889</v>
      </c>
      <c r="C1041" t="s">
        <v>31</v>
      </c>
      <c r="D1041" t="s">
        <v>64</v>
      </c>
      <c r="E1041" t="s">
        <v>40</v>
      </c>
      <c r="F1041" t="s">
        <v>81</v>
      </c>
      <c r="G1041" t="s">
        <v>74</v>
      </c>
      <c r="H1041" t="s">
        <v>88</v>
      </c>
      <c r="I1041" t="s">
        <v>371</v>
      </c>
      <c r="J1041">
        <v>1277</v>
      </c>
      <c r="K1041">
        <v>40</v>
      </c>
      <c r="L1041" t="s">
        <v>71</v>
      </c>
      <c r="M1041">
        <v>12</v>
      </c>
      <c r="N1041">
        <v>45.3</v>
      </c>
      <c r="O1041">
        <v>59.7</v>
      </c>
      <c r="P1041">
        <v>5.81</v>
      </c>
      <c r="Q1041">
        <v>3.47</v>
      </c>
      <c r="R1041" t="s">
        <v>179</v>
      </c>
      <c r="S1041" t="s">
        <v>39</v>
      </c>
      <c r="T1041" t="s">
        <v>48</v>
      </c>
    </row>
    <row r="1042" spans="1:20" x14ac:dyDescent="0.3">
      <c r="A1042">
        <v>10920</v>
      </c>
      <c r="B1042" s="2">
        <v>45982</v>
      </c>
      <c r="C1042" t="s">
        <v>31</v>
      </c>
      <c r="D1042" t="s">
        <v>21</v>
      </c>
      <c r="E1042" t="s">
        <v>33</v>
      </c>
      <c r="F1042" t="s">
        <v>41</v>
      </c>
      <c r="G1042" t="s">
        <v>34</v>
      </c>
      <c r="H1042" t="s">
        <v>265</v>
      </c>
      <c r="I1042" t="s">
        <v>306</v>
      </c>
      <c r="J1042">
        <v>1398</v>
      </c>
      <c r="K1042">
        <v>19</v>
      </c>
      <c r="L1042" t="s">
        <v>68</v>
      </c>
      <c r="M1042">
        <v>175</v>
      </c>
      <c r="N1042">
        <v>36.200000000000003</v>
      </c>
      <c r="O1042">
        <v>63.3</v>
      </c>
      <c r="P1042">
        <v>4.29</v>
      </c>
      <c r="Q1042">
        <v>3.25</v>
      </c>
      <c r="R1042" t="s">
        <v>105</v>
      </c>
      <c r="S1042" t="s">
        <v>47</v>
      </c>
      <c r="T1042" t="s">
        <v>30</v>
      </c>
    </row>
    <row r="1043" spans="1:20" x14ac:dyDescent="0.3">
      <c r="A1043">
        <v>10457</v>
      </c>
      <c r="B1043" s="2">
        <v>45723</v>
      </c>
      <c r="C1043" t="s">
        <v>31</v>
      </c>
      <c r="D1043" t="s">
        <v>64</v>
      </c>
      <c r="E1043" t="s">
        <v>107</v>
      </c>
      <c r="F1043" t="s">
        <v>81</v>
      </c>
      <c r="G1043" t="s">
        <v>74</v>
      </c>
      <c r="H1043" t="s">
        <v>200</v>
      </c>
      <c r="I1043" t="s">
        <v>160</v>
      </c>
      <c r="J1043">
        <v>1467</v>
      </c>
      <c r="K1043">
        <v>9</v>
      </c>
      <c r="L1043" t="s">
        <v>71</v>
      </c>
      <c r="M1043">
        <v>22</v>
      </c>
      <c r="N1043">
        <v>36.799999999999997</v>
      </c>
      <c r="O1043">
        <v>69.5</v>
      </c>
      <c r="P1043">
        <v>5.77</v>
      </c>
      <c r="Q1043">
        <v>2.25</v>
      </c>
      <c r="R1043" t="s">
        <v>77</v>
      </c>
      <c r="S1043" t="s">
        <v>39</v>
      </c>
      <c r="T1043" t="s">
        <v>30</v>
      </c>
    </row>
    <row r="1044" spans="1:20" x14ac:dyDescent="0.3">
      <c r="A1044">
        <v>10676</v>
      </c>
      <c r="B1044" s="2">
        <v>46010</v>
      </c>
      <c r="C1044" t="s">
        <v>49</v>
      </c>
      <c r="D1044" t="s">
        <v>32</v>
      </c>
      <c r="E1044" t="s">
        <v>33</v>
      </c>
      <c r="F1044" t="s">
        <v>41</v>
      </c>
      <c r="G1044" t="s">
        <v>74</v>
      </c>
      <c r="H1044" t="s">
        <v>131</v>
      </c>
      <c r="I1044" t="s">
        <v>219</v>
      </c>
      <c r="J1044">
        <v>1320</v>
      </c>
      <c r="K1044">
        <v>18</v>
      </c>
      <c r="L1044" t="s">
        <v>68</v>
      </c>
      <c r="M1044">
        <v>77</v>
      </c>
      <c r="N1044">
        <v>35.4</v>
      </c>
      <c r="O1044">
        <v>85.3</v>
      </c>
      <c r="P1044">
        <v>6.8</v>
      </c>
      <c r="Q1044">
        <v>3.79</v>
      </c>
      <c r="R1044" t="s">
        <v>92</v>
      </c>
      <c r="S1044" t="s">
        <v>29</v>
      </c>
      <c r="T1044" t="s">
        <v>30</v>
      </c>
    </row>
    <row r="1045" spans="1:20" x14ac:dyDescent="0.3">
      <c r="A1045">
        <v>10761</v>
      </c>
      <c r="B1045" s="2">
        <v>45920</v>
      </c>
      <c r="C1045" t="s">
        <v>49</v>
      </c>
      <c r="D1045" t="s">
        <v>32</v>
      </c>
      <c r="E1045" t="s">
        <v>107</v>
      </c>
      <c r="F1045" t="s">
        <v>23</v>
      </c>
      <c r="G1045" t="s">
        <v>95</v>
      </c>
      <c r="H1045" t="s">
        <v>287</v>
      </c>
      <c r="I1045" t="s">
        <v>241</v>
      </c>
      <c r="J1045">
        <v>1302</v>
      </c>
      <c r="K1045">
        <v>30</v>
      </c>
      <c r="L1045" t="s">
        <v>45</v>
      </c>
      <c r="M1045">
        <v>79</v>
      </c>
      <c r="N1045">
        <v>51.1</v>
      </c>
      <c r="O1045">
        <v>82.2</v>
      </c>
      <c r="P1045">
        <v>4.51</v>
      </c>
      <c r="Q1045">
        <v>3.02</v>
      </c>
      <c r="R1045" t="s">
        <v>137</v>
      </c>
      <c r="S1045" t="s">
        <v>47</v>
      </c>
      <c r="T1045" t="s">
        <v>30</v>
      </c>
    </row>
    <row r="1046" spans="1:20" x14ac:dyDescent="0.3">
      <c r="A1046">
        <v>11365</v>
      </c>
      <c r="B1046" s="2">
        <v>45734</v>
      </c>
      <c r="C1046" t="s">
        <v>49</v>
      </c>
      <c r="D1046" t="s">
        <v>64</v>
      </c>
      <c r="E1046" t="s">
        <v>40</v>
      </c>
      <c r="F1046" t="s">
        <v>23</v>
      </c>
      <c r="G1046" t="s">
        <v>74</v>
      </c>
      <c r="H1046" t="s">
        <v>131</v>
      </c>
      <c r="I1046" t="s">
        <v>356</v>
      </c>
      <c r="J1046">
        <v>769</v>
      </c>
      <c r="K1046">
        <v>19</v>
      </c>
      <c r="L1046" t="s">
        <v>68</v>
      </c>
      <c r="M1046">
        <v>118</v>
      </c>
      <c r="N1046">
        <v>34</v>
      </c>
      <c r="O1046">
        <v>70.2</v>
      </c>
      <c r="P1046">
        <v>6.28</v>
      </c>
      <c r="Q1046">
        <v>2.34</v>
      </c>
      <c r="R1046" t="s">
        <v>103</v>
      </c>
      <c r="S1046" t="s">
        <v>29</v>
      </c>
      <c r="T1046" t="s">
        <v>30</v>
      </c>
    </row>
    <row r="1047" spans="1:20" x14ac:dyDescent="0.3">
      <c r="A1047">
        <v>10729</v>
      </c>
      <c r="B1047" s="2">
        <v>45914</v>
      </c>
      <c r="C1047" t="s">
        <v>49</v>
      </c>
      <c r="D1047" t="s">
        <v>32</v>
      </c>
      <c r="E1047" t="s">
        <v>107</v>
      </c>
      <c r="F1047" t="s">
        <v>23</v>
      </c>
      <c r="G1047" t="s">
        <v>34</v>
      </c>
      <c r="H1047" t="s">
        <v>196</v>
      </c>
      <c r="I1047" t="s">
        <v>318</v>
      </c>
      <c r="J1047">
        <v>1453</v>
      </c>
      <c r="K1047">
        <v>18</v>
      </c>
      <c r="L1047" t="s">
        <v>45</v>
      </c>
      <c r="M1047">
        <v>164</v>
      </c>
      <c r="N1047">
        <v>55.5</v>
      </c>
      <c r="O1047">
        <v>81.599999999999994</v>
      </c>
      <c r="P1047">
        <v>5.67</v>
      </c>
      <c r="Q1047">
        <v>3.4</v>
      </c>
      <c r="R1047" t="s">
        <v>58</v>
      </c>
      <c r="S1047" t="s">
        <v>47</v>
      </c>
      <c r="T1047" t="s">
        <v>30</v>
      </c>
    </row>
    <row r="1048" spans="1:20" x14ac:dyDescent="0.3">
      <c r="A1048">
        <v>10413</v>
      </c>
      <c r="B1048" s="2">
        <v>45843</v>
      </c>
      <c r="C1048" t="s">
        <v>31</v>
      </c>
      <c r="D1048" t="s">
        <v>32</v>
      </c>
      <c r="E1048" t="s">
        <v>107</v>
      </c>
      <c r="F1048" t="s">
        <v>274</v>
      </c>
      <c r="G1048" t="s">
        <v>24</v>
      </c>
      <c r="H1048" t="s">
        <v>90</v>
      </c>
      <c r="I1048" t="s">
        <v>170</v>
      </c>
      <c r="J1048">
        <v>1050</v>
      </c>
      <c r="K1048">
        <v>21</v>
      </c>
      <c r="L1048" t="s">
        <v>27</v>
      </c>
      <c r="M1048">
        <v>65</v>
      </c>
      <c r="N1048">
        <v>33.4</v>
      </c>
      <c r="O1048">
        <v>66.5</v>
      </c>
      <c r="P1048">
        <v>5.57</v>
      </c>
      <c r="Q1048">
        <v>5.1100000000000003</v>
      </c>
      <c r="R1048" t="s">
        <v>128</v>
      </c>
      <c r="S1048" t="s">
        <v>47</v>
      </c>
      <c r="T1048" t="s">
        <v>30</v>
      </c>
    </row>
    <row r="1049" spans="1:20" x14ac:dyDescent="0.3">
      <c r="A1049">
        <v>10826</v>
      </c>
      <c r="B1049" s="2">
        <v>45817</v>
      </c>
      <c r="C1049" t="s">
        <v>271</v>
      </c>
      <c r="D1049" t="s">
        <v>64</v>
      </c>
      <c r="E1049" t="s">
        <v>22</v>
      </c>
      <c r="F1049" t="s">
        <v>41</v>
      </c>
      <c r="G1049" t="s">
        <v>50</v>
      </c>
      <c r="H1049" t="s">
        <v>116</v>
      </c>
      <c r="I1049" t="s">
        <v>330</v>
      </c>
      <c r="J1049">
        <v>1263</v>
      </c>
      <c r="K1049">
        <v>5</v>
      </c>
      <c r="L1049" t="s">
        <v>37</v>
      </c>
      <c r="M1049">
        <v>73</v>
      </c>
      <c r="N1049">
        <v>39.6</v>
      </c>
      <c r="P1049">
        <v>5.37</v>
      </c>
      <c r="Q1049">
        <v>3.8</v>
      </c>
      <c r="R1049" t="s">
        <v>105</v>
      </c>
      <c r="S1049" t="s">
        <v>29</v>
      </c>
      <c r="T1049" t="s">
        <v>30</v>
      </c>
    </row>
    <row r="1050" spans="1:20" x14ac:dyDescent="0.3">
      <c r="A1050">
        <v>10617</v>
      </c>
      <c r="B1050" s="2">
        <v>45784</v>
      </c>
      <c r="C1050" t="s">
        <v>31</v>
      </c>
      <c r="D1050" t="s">
        <v>32</v>
      </c>
      <c r="E1050" t="s">
        <v>40</v>
      </c>
      <c r="F1050" t="s">
        <v>81</v>
      </c>
      <c r="G1050" t="s">
        <v>113</v>
      </c>
      <c r="I1050" t="s">
        <v>373</v>
      </c>
      <c r="J1050">
        <v>1126</v>
      </c>
      <c r="K1050">
        <v>6</v>
      </c>
      <c r="L1050" t="s">
        <v>37</v>
      </c>
      <c r="M1050">
        <v>66</v>
      </c>
      <c r="N1050">
        <v>34.200000000000003</v>
      </c>
      <c r="O1050">
        <v>83</v>
      </c>
      <c r="P1050">
        <v>6.83</v>
      </c>
      <c r="Q1050">
        <v>2.96</v>
      </c>
      <c r="R1050" t="s">
        <v>183</v>
      </c>
      <c r="S1050" t="s">
        <v>73</v>
      </c>
      <c r="T1050" t="s">
        <v>30</v>
      </c>
    </row>
    <row r="1051" spans="1:20" x14ac:dyDescent="0.3">
      <c r="A1051">
        <v>10115</v>
      </c>
      <c r="B1051" s="2">
        <v>45809</v>
      </c>
      <c r="C1051" t="s">
        <v>20</v>
      </c>
      <c r="D1051" t="s">
        <v>64</v>
      </c>
      <c r="E1051" t="s">
        <v>33</v>
      </c>
      <c r="F1051" t="s">
        <v>23</v>
      </c>
      <c r="G1051" t="s">
        <v>113</v>
      </c>
      <c r="H1051" t="s">
        <v>161</v>
      </c>
      <c r="I1051" t="s">
        <v>264</v>
      </c>
      <c r="J1051">
        <v>1078</v>
      </c>
      <c r="K1051">
        <v>5</v>
      </c>
      <c r="L1051" t="s">
        <v>45</v>
      </c>
      <c r="M1051">
        <v>90</v>
      </c>
      <c r="N1051">
        <v>57.2</v>
      </c>
      <c r="O1051">
        <v>79.5</v>
      </c>
      <c r="P1051">
        <v>5.64</v>
      </c>
      <c r="Q1051">
        <v>2.3199999999999998</v>
      </c>
      <c r="R1051" t="s">
        <v>179</v>
      </c>
      <c r="S1051" t="s">
        <v>73</v>
      </c>
      <c r="T1051" t="s">
        <v>30</v>
      </c>
    </row>
    <row r="1052" spans="1:20" x14ac:dyDescent="0.3">
      <c r="A1052">
        <v>10418</v>
      </c>
      <c r="B1052" s="2">
        <v>45977</v>
      </c>
      <c r="C1052" t="s">
        <v>31</v>
      </c>
      <c r="D1052" t="s">
        <v>64</v>
      </c>
      <c r="E1052" t="s">
        <v>107</v>
      </c>
      <c r="F1052" t="s">
        <v>23</v>
      </c>
      <c r="G1052" t="s">
        <v>109</v>
      </c>
      <c r="H1052" t="s">
        <v>190</v>
      </c>
      <c r="I1052" t="s">
        <v>343</v>
      </c>
      <c r="J1052">
        <v>501</v>
      </c>
      <c r="K1052">
        <v>5</v>
      </c>
      <c r="L1052" t="s">
        <v>37</v>
      </c>
      <c r="M1052">
        <v>21</v>
      </c>
      <c r="N1052">
        <v>44.4</v>
      </c>
      <c r="O1052">
        <v>77.2</v>
      </c>
      <c r="P1052">
        <v>4.72</v>
      </c>
      <c r="Q1052">
        <v>2.21</v>
      </c>
      <c r="R1052" t="s">
        <v>125</v>
      </c>
      <c r="S1052" t="s">
        <v>39</v>
      </c>
      <c r="T1052" t="s">
        <v>30</v>
      </c>
    </row>
    <row r="1053" spans="1:20" x14ac:dyDescent="0.3">
      <c r="A1053">
        <v>11441</v>
      </c>
      <c r="B1053" s="2">
        <v>45691</v>
      </c>
      <c r="C1053" t="s">
        <v>31</v>
      </c>
      <c r="D1053" t="s">
        <v>21</v>
      </c>
      <c r="E1053" t="s">
        <v>33</v>
      </c>
      <c r="F1053" t="s">
        <v>81</v>
      </c>
      <c r="G1053" t="s">
        <v>74</v>
      </c>
      <c r="H1053" t="s">
        <v>223</v>
      </c>
      <c r="I1053" t="s">
        <v>285</v>
      </c>
      <c r="J1053">
        <v>583</v>
      </c>
      <c r="K1053">
        <v>6</v>
      </c>
      <c r="L1053" t="s">
        <v>71</v>
      </c>
      <c r="M1053">
        <v>69</v>
      </c>
      <c r="N1053">
        <v>19.100000000000001</v>
      </c>
      <c r="O1053">
        <v>75.099999999999994</v>
      </c>
      <c r="P1053">
        <v>5.61</v>
      </c>
      <c r="Q1053">
        <v>3.3</v>
      </c>
      <c r="R1053" t="s">
        <v>159</v>
      </c>
      <c r="S1053" t="s">
        <v>29</v>
      </c>
      <c r="T1053" t="s">
        <v>30</v>
      </c>
    </row>
    <row r="1054" spans="1:20" x14ac:dyDescent="0.3">
      <c r="A1054">
        <v>10970</v>
      </c>
      <c r="B1054" s="2">
        <v>45679</v>
      </c>
      <c r="C1054" t="s">
        <v>31</v>
      </c>
      <c r="D1054" t="s">
        <v>21</v>
      </c>
      <c r="E1054" t="s">
        <v>107</v>
      </c>
      <c r="F1054" t="s">
        <v>41</v>
      </c>
      <c r="G1054" t="s">
        <v>95</v>
      </c>
      <c r="H1054" t="s">
        <v>66</v>
      </c>
      <c r="I1054" t="s">
        <v>319</v>
      </c>
      <c r="J1054">
        <v>1541</v>
      </c>
      <c r="K1054">
        <v>18</v>
      </c>
      <c r="L1054" t="s">
        <v>45</v>
      </c>
      <c r="M1054">
        <v>46</v>
      </c>
      <c r="N1054">
        <v>37.200000000000003</v>
      </c>
      <c r="O1054">
        <v>70.3</v>
      </c>
      <c r="P1054">
        <v>4.3099999999999996</v>
      </c>
      <c r="Q1054">
        <v>2.27</v>
      </c>
      <c r="R1054" t="s">
        <v>267</v>
      </c>
      <c r="S1054" t="s">
        <v>73</v>
      </c>
      <c r="T1054" t="s">
        <v>30</v>
      </c>
    </row>
    <row r="1055" spans="1:20" x14ac:dyDescent="0.3">
      <c r="A1055">
        <v>10605</v>
      </c>
      <c r="B1055" s="2">
        <v>45955</v>
      </c>
      <c r="C1055" t="s">
        <v>49</v>
      </c>
      <c r="D1055" t="s">
        <v>59</v>
      </c>
      <c r="E1055" t="s">
        <v>22</v>
      </c>
      <c r="F1055" t="s">
        <v>23</v>
      </c>
      <c r="G1055" t="s">
        <v>109</v>
      </c>
      <c r="H1055" t="s">
        <v>101</v>
      </c>
      <c r="I1055" t="s">
        <v>151</v>
      </c>
      <c r="J1055">
        <v>875</v>
      </c>
      <c r="K1055">
        <v>7</v>
      </c>
      <c r="L1055" t="s">
        <v>71</v>
      </c>
      <c r="M1055">
        <v>161</v>
      </c>
      <c r="N1055">
        <v>37.6</v>
      </c>
      <c r="O1055">
        <v>12</v>
      </c>
      <c r="P1055">
        <v>5.01</v>
      </c>
      <c r="Q1055">
        <v>3.02</v>
      </c>
      <c r="R1055" t="s">
        <v>80</v>
      </c>
      <c r="S1055" t="s">
        <v>73</v>
      </c>
      <c r="T1055" t="s">
        <v>30</v>
      </c>
    </row>
    <row r="1056" spans="1:20" x14ac:dyDescent="0.3">
      <c r="A1056">
        <v>11447</v>
      </c>
      <c r="B1056" s="2">
        <v>45803</v>
      </c>
      <c r="C1056" t="s">
        <v>49</v>
      </c>
      <c r="D1056" t="s">
        <v>64</v>
      </c>
      <c r="E1056" t="s">
        <v>107</v>
      </c>
      <c r="F1056" t="s">
        <v>81</v>
      </c>
      <c r="G1056" t="s">
        <v>42</v>
      </c>
      <c r="H1056" t="s">
        <v>120</v>
      </c>
      <c r="I1056" t="s">
        <v>379</v>
      </c>
      <c r="J1056">
        <v>848</v>
      </c>
      <c r="K1056">
        <v>2</v>
      </c>
      <c r="L1056" t="s">
        <v>37</v>
      </c>
      <c r="M1056">
        <v>171</v>
      </c>
      <c r="N1056">
        <v>54.3</v>
      </c>
      <c r="O1056">
        <v>64.099999999999994</v>
      </c>
      <c r="P1056">
        <v>6.37</v>
      </c>
      <c r="Q1056">
        <v>1.75</v>
      </c>
      <c r="R1056" t="s">
        <v>111</v>
      </c>
      <c r="S1056" t="s">
        <v>39</v>
      </c>
      <c r="T1056" t="s">
        <v>30</v>
      </c>
    </row>
    <row r="1057" spans="1:20" x14ac:dyDescent="0.3">
      <c r="A1057">
        <v>10090</v>
      </c>
      <c r="B1057" s="2">
        <v>45693</v>
      </c>
      <c r="C1057" t="s">
        <v>20</v>
      </c>
      <c r="D1057" t="s">
        <v>64</v>
      </c>
      <c r="E1057" t="s">
        <v>107</v>
      </c>
      <c r="F1057" t="s">
        <v>23</v>
      </c>
      <c r="G1057" t="s">
        <v>134</v>
      </c>
      <c r="H1057" t="s">
        <v>175</v>
      </c>
      <c r="I1057" t="s">
        <v>353</v>
      </c>
      <c r="J1057">
        <v>1149</v>
      </c>
      <c r="K1057">
        <v>35</v>
      </c>
      <c r="L1057" t="s">
        <v>27</v>
      </c>
      <c r="M1057">
        <v>74</v>
      </c>
      <c r="N1057">
        <v>37.9</v>
      </c>
      <c r="O1057">
        <v>70.400000000000006</v>
      </c>
      <c r="P1057">
        <v>4.59</v>
      </c>
      <c r="Q1057">
        <v>2.84</v>
      </c>
      <c r="R1057" t="s">
        <v>189</v>
      </c>
      <c r="S1057" t="s">
        <v>47</v>
      </c>
      <c r="T1057" t="s">
        <v>48</v>
      </c>
    </row>
    <row r="1058" spans="1:20" x14ac:dyDescent="0.3">
      <c r="A1058">
        <v>10849</v>
      </c>
      <c r="B1058" s="2">
        <v>45883</v>
      </c>
      <c r="C1058" t="s">
        <v>31</v>
      </c>
      <c r="D1058" t="s">
        <v>59</v>
      </c>
      <c r="E1058" t="s">
        <v>40</v>
      </c>
      <c r="F1058" t="s">
        <v>23</v>
      </c>
      <c r="G1058" t="s">
        <v>109</v>
      </c>
      <c r="H1058" t="s">
        <v>66</v>
      </c>
      <c r="I1058" t="s">
        <v>325</v>
      </c>
      <c r="J1058">
        <v>996</v>
      </c>
      <c r="K1058">
        <v>5</v>
      </c>
      <c r="L1058" t="s">
        <v>57</v>
      </c>
      <c r="M1058">
        <v>18</v>
      </c>
      <c r="N1058">
        <v>46</v>
      </c>
      <c r="O1058">
        <v>78.900000000000006</v>
      </c>
      <c r="P1058">
        <v>6.56</v>
      </c>
      <c r="Q1058">
        <v>2.0299999999999998</v>
      </c>
      <c r="R1058" t="s">
        <v>245</v>
      </c>
      <c r="S1058" t="s">
        <v>73</v>
      </c>
      <c r="T1058" t="s">
        <v>30</v>
      </c>
    </row>
    <row r="1059" spans="1:20" x14ac:dyDescent="0.3">
      <c r="A1059">
        <v>11260</v>
      </c>
      <c r="B1059" s="2">
        <v>45827</v>
      </c>
      <c r="C1059" t="s">
        <v>49</v>
      </c>
      <c r="D1059" t="s">
        <v>59</v>
      </c>
      <c r="E1059" t="s">
        <v>107</v>
      </c>
      <c r="F1059" t="s">
        <v>23</v>
      </c>
      <c r="G1059" t="s">
        <v>54</v>
      </c>
      <c r="H1059" t="s">
        <v>205</v>
      </c>
      <c r="I1059" t="s">
        <v>340</v>
      </c>
      <c r="J1059">
        <v>670</v>
      </c>
      <c r="K1059">
        <v>2</v>
      </c>
      <c r="L1059" t="s">
        <v>71</v>
      </c>
      <c r="M1059">
        <v>173</v>
      </c>
      <c r="N1059">
        <v>54.1</v>
      </c>
      <c r="O1059">
        <v>56.9</v>
      </c>
      <c r="P1059">
        <v>5.89</v>
      </c>
      <c r="Q1059">
        <v>4.4800000000000004</v>
      </c>
      <c r="R1059" t="s">
        <v>38</v>
      </c>
      <c r="S1059" t="s">
        <v>73</v>
      </c>
      <c r="T1059" t="s">
        <v>30</v>
      </c>
    </row>
    <row r="1060" spans="1:20" x14ac:dyDescent="0.3">
      <c r="A1060">
        <v>11446</v>
      </c>
      <c r="B1060" s="2">
        <v>45695</v>
      </c>
      <c r="C1060" t="s">
        <v>207</v>
      </c>
      <c r="D1060" t="s">
        <v>59</v>
      </c>
      <c r="E1060" t="s">
        <v>40</v>
      </c>
      <c r="F1060" t="s">
        <v>23</v>
      </c>
      <c r="G1060" t="s">
        <v>60</v>
      </c>
      <c r="H1060" t="s">
        <v>205</v>
      </c>
      <c r="I1060" t="s">
        <v>284</v>
      </c>
      <c r="J1060">
        <v>1245</v>
      </c>
      <c r="K1060">
        <v>3</v>
      </c>
      <c r="L1060" t="s">
        <v>37</v>
      </c>
      <c r="M1060">
        <v>145</v>
      </c>
      <c r="N1060">
        <v>33.799999999999997</v>
      </c>
      <c r="O1060">
        <v>68.099999999999994</v>
      </c>
      <c r="P1060">
        <v>5.52</v>
      </c>
      <c r="Q1060">
        <v>4.13</v>
      </c>
      <c r="R1060" t="s">
        <v>125</v>
      </c>
      <c r="S1060" t="s">
        <v>47</v>
      </c>
      <c r="T1060" t="s">
        <v>30</v>
      </c>
    </row>
    <row r="1061" spans="1:20" x14ac:dyDescent="0.3">
      <c r="A1061">
        <v>10754</v>
      </c>
      <c r="B1061" s="2">
        <v>45847</v>
      </c>
      <c r="C1061" t="s">
        <v>20</v>
      </c>
      <c r="D1061" t="s">
        <v>64</v>
      </c>
      <c r="E1061" t="s">
        <v>40</v>
      </c>
      <c r="F1061" t="s">
        <v>41</v>
      </c>
      <c r="G1061" t="s">
        <v>109</v>
      </c>
      <c r="H1061" t="s">
        <v>287</v>
      </c>
      <c r="I1061" t="s">
        <v>256</v>
      </c>
      <c r="J1061">
        <v>1424</v>
      </c>
      <c r="K1061">
        <v>90</v>
      </c>
      <c r="L1061" t="s">
        <v>71</v>
      </c>
      <c r="M1061">
        <v>36</v>
      </c>
      <c r="N1061">
        <v>46.6</v>
      </c>
      <c r="O1061">
        <v>82.7</v>
      </c>
      <c r="P1061">
        <v>5.05</v>
      </c>
      <c r="Q1061">
        <v>4.25</v>
      </c>
      <c r="R1061" t="s">
        <v>103</v>
      </c>
      <c r="S1061" t="s">
        <v>73</v>
      </c>
      <c r="T1061" t="s">
        <v>48</v>
      </c>
    </row>
    <row r="1062" spans="1:20" x14ac:dyDescent="0.3">
      <c r="A1062">
        <v>10499</v>
      </c>
      <c r="B1062" s="2">
        <v>45770</v>
      </c>
      <c r="C1062" t="s">
        <v>20</v>
      </c>
      <c r="D1062" t="s">
        <v>59</v>
      </c>
      <c r="E1062" t="s">
        <v>22</v>
      </c>
      <c r="F1062" t="s">
        <v>23</v>
      </c>
      <c r="G1062" t="s">
        <v>54</v>
      </c>
      <c r="H1062" t="s">
        <v>165</v>
      </c>
      <c r="I1062" t="s">
        <v>118</v>
      </c>
      <c r="J1062">
        <v>1020</v>
      </c>
      <c r="K1062">
        <v>4</v>
      </c>
      <c r="L1062" t="s">
        <v>57</v>
      </c>
      <c r="M1062">
        <v>112</v>
      </c>
      <c r="N1062">
        <v>28.5</v>
      </c>
      <c r="O1062">
        <v>61.1</v>
      </c>
      <c r="P1062">
        <v>4.88</v>
      </c>
      <c r="Q1062">
        <v>1.46</v>
      </c>
      <c r="R1062" t="s">
        <v>140</v>
      </c>
      <c r="S1062" t="s">
        <v>39</v>
      </c>
      <c r="T1062" t="s">
        <v>30</v>
      </c>
    </row>
    <row r="1063" spans="1:20" x14ac:dyDescent="0.3">
      <c r="A1063">
        <v>10012</v>
      </c>
      <c r="B1063" s="2">
        <v>45756</v>
      </c>
      <c r="C1063" t="s">
        <v>20</v>
      </c>
      <c r="D1063" t="s">
        <v>64</v>
      </c>
      <c r="E1063" t="s">
        <v>33</v>
      </c>
      <c r="F1063" t="s">
        <v>23</v>
      </c>
      <c r="G1063" t="s">
        <v>42</v>
      </c>
      <c r="H1063" t="s">
        <v>252</v>
      </c>
      <c r="I1063" t="s">
        <v>284</v>
      </c>
      <c r="J1063">
        <v>1036</v>
      </c>
      <c r="K1063">
        <v>15</v>
      </c>
      <c r="L1063" t="s">
        <v>57</v>
      </c>
      <c r="M1063">
        <v>167</v>
      </c>
      <c r="N1063">
        <v>33.700000000000003</v>
      </c>
      <c r="O1063">
        <v>77.3</v>
      </c>
      <c r="P1063">
        <v>4.42</v>
      </c>
      <c r="Q1063">
        <v>3.67</v>
      </c>
      <c r="R1063" t="s">
        <v>105</v>
      </c>
      <c r="S1063" t="s">
        <v>47</v>
      </c>
      <c r="T1063" t="s">
        <v>30</v>
      </c>
    </row>
    <row r="1064" spans="1:20" x14ac:dyDescent="0.3">
      <c r="A1064">
        <v>10397</v>
      </c>
      <c r="B1064" s="2">
        <v>45886</v>
      </c>
      <c r="C1064" t="s">
        <v>31</v>
      </c>
      <c r="D1064" t="s">
        <v>21</v>
      </c>
      <c r="E1064" t="s">
        <v>22</v>
      </c>
      <c r="F1064" t="s">
        <v>81</v>
      </c>
      <c r="G1064" t="s">
        <v>24</v>
      </c>
      <c r="H1064" t="s">
        <v>351</v>
      </c>
      <c r="I1064" t="s">
        <v>168</v>
      </c>
      <c r="J1064">
        <v>597</v>
      </c>
      <c r="K1064">
        <v>16</v>
      </c>
      <c r="L1064" t="s">
        <v>57</v>
      </c>
      <c r="M1064">
        <v>130</v>
      </c>
      <c r="N1064">
        <v>49.2</v>
      </c>
      <c r="O1064">
        <v>77.400000000000006</v>
      </c>
      <c r="P1064">
        <v>4.8899999999999997</v>
      </c>
      <c r="Q1064">
        <v>3.15</v>
      </c>
      <c r="R1064" t="s">
        <v>152</v>
      </c>
      <c r="S1064" t="s">
        <v>73</v>
      </c>
      <c r="T1064" t="s">
        <v>30</v>
      </c>
    </row>
    <row r="1065" spans="1:20" x14ac:dyDescent="0.3">
      <c r="A1065">
        <v>10285</v>
      </c>
      <c r="B1065" s="2">
        <v>45667</v>
      </c>
      <c r="C1065" t="s">
        <v>20</v>
      </c>
      <c r="D1065" t="s">
        <v>21</v>
      </c>
      <c r="E1065" t="s">
        <v>107</v>
      </c>
      <c r="F1065" t="s">
        <v>23</v>
      </c>
      <c r="G1065" t="s">
        <v>60</v>
      </c>
      <c r="H1065" t="s">
        <v>265</v>
      </c>
      <c r="I1065" t="s">
        <v>334</v>
      </c>
      <c r="J1065">
        <v>1344</v>
      </c>
      <c r="K1065">
        <v>7</v>
      </c>
      <c r="L1065" t="s">
        <v>68</v>
      </c>
      <c r="M1065">
        <v>90</v>
      </c>
      <c r="N1065">
        <v>28.2</v>
      </c>
      <c r="O1065">
        <v>78</v>
      </c>
      <c r="P1065">
        <v>3.55</v>
      </c>
      <c r="Q1065">
        <v>2.83</v>
      </c>
      <c r="R1065" t="s">
        <v>84</v>
      </c>
      <c r="S1065" t="s">
        <v>29</v>
      </c>
      <c r="T1065" t="s">
        <v>30</v>
      </c>
    </row>
    <row r="1066" spans="1:20" x14ac:dyDescent="0.3">
      <c r="A1066">
        <v>10691</v>
      </c>
      <c r="B1066" s="2">
        <v>45911</v>
      </c>
      <c r="C1066" t="s">
        <v>20</v>
      </c>
      <c r="D1066" t="s">
        <v>64</v>
      </c>
      <c r="E1066" t="s">
        <v>40</v>
      </c>
      <c r="F1066" t="s">
        <v>23</v>
      </c>
      <c r="G1066" t="s">
        <v>42</v>
      </c>
      <c r="H1066" t="s">
        <v>169</v>
      </c>
      <c r="I1066" t="s">
        <v>253</v>
      </c>
      <c r="J1066">
        <v>1289</v>
      </c>
      <c r="K1066">
        <v>13</v>
      </c>
      <c r="L1066" t="s">
        <v>37</v>
      </c>
      <c r="M1066">
        <v>139</v>
      </c>
      <c r="N1066">
        <v>48.3</v>
      </c>
      <c r="O1066">
        <v>76.099999999999994</v>
      </c>
      <c r="P1066">
        <v>6.54</v>
      </c>
      <c r="Q1066">
        <v>1.93</v>
      </c>
      <c r="R1066" t="s">
        <v>155</v>
      </c>
      <c r="T1066" t="s">
        <v>30</v>
      </c>
    </row>
    <row r="1067" spans="1:20" x14ac:dyDescent="0.3">
      <c r="A1067">
        <v>11241</v>
      </c>
      <c r="B1067" s="2">
        <v>45993</v>
      </c>
      <c r="C1067" t="s">
        <v>31</v>
      </c>
      <c r="D1067" t="s">
        <v>32</v>
      </c>
      <c r="E1067" t="s">
        <v>33</v>
      </c>
      <c r="F1067" t="s">
        <v>23</v>
      </c>
      <c r="G1067" t="s">
        <v>74</v>
      </c>
      <c r="H1067" t="s">
        <v>161</v>
      </c>
      <c r="I1067" t="s">
        <v>361</v>
      </c>
      <c r="J1067">
        <v>941</v>
      </c>
      <c r="K1067">
        <v>29</v>
      </c>
      <c r="L1067" t="s">
        <v>45</v>
      </c>
      <c r="M1067">
        <v>51</v>
      </c>
      <c r="N1067">
        <v>48.9</v>
      </c>
      <c r="O1067">
        <v>70.2</v>
      </c>
      <c r="P1067">
        <v>5.57</v>
      </c>
      <c r="Q1067">
        <v>3.21</v>
      </c>
      <c r="R1067" t="s">
        <v>164</v>
      </c>
      <c r="S1067" t="s">
        <v>47</v>
      </c>
      <c r="T1067" t="s">
        <v>48</v>
      </c>
    </row>
    <row r="1068" spans="1:20" x14ac:dyDescent="0.3">
      <c r="A1068">
        <v>11416</v>
      </c>
      <c r="B1068" s="2">
        <v>45759</v>
      </c>
      <c r="C1068" t="s">
        <v>20</v>
      </c>
      <c r="D1068" t="s">
        <v>59</v>
      </c>
      <c r="E1068" t="s">
        <v>40</v>
      </c>
      <c r="F1068" t="s">
        <v>81</v>
      </c>
      <c r="G1068" t="s">
        <v>109</v>
      </c>
      <c r="H1068" t="s">
        <v>69</v>
      </c>
      <c r="I1068" t="s">
        <v>219</v>
      </c>
      <c r="J1068">
        <v>554</v>
      </c>
      <c r="K1068">
        <v>6</v>
      </c>
      <c r="L1068" t="s">
        <v>37</v>
      </c>
      <c r="M1068">
        <v>69</v>
      </c>
      <c r="N1068">
        <v>45.4</v>
      </c>
      <c r="O1068">
        <v>81.7</v>
      </c>
      <c r="P1068">
        <v>5.98</v>
      </c>
      <c r="Q1068">
        <v>1.8</v>
      </c>
      <c r="R1068" t="s">
        <v>152</v>
      </c>
      <c r="S1068" t="s">
        <v>73</v>
      </c>
      <c r="T1068" t="s">
        <v>30</v>
      </c>
    </row>
    <row r="1069" spans="1:20" x14ac:dyDescent="0.3">
      <c r="A1069">
        <v>10690</v>
      </c>
      <c r="B1069" s="2">
        <v>45763</v>
      </c>
      <c r="C1069" t="s">
        <v>31</v>
      </c>
      <c r="D1069" t="s">
        <v>59</v>
      </c>
      <c r="E1069" t="s">
        <v>33</v>
      </c>
      <c r="F1069" t="s">
        <v>23</v>
      </c>
      <c r="G1069" t="s">
        <v>109</v>
      </c>
      <c r="H1069" t="s">
        <v>144</v>
      </c>
      <c r="I1069" t="s">
        <v>343</v>
      </c>
      <c r="J1069">
        <v>1557</v>
      </c>
      <c r="K1069">
        <v>10</v>
      </c>
      <c r="L1069" t="s">
        <v>57</v>
      </c>
      <c r="M1069">
        <v>137</v>
      </c>
      <c r="N1069">
        <v>33</v>
      </c>
      <c r="O1069">
        <v>69.400000000000006</v>
      </c>
      <c r="P1069">
        <v>5.56</v>
      </c>
      <c r="Q1069">
        <v>2.73</v>
      </c>
      <c r="R1069" t="s">
        <v>137</v>
      </c>
      <c r="S1069" t="s">
        <v>29</v>
      </c>
      <c r="T1069" t="s">
        <v>30</v>
      </c>
    </row>
    <row r="1070" spans="1:20" x14ac:dyDescent="0.3">
      <c r="A1070">
        <v>10852</v>
      </c>
      <c r="B1070" s="2">
        <v>45890</v>
      </c>
      <c r="C1070" t="s">
        <v>20</v>
      </c>
      <c r="D1070" t="s">
        <v>59</v>
      </c>
      <c r="E1070" t="s">
        <v>107</v>
      </c>
      <c r="F1070" t="s">
        <v>41</v>
      </c>
      <c r="G1070" t="s">
        <v>42</v>
      </c>
      <c r="H1070" t="s">
        <v>75</v>
      </c>
      <c r="I1070" t="s">
        <v>62</v>
      </c>
      <c r="J1070">
        <v>1253</v>
      </c>
      <c r="K1070">
        <v>12</v>
      </c>
      <c r="L1070" t="s">
        <v>37</v>
      </c>
      <c r="M1070">
        <v>135</v>
      </c>
      <c r="N1070">
        <v>35.200000000000003</v>
      </c>
      <c r="O1070">
        <v>65.5</v>
      </c>
      <c r="P1070">
        <v>4.67</v>
      </c>
      <c r="Q1070">
        <v>1.29</v>
      </c>
      <c r="R1070" t="s">
        <v>153</v>
      </c>
      <c r="S1070" t="s">
        <v>47</v>
      </c>
      <c r="T1070" t="s">
        <v>30</v>
      </c>
    </row>
    <row r="1071" spans="1:20" x14ac:dyDescent="0.3">
      <c r="A1071">
        <v>10160</v>
      </c>
      <c r="B1071" s="2">
        <v>45935</v>
      </c>
      <c r="C1071" t="s">
        <v>20</v>
      </c>
      <c r="D1071" t="s">
        <v>32</v>
      </c>
      <c r="E1071" t="s">
        <v>22</v>
      </c>
      <c r="F1071" t="s">
        <v>23</v>
      </c>
      <c r="G1071" t="s">
        <v>54</v>
      </c>
      <c r="H1071" t="s">
        <v>196</v>
      </c>
      <c r="I1071" t="s">
        <v>198</v>
      </c>
      <c r="J1071">
        <v>620</v>
      </c>
      <c r="K1071">
        <v>2</v>
      </c>
      <c r="L1071" t="s">
        <v>71</v>
      </c>
      <c r="M1071">
        <v>14</v>
      </c>
      <c r="N1071">
        <v>66.5</v>
      </c>
      <c r="O1071">
        <v>60.3</v>
      </c>
      <c r="P1071">
        <v>7.01</v>
      </c>
      <c r="Q1071">
        <v>2.46</v>
      </c>
      <c r="R1071" t="s">
        <v>164</v>
      </c>
      <c r="S1071" t="s">
        <v>73</v>
      </c>
      <c r="T1071" t="s">
        <v>30</v>
      </c>
    </row>
    <row r="1072" spans="1:20" x14ac:dyDescent="0.3">
      <c r="A1072">
        <v>10896</v>
      </c>
      <c r="B1072" s="2">
        <v>45955</v>
      </c>
      <c r="C1072" t="s">
        <v>49</v>
      </c>
      <c r="D1072" t="s">
        <v>21</v>
      </c>
      <c r="E1072" t="s">
        <v>33</v>
      </c>
      <c r="F1072" t="s">
        <v>41</v>
      </c>
      <c r="G1072" t="s">
        <v>42</v>
      </c>
      <c r="H1072" t="s">
        <v>165</v>
      </c>
      <c r="I1072" t="s">
        <v>44</v>
      </c>
      <c r="J1072">
        <v>1066</v>
      </c>
      <c r="K1072">
        <v>12</v>
      </c>
      <c r="L1072" t="s">
        <v>71</v>
      </c>
      <c r="M1072">
        <v>114</v>
      </c>
      <c r="N1072">
        <v>39</v>
      </c>
      <c r="O1072">
        <v>66.400000000000006</v>
      </c>
      <c r="P1072">
        <v>5.38</v>
      </c>
      <c r="Q1072">
        <v>3.28</v>
      </c>
      <c r="R1072" t="s">
        <v>137</v>
      </c>
      <c r="S1072" t="s">
        <v>29</v>
      </c>
      <c r="T1072" t="s">
        <v>30</v>
      </c>
    </row>
    <row r="1073" spans="1:20" x14ac:dyDescent="0.3">
      <c r="A1073">
        <v>11200</v>
      </c>
      <c r="B1073" s="2">
        <v>46016</v>
      </c>
      <c r="C1073" t="s">
        <v>31</v>
      </c>
      <c r="D1073" t="s">
        <v>59</v>
      </c>
      <c r="E1073" t="s">
        <v>40</v>
      </c>
      <c r="F1073" t="s">
        <v>23</v>
      </c>
      <c r="G1073" t="s">
        <v>42</v>
      </c>
      <c r="H1073" t="s">
        <v>172</v>
      </c>
      <c r="I1073" t="s">
        <v>225</v>
      </c>
      <c r="J1073">
        <v>681</v>
      </c>
      <c r="K1073">
        <v>4</v>
      </c>
      <c r="L1073" t="s">
        <v>37</v>
      </c>
      <c r="M1073">
        <v>123</v>
      </c>
      <c r="N1073">
        <v>47.1</v>
      </c>
      <c r="O1073">
        <v>69.3</v>
      </c>
      <c r="P1073">
        <v>4.8600000000000003</v>
      </c>
      <c r="Q1073">
        <v>2.0699999999999998</v>
      </c>
      <c r="R1073" t="s">
        <v>133</v>
      </c>
      <c r="S1073" t="s">
        <v>39</v>
      </c>
      <c r="T1073" t="s">
        <v>30</v>
      </c>
    </row>
    <row r="1074" spans="1:20" x14ac:dyDescent="0.3">
      <c r="A1074">
        <v>10258</v>
      </c>
      <c r="B1074" s="2">
        <v>45665</v>
      </c>
      <c r="C1074" t="s">
        <v>31</v>
      </c>
      <c r="D1074" t="s">
        <v>21</v>
      </c>
      <c r="E1074" t="s">
        <v>40</v>
      </c>
      <c r="F1074" t="s">
        <v>23</v>
      </c>
      <c r="G1074" t="s">
        <v>24</v>
      </c>
      <c r="H1074" t="s">
        <v>55</v>
      </c>
      <c r="I1074" t="s">
        <v>275</v>
      </c>
      <c r="J1074">
        <v>1072</v>
      </c>
      <c r="K1074">
        <v>41</v>
      </c>
      <c r="L1074" t="s">
        <v>45</v>
      </c>
      <c r="M1074">
        <v>15</v>
      </c>
      <c r="N1074">
        <v>38.700000000000003</v>
      </c>
      <c r="O1074">
        <v>69.099999999999994</v>
      </c>
      <c r="P1074">
        <v>5.2</v>
      </c>
      <c r="Q1074">
        <v>4.07</v>
      </c>
      <c r="R1074" t="s">
        <v>28</v>
      </c>
      <c r="S1074" t="s">
        <v>73</v>
      </c>
      <c r="T1074" t="s">
        <v>48</v>
      </c>
    </row>
    <row r="1075" spans="1:20" x14ac:dyDescent="0.3">
      <c r="A1075">
        <v>10336</v>
      </c>
      <c r="B1075" s="2">
        <v>45744</v>
      </c>
      <c r="C1075" t="s">
        <v>20</v>
      </c>
      <c r="D1075" t="s">
        <v>64</v>
      </c>
      <c r="E1075" t="s">
        <v>22</v>
      </c>
      <c r="F1075" t="s">
        <v>23</v>
      </c>
      <c r="G1075" t="s">
        <v>60</v>
      </c>
      <c r="H1075" t="s">
        <v>213</v>
      </c>
      <c r="I1075" t="s">
        <v>314</v>
      </c>
      <c r="J1075">
        <v>1242</v>
      </c>
      <c r="K1075">
        <v>22</v>
      </c>
      <c r="L1075" t="s">
        <v>57</v>
      </c>
      <c r="M1075">
        <v>104</v>
      </c>
      <c r="N1075">
        <v>43.7</v>
      </c>
      <c r="O1075">
        <v>67.400000000000006</v>
      </c>
      <c r="P1075">
        <v>4.34</v>
      </c>
      <c r="Q1075">
        <v>4.22</v>
      </c>
      <c r="R1075" t="s">
        <v>46</v>
      </c>
      <c r="S1075" t="s">
        <v>47</v>
      </c>
      <c r="T1075" t="s">
        <v>30</v>
      </c>
    </row>
    <row r="1076" spans="1:20" x14ac:dyDescent="0.3">
      <c r="A1076">
        <v>11420</v>
      </c>
      <c r="B1076" s="2">
        <v>46019</v>
      </c>
      <c r="C1076" t="s">
        <v>20</v>
      </c>
      <c r="D1076" t="s">
        <v>21</v>
      </c>
      <c r="E1076" t="s">
        <v>107</v>
      </c>
      <c r="F1076" t="s">
        <v>41</v>
      </c>
      <c r="G1076" t="s">
        <v>54</v>
      </c>
      <c r="H1076" t="s">
        <v>101</v>
      </c>
      <c r="I1076" t="s">
        <v>368</v>
      </c>
      <c r="J1076">
        <v>837</v>
      </c>
      <c r="K1076">
        <v>13</v>
      </c>
      <c r="L1076" t="s">
        <v>68</v>
      </c>
      <c r="M1076">
        <v>179</v>
      </c>
      <c r="N1076">
        <v>48.5</v>
      </c>
      <c r="O1076">
        <v>71.3</v>
      </c>
      <c r="P1076">
        <v>5.77</v>
      </c>
      <c r="Q1076">
        <v>1.89</v>
      </c>
      <c r="R1076" t="s">
        <v>186</v>
      </c>
      <c r="S1076" t="s">
        <v>73</v>
      </c>
      <c r="T1076" t="s">
        <v>30</v>
      </c>
    </row>
    <row r="1077" spans="1:20" x14ac:dyDescent="0.3">
      <c r="A1077">
        <v>11040</v>
      </c>
      <c r="B1077" s="2">
        <v>45703</v>
      </c>
      <c r="C1077" t="s">
        <v>20</v>
      </c>
      <c r="D1077" t="s">
        <v>64</v>
      </c>
      <c r="E1077" t="s">
        <v>22</v>
      </c>
      <c r="F1077" t="s">
        <v>23</v>
      </c>
      <c r="G1077" t="s">
        <v>109</v>
      </c>
      <c r="H1077" t="s">
        <v>51</v>
      </c>
      <c r="I1077" t="s">
        <v>297</v>
      </c>
      <c r="J1077">
        <v>1534</v>
      </c>
      <c r="K1077">
        <v>11</v>
      </c>
      <c r="L1077" t="s">
        <v>57</v>
      </c>
      <c r="M1077">
        <v>66</v>
      </c>
      <c r="N1077">
        <v>51.8</v>
      </c>
      <c r="O1077">
        <v>71.599999999999994</v>
      </c>
      <c r="P1077">
        <v>4.28</v>
      </c>
      <c r="Q1077">
        <v>2.57</v>
      </c>
      <c r="R1077" t="s">
        <v>87</v>
      </c>
      <c r="S1077" t="s">
        <v>73</v>
      </c>
      <c r="T1077" t="s">
        <v>30</v>
      </c>
    </row>
    <row r="1078" spans="1:20" x14ac:dyDescent="0.3">
      <c r="A1078">
        <v>10516</v>
      </c>
      <c r="B1078" s="2">
        <v>45681</v>
      </c>
      <c r="C1078" t="s">
        <v>49</v>
      </c>
      <c r="D1078" t="s">
        <v>32</v>
      </c>
      <c r="E1078" t="s">
        <v>22</v>
      </c>
      <c r="F1078" t="s">
        <v>23</v>
      </c>
      <c r="G1078" t="s">
        <v>95</v>
      </c>
      <c r="H1078" t="s">
        <v>193</v>
      </c>
      <c r="I1078" t="s">
        <v>206</v>
      </c>
      <c r="J1078">
        <v>828</v>
      </c>
      <c r="K1078">
        <v>4</v>
      </c>
      <c r="L1078" t="s">
        <v>27</v>
      </c>
      <c r="M1078">
        <v>55</v>
      </c>
      <c r="N1078">
        <v>39.200000000000003</v>
      </c>
      <c r="O1078">
        <v>68.7</v>
      </c>
      <c r="P1078">
        <v>4.83</v>
      </c>
      <c r="Q1078">
        <v>4.9800000000000004</v>
      </c>
      <c r="R1078" t="s">
        <v>186</v>
      </c>
      <c r="S1078" t="s">
        <v>73</v>
      </c>
      <c r="T1078" t="s">
        <v>30</v>
      </c>
    </row>
    <row r="1079" spans="1:20" x14ac:dyDescent="0.3">
      <c r="A1079">
        <v>11016</v>
      </c>
      <c r="B1079" s="2">
        <v>45684</v>
      </c>
      <c r="C1079" t="s">
        <v>20</v>
      </c>
      <c r="D1079" t="s">
        <v>64</v>
      </c>
      <c r="E1079" t="s">
        <v>22</v>
      </c>
      <c r="F1079" t="s">
        <v>23</v>
      </c>
      <c r="G1079" t="s">
        <v>54</v>
      </c>
      <c r="H1079" t="s">
        <v>85</v>
      </c>
      <c r="I1079" t="s">
        <v>67</v>
      </c>
      <c r="J1079">
        <v>1156</v>
      </c>
      <c r="K1079">
        <v>15</v>
      </c>
      <c r="L1079" t="s">
        <v>27</v>
      </c>
      <c r="M1079">
        <v>138</v>
      </c>
      <c r="N1079">
        <v>40.200000000000003</v>
      </c>
      <c r="O1079">
        <v>63</v>
      </c>
      <c r="P1079">
        <v>5</v>
      </c>
      <c r="Q1079">
        <v>3.55</v>
      </c>
      <c r="R1079" t="s">
        <v>143</v>
      </c>
      <c r="S1079" t="s">
        <v>73</v>
      </c>
      <c r="T1079" t="s">
        <v>30</v>
      </c>
    </row>
    <row r="1080" spans="1:20" x14ac:dyDescent="0.3">
      <c r="A1080">
        <v>10769</v>
      </c>
      <c r="B1080" s="2">
        <v>45666</v>
      </c>
      <c r="C1080" t="s">
        <v>360</v>
      </c>
      <c r="D1080" t="s">
        <v>32</v>
      </c>
      <c r="E1080" t="s">
        <v>33</v>
      </c>
      <c r="F1080" t="s">
        <v>23</v>
      </c>
      <c r="G1080" t="s">
        <v>113</v>
      </c>
      <c r="I1080" t="s">
        <v>233</v>
      </c>
      <c r="J1080">
        <v>1392</v>
      </c>
      <c r="K1080">
        <v>35</v>
      </c>
      <c r="L1080" t="s">
        <v>27</v>
      </c>
      <c r="M1080">
        <v>100</v>
      </c>
      <c r="N1080">
        <v>53.5</v>
      </c>
      <c r="O1080">
        <v>70.099999999999994</v>
      </c>
      <c r="P1080">
        <v>4.6500000000000004</v>
      </c>
      <c r="Q1080">
        <v>2.0499999999999998</v>
      </c>
      <c r="R1080" t="s">
        <v>77</v>
      </c>
      <c r="S1080" t="s">
        <v>73</v>
      </c>
      <c r="T1080" t="s">
        <v>30</v>
      </c>
    </row>
    <row r="1081" spans="1:20" x14ac:dyDescent="0.3">
      <c r="A1081">
        <v>11329</v>
      </c>
      <c r="B1081" s="2">
        <v>45878</v>
      </c>
      <c r="C1081" t="s">
        <v>49</v>
      </c>
      <c r="D1081" t="s">
        <v>32</v>
      </c>
      <c r="E1081" t="s">
        <v>33</v>
      </c>
      <c r="F1081" t="s">
        <v>41</v>
      </c>
      <c r="G1081" t="s">
        <v>109</v>
      </c>
      <c r="H1081" t="s">
        <v>263</v>
      </c>
      <c r="I1081" t="s">
        <v>127</v>
      </c>
      <c r="J1081">
        <v>1340</v>
      </c>
      <c r="K1081">
        <v>10</v>
      </c>
      <c r="L1081" t="s">
        <v>71</v>
      </c>
      <c r="M1081">
        <v>147</v>
      </c>
      <c r="N1081">
        <v>42</v>
      </c>
      <c r="O1081">
        <v>74.5</v>
      </c>
      <c r="P1081">
        <v>3.85</v>
      </c>
      <c r="Q1081">
        <v>2.17</v>
      </c>
      <c r="R1081" t="s">
        <v>243</v>
      </c>
      <c r="S1081" t="s">
        <v>47</v>
      </c>
      <c r="T1081" t="s">
        <v>30</v>
      </c>
    </row>
    <row r="1082" spans="1:20" x14ac:dyDescent="0.3">
      <c r="A1082">
        <v>10762</v>
      </c>
      <c r="B1082" s="2">
        <v>45735</v>
      </c>
      <c r="C1082" t="s">
        <v>49</v>
      </c>
      <c r="D1082" t="s">
        <v>59</v>
      </c>
      <c r="E1082" t="s">
        <v>22</v>
      </c>
      <c r="F1082" t="s">
        <v>23</v>
      </c>
      <c r="G1082" t="s">
        <v>24</v>
      </c>
      <c r="H1082" t="s">
        <v>161</v>
      </c>
      <c r="I1082" t="s">
        <v>378</v>
      </c>
      <c r="J1082">
        <v>807</v>
      </c>
      <c r="K1082">
        <v>9</v>
      </c>
      <c r="L1082" t="s">
        <v>37</v>
      </c>
      <c r="M1082">
        <v>42</v>
      </c>
      <c r="N1082">
        <v>39</v>
      </c>
      <c r="O1082">
        <v>60.2</v>
      </c>
      <c r="P1082">
        <v>3.37</v>
      </c>
      <c r="Q1082">
        <v>1.58</v>
      </c>
      <c r="R1082" t="s">
        <v>280</v>
      </c>
      <c r="S1082" t="s">
        <v>39</v>
      </c>
      <c r="T1082" t="s">
        <v>30</v>
      </c>
    </row>
    <row r="1083" spans="1:20" x14ac:dyDescent="0.3">
      <c r="A1083">
        <v>11111</v>
      </c>
      <c r="B1083" s="2">
        <v>45991</v>
      </c>
      <c r="C1083" t="s">
        <v>31</v>
      </c>
      <c r="D1083" t="s">
        <v>64</v>
      </c>
      <c r="E1083" t="s">
        <v>33</v>
      </c>
      <c r="F1083" t="s">
        <v>41</v>
      </c>
      <c r="G1083" t="s">
        <v>89</v>
      </c>
      <c r="H1083" t="s">
        <v>144</v>
      </c>
      <c r="I1083" t="s">
        <v>230</v>
      </c>
      <c r="J1083">
        <v>1246</v>
      </c>
      <c r="K1083">
        <v>17</v>
      </c>
      <c r="L1083" t="s">
        <v>57</v>
      </c>
      <c r="M1083">
        <v>12</v>
      </c>
      <c r="N1083">
        <v>43.7</v>
      </c>
      <c r="O1083">
        <v>78.900000000000006</v>
      </c>
      <c r="P1083">
        <v>5.22</v>
      </c>
      <c r="Q1083">
        <v>1.67</v>
      </c>
      <c r="R1083" t="s">
        <v>195</v>
      </c>
      <c r="S1083" t="s">
        <v>29</v>
      </c>
      <c r="T1083" t="s">
        <v>30</v>
      </c>
    </row>
    <row r="1084" spans="1:20" x14ac:dyDescent="0.3">
      <c r="A1084">
        <v>10522</v>
      </c>
      <c r="B1084" s="2">
        <v>45661</v>
      </c>
      <c r="C1084" t="s">
        <v>199</v>
      </c>
      <c r="D1084" t="s">
        <v>32</v>
      </c>
      <c r="E1084" t="s">
        <v>107</v>
      </c>
      <c r="F1084" t="s">
        <v>81</v>
      </c>
      <c r="G1084" t="s">
        <v>42</v>
      </c>
      <c r="H1084" t="s">
        <v>175</v>
      </c>
      <c r="I1084" t="s">
        <v>345</v>
      </c>
      <c r="J1084">
        <v>933</v>
      </c>
      <c r="K1084">
        <v>31</v>
      </c>
      <c r="L1084" t="s">
        <v>68</v>
      </c>
      <c r="M1084">
        <v>83</v>
      </c>
      <c r="N1084">
        <v>49.9</v>
      </c>
      <c r="O1084">
        <v>83.7</v>
      </c>
      <c r="P1084">
        <v>5.22</v>
      </c>
      <c r="Q1084">
        <v>2.4</v>
      </c>
      <c r="R1084" t="s">
        <v>28</v>
      </c>
      <c r="S1084" t="s">
        <v>47</v>
      </c>
      <c r="T1084" t="s">
        <v>48</v>
      </c>
    </row>
    <row r="1085" spans="1:20" x14ac:dyDescent="0.3">
      <c r="A1085">
        <v>10023</v>
      </c>
      <c r="B1085" s="2">
        <v>45936</v>
      </c>
      <c r="C1085" t="s">
        <v>20</v>
      </c>
      <c r="D1085" t="s">
        <v>32</v>
      </c>
      <c r="E1085" t="s">
        <v>22</v>
      </c>
      <c r="F1085" t="s">
        <v>23</v>
      </c>
      <c r="G1085" t="s">
        <v>89</v>
      </c>
      <c r="H1085" t="s">
        <v>278</v>
      </c>
      <c r="I1085" t="s">
        <v>160</v>
      </c>
      <c r="J1085">
        <v>545</v>
      </c>
      <c r="K1085">
        <v>4</v>
      </c>
      <c r="L1085" t="s">
        <v>27</v>
      </c>
      <c r="M1085">
        <v>90</v>
      </c>
      <c r="N1085">
        <v>37.9</v>
      </c>
      <c r="O1085">
        <v>69.599999999999994</v>
      </c>
      <c r="P1085">
        <v>4.87</v>
      </c>
      <c r="Q1085">
        <v>3.88</v>
      </c>
      <c r="R1085" t="s">
        <v>72</v>
      </c>
      <c r="S1085" t="s">
        <v>29</v>
      </c>
      <c r="T1085" t="s">
        <v>30</v>
      </c>
    </row>
    <row r="1086" spans="1:20" x14ac:dyDescent="0.3">
      <c r="A1086">
        <v>10357</v>
      </c>
      <c r="B1086" s="2">
        <v>45834</v>
      </c>
      <c r="C1086" t="s">
        <v>20</v>
      </c>
      <c r="D1086" t="s">
        <v>64</v>
      </c>
      <c r="E1086" t="s">
        <v>40</v>
      </c>
      <c r="F1086" t="s">
        <v>23</v>
      </c>
      <c r="G1086" t="s">
        <v>34</v>
      </c>
      <c r="H1086" t="s">
        <v>75</v>
      </c>
      <c r="I1086" t="s">
        <v>173</v>
      </c>
      <c r="J1086">
        <v>688</v>
      </c>
      <c r="K1086">
        <v>2</v>
      </c>
      <c r="L1086" t="s">
        <v>68</v>
      </c>
      <c r="M1086">
        <v>60</v>
      </c>
      <c r="N1086">
        <v>39</v>
      </c>
      <c r="P1086">
        <v>3.76</v>
      </c>
      <c r="Q1086">
        <v>2.44</v>
      </c>
      <c r="R1086" t="s">
        <v>130</v>
      </c>
      <c r="S1086" t="s">
        <v>73</v>
      </c>
      <c r="T1086" t="s">
        <v>30</v>
      </c>
    </row>
    <row r="1087" spans="1:20" x14ac:dyDescent="0.3">
      <c r="A1087">
        <v>11284</v>
      </c>
      <c r="B1087" s="2">
        <v>45821</v>
      </c>
      <c r="C1087" t="s">
        <v>31</v>
      </c>
      <c r="D1087" t="s">
        <v>32</v>
      </c>
      <c r="E1087" t="s">
        <v>107</v>
      </c>
      <c r="F1087" t="s">
        <v>23</v>
      </c>
      <c r="G1087" t="s">
        <v>95</v>
      </c>
      <c r="H1087" t="s">
        <v>287</v>
      </c>
      <c r="I1087" t="s">
        <v>345</v>
      </c>
      <c r="J1087">
        <v>844</v>
      </c>
      <c r="K1087">
        <v>7</v>
      </c>
      <c r="L1087" t="s">
        <v>37</v>
      </c>
      <c r="M1087">
        <v>53</v>
      </c>
      <c r="N1087">
        <v>44.6</v>
      </c>
      <c r="O1087">
        <v>80.400000000000006</v>
      </c>
      <c r="P1087">
        <v>4.2</v>
      </c>
      <c r="Q1087">
        <v>3.46</v>
      </c>
      <c r="R1087" t="s">
        <v>147</v>
      </c>
      <c r="S1087" t="s">
        <v>73</v>
      </c>
      <c r="T1087" t="s">
        <v>30</v>
      </c>
    </row>
    <row r="1088" spans="1:20" x14ac:dyDescent="0.3">
      <c r="A1088">
        <v>10341</v>
      </c>
      <c r="B1088" s="2">
        <v>45962</v>
      </c>
      <c r="C1088" t="s">
        <v>49</v>
      </c>
      <c r="D1088" t="s">
        <v>32</v>
      </c>
      <c r="E1088" t="s">
        <v>107</v>
      </c>
      <c r="F1088" t="s">
        <v>41</v>
      </c>
      <c r="G1088" t="s">
        <v>54</v>
      </c>
      <c r="H1088" t="s">
        <v>144</v>
      </c>
      <c r="I1088" t="s">
        <v>162</v>
      </c>
      <c r="J1088">
        <v>1253</v>
      </c>
      <c r="K1088">
        <v>27</v>
      </c>
      <c r="L1088" t="s">
        <v>37</v>
      </c>
      <c r="M1088">
        <v>155</v>
      </c>
      <c r="N1088">
        <v>43.8</v>
      </c>
      <c r="O1088">
        <v>80.8</v>
      </c>
      <c r="P1088">
        <v>3.43</v>
      </c>
      <c r="Q1088">
        <v>2.35</v>
      </c>
      <c r="R1088" t="s">
        <v>216</v>
      </c>
      <c r="S1088" t="s">
        <v>73</v>
      </c>
      <c r="T1088" t="s">
        <v>30</v>
      </c>
    </row>
    <row r="1089" spans="1:20" x14ac:dyDescent="0.3">
      <c r="A1089">
        <v>10432</v>
      </c>
      <c r="B1089" s="2">
        <v>45923</v>
      </c>
      <c r="C1089" t="s">
        <v>20</v>
      </c>
      <c r="D1089" t="s">
        <v>32</v>
      </c>
      <c r="E1089" t="s">
        <v>22</v>
      </c>
      <c r="F1089" t="s">
        <v>41</v>
      </c>
      <c r="G1089" t="s">
        <v>134</v>
      </c>
      <c r="H1089" t="s">
        <v>69</v>
      </c>
      <c r="I1089" t="s">
        <v>83</v>
      </c>
      <c r="J1089">
        <v>518</v>
      </c>
      <c r="K1089">
        <v>4</v>
      </c>
      <c r="L1089" t="s">
        <v>37</v>
      </c>
      <c r="M1089">
        <v>168</v>
      </c>
      <c r="N1089">
        <v>52.8</v>
      </c>
      <c r="O1089">
        <v>75.8</v>
      </c>
      <c r="P1089">
        <v>7.06</v>
      </c>
      <c r="Q1089">
        <v>3.46</v>
      </c>
      <c r="R1089" t="s">
        <v>222</v>
      </c>
      <c r="S1089" t="s">
        <v>39</v>
      </c>
      <c r="T1089" t="s">
        <v>30</v>
      </c>
    </row>
    <row r="1090" spans="1:20" x14ac:dyDescent="0.3">
      <c r="A1090">
        <v>10474</v>
      </c>
      <c r="B1090" s="2">
        <v>45662</v>
      </c>
      <c r="C1090" t="s">
        <v>20</v>
      </c>
      <c r="D1090" t="s">
        <v>21</v>
      </c>
      <c r="E1090" t="s">
        <v>107</v>
      </c>
      <c r="F1090" t="s">
        <v>23</v>
      </c>
      <c r="G1090" t="s">
        <v>74</v>
      </c>
      <c r="H1090" t="s">
        <v>351</v>
      </c>
      <c r="I1090" t="s">
        <v>170</v>
      </c>
      <c r="J1090">
        <v>1057</v>
      </c>
      <c r="K1090">
        <v>15</v>
      </c>
      <c r="L1090" t="s">
        <v>71</v>
      </c>
      <c r="M1090">
        <v>12</v>
      </c>
      <c r="N1090">
        <v>41.9</v>
      </c>
      <c r="O1090">
        <v>58.1</v>
      </c>
      <c r="P1090">
        <v>4.16</v>
      </c>
      <c r="Q1090">
        <v>2.4300000000000002</v>
      </c>
      <c r="R1090" t="s">
        <v>77</v>
      </c>
      <c r="S1090" t="s">
        <v>47</v>
      </c>
      <c r="T1090" t="s">
        <v>30</v>
      </c>
    </row>
    <row r="1091" spans="1:20" x14ac:dyDescent="0.3">
      <c r="A1091">
        <v>10218</v>
      </c>
      <c r="B1091" s="2">
        <v>45994</v>
      </c>
      <c r="C1091" t="s">
        <v>31</v>
      </c>
      <c r="D1091" t="s">
        <v>32</v>
      </c>
      <c r="E1091" t="s">
        <v>107</v>
      </c>
      <c r="F1091" t="s">
        <v>41</v>
      </c>
      <c r="G1091" t="s">
        <v>60</v>
      </c>
      <c r="H1091" t="s">
        <v>192</v>
      </c>
      <c r="I1091" t="s">
        <v>314</v>
      </c>
      <c r="J1091">
        <v>462</v>
      </c>
      <c r="K1091">
        <v>10</v>
      </c>
      <c r="L1091" t="s">
        <v>68</v>
      </c>
      <c r="M1091">
        <v>108</v>
      </c>
      <c r="N1091">
        <v>37.5</v>
      </c>
      <c r="O1091">
        <v>57.1</v>
      </c>
      <c r="P1091">
        <v>6.48</v>
      </c>
      <c r="Q1091">
        <v>2.41</v>
      </c>
      <c r="R1091" t="s">
        <v>92</v>
      </c>
      <c r="S1091" t="s">
        <v>29</v>
      </c>
      <c r="T1091" t="s">
        <v>30</v>
      </c>
    </row>
    <row r="1092" spans="1:20" x14ac:dyDescent="0.3">
      <c r="A1092">
        <v>10912</v>
      </c>
      <c r="B1092" s="2">
        <v>46010</v>
      </c>
      <c r="C1092" t="s">
        <v>20</v>
      </c>
      <c r="D1092" t="s">
        <v>64</v>
      </c>
      <c r="E1092" t="s">
        <v>107</v>
      </c>
      <c r="F1092" t="s">
        <v>81</v>
      </c>
      <c r="G1092" t="s">
        <v>74</v>
      </c>
      <c r="H1092" t="s">
        <v>141</v>
      </c>
      <c r="I1092" t="s">
        <v>70</v>
      </c>
      <c r="J1092">
        <v>1371</v>
      </c>
      <c r="K1092">
        <v>51</v>
      </c>
      <c r="L1092" t="s">
        <v>45</v>
      </c>
      <c r="M1092">
        <v>55</v>
      </c>
      <c r="N1092">
        <v>40.4</v>
      </c>
      <c r="O1092">
        <v>72.8</v>
      </c>
      <c r="P1092">
        <v>4.43</v>
      </c>
      <c r="Q1092">
        <v>0.87</v>
      </c>
      <c r="R1092" t="s">
        <v>80</v>
      </c>
      <c r="S1092" t="s">
        <v>73</v>
      </c>
      <c r="T1092" t="s">
        <v>48</v>
      </c>
    </row>
    <row r="1093" spans="1:20" x14ac:dyDescent="0.3">
      <c r="A1093">
        <v>11215</v>
      </c>
      <c r="B1093" s="2">
        <v>45731</v>
      </c>
      <c r="C1093" t="s">
        <v>31</v>
      </c>
      <c r="D1093" t="s">
        <v>64</v>
      </c>
      <c r="E1093" t="s">
        <v>33</v>
      </c>
      <c r="F1093" t="s">
        <v>41</v>
      </c>
      <c r="G1093" t="s">
        <v>95</v>
      </c>
      <c r="H1093" t="s">
        <v>215</v>
      </c>
      <c r="I1093" t="s">
        <v>117</v>
      </c>
      <c r="J1093">
        <v>1442</v>
      </c>
      <c r="K1093">
        <v>6</v>
      </c>
      <c r="L1093" t="s">
        <v>37</v>
      </c>
      <c r="M1093">
        <v>48</v>
      </c>
      <c r="N1093">
        <v>33.799999999999997</v>
      </c>
      <c r="O1093">
        <v>75.7</v>
      </c>
      <c r="P1093">
        <v>5.71</v>
      </c>
      <c r="Q1093">
        <v>1.6</v>
      </c>
      <c r="R1093" t="s">
        <v>122</v>
      </c>
      <c r="S1093" t="s">
        <v>39</v>
      </c>
      <c r="T1093" t="s">
        <v>30</v>
      </c>
    </row>
    <row r="1094" spans="1:20" x14ac:dyDescent="0.3">
      <c r="A1094">
        <v>11012</v>
      </c>
      <c r="B1094" s="2">
        <v>45778</v>
      </c>
      <c r="C1094" t="s">
        <v>156</v>
      </c>
      <c r="D1094" t="s">
        <v>64</v>
      </c>
      <c r="E1094" t="s">
        <v>107</v>
      </c>
      <c r="F1094" t="s">
        <v>81</v>
      </c>
      <c r="G1094" t="s">
        <v>109</v>
      </c>
      <c r="H1094" t="s">
        <v>161</v>
      </c>
      <c r="I1094" t="s">
        <v>221</v>
      </c>
      <c r="J1094">
        <v>681</v>
      </c>
      <c r="K1094">
        <v>3</v>
      </c>
      <c r="L1094" t="s">
        <v>27</v>
      </c>
      <c r="M1094">
        <v>67</v>
      </c>
      <c r="N1094">
        <v>45.6</v>
      </c>
      <c r="O1094">
        <v>63.8</v>
      </c>
      <c r="P1094">
        <v>4.5599999999999996</v>
      </c>
      <c r="Q1094">
        <v>3.54</v>
      </c>
      <c r="R1094" t="s">
        <v>240</v>
      </c>
      <c r="S1094" t="s">
        <v>73</v>
      </c>
      <c r="T1094" t="s">
        <v>30</v>
      </c>
    </row>
    <row r="1095" spans="1:20" x14ac:dyDescent="0.3">
      <c r="A1095">
        <v>11471</v>
      </c>
      <c r="B1095" s="2">
        <v>45706</v>
      </c>
      <c r="C1095" t="s">
        <v>31</v>
      </c>
      <c r="D1095" t="s">
        <v>21</v>
      </c>
      <c r="E1095" t="s">
        <v>33</v>
      </c>
      <c r="F1095" t="s">
        <v>23</v>
      </c>
      <c r="G1095" t="s">
        <v>54</v>
      </c>
      <c r="H1095" t="s">
        <v>66</v>
      </c>
      <c r="I1095" t="s">
        <v>378</v>
      </c>
      <c r="J1095">
        <v>827</v>
      </c>
      <c r="K1095">
        <v>28</v>
      </c>
      <c r="L1095" t="s">
        <v>57</v>
      </c>
      <c r="M1095">
        <v>119</v>
      </c>
      <c r="N1095">
        <v>39.6</v>
      </c>
      <c r="O1095">
        <v>84.8</v>
      </c>
      <c r="P1095">
        <v>4.5999999999999996</v>
      </c>
      <c r="Q1095">
        <v>5.13</v>
      </c>
      <c r="R1095" t="s">
        <v>202</v>
      </c>
      <c r="S1095" t="s">
        <v>73</v>
      </c>
      <c r="T1095" t="s">
        <v>48</v>
      </c>
    </row>
    <row r="1096" spans="1:20" x14ac:dyDescent="0.3">
      <c r="A1096">
        <v>10094</v>
      </c>
      <c r="B1096" s="2">
        <v>45669</v>
      </c>
      <c r="C1096" t="s">
        <v>31</v>
      </c>
      <c r="D1096" t="s">
        <v>64</v>
      </c>
      <c r="E1096" t="s">
        <v>33</v>
      </c>
      <c r="F1096" t="s">
        <v>41</v>
      </c>
      <c r="G1096" t="s">
        <v>95</v>
      </c>
      <c r="H1096" t="s">
        <v>55</v>
      </c>
      <c r="I1096" t="s">
        <v>321</v>
      </c>
      <c r="J1096">
        <v>760</v>
      </c>
      <c r="K1096">
        <v>3</v>
      </c>
      <c r="L1096" t="s">
        <v>68</v>
      </c>
      <c r="M1096">
        <v>138</v>
      </c>
      <c r="N1096">
        <v>39.5</v>
      </c>
      <c r="O1096">
        <v>68.400000000000006</v>
      </c>
      <c r="P1096">
        <v>4.76</v>
      </c>
      <c r="Q1096">
        <v>3.88</v>
      </c>
      <c r="R1096" t="s">
        <v>130</v>
      </c>
      <c r="S1096" t="s">
        <v>29</v>
      </c>
      <c r="T1096" t="s">
        <v>30</v>
      </c>
    </row>
    <row r="1097" spans="1:20" x14ac:dyDescent="0.3">
      <c r="A1097">
        <v>11009</v>
      </c>
      <c r="B1097" s="2">
        <v>45870</v>
      </c>
      <c r="C1097" t="s">
        <v>31</v>
      </c>
      <c r="D1097" t="s">
        <v>21</v>
      </c>
      <c r="E1097" t="s">
        <v>107</v>
      </c>
      <c r="F1097" t="s">
        <v>23</v>
      </c>
      <c r="G1097" t="s">
        <v>95</v>
      </c>
      <c r="H1097" t="s">
        <v>78</v>
      </c>
      <c r="I1097" t="s">
        <v>127</v>
      </c>
      <c r="J1097">
        <v>814</v>
      </c>
      <c r="K1097">
        <v>14</v>
      </c>
      <c r="L1097" t="s">
        <v>45</v>
      </c>
      <c r="M1097">
        <v>129</v>
      </c>
      <c r="N1097">
        <v>35.799999999999997</v>
      </c>
      <c r="O1097">
        <v>66.3</v>
      </c>
      <c r="P1097">
        <v>5.19</v>
      </c>
      <c r="Q1097">
        <v>2.09</v>
      </c>
      <c r="R1097" t="s">
        <v>63</v>
      </c>
      <c r="S1097" t="s">
        <v>29</v>
      </c>
      <c r="T1097" t="s">
        <v>30</v>
      </c>
    </row>
    <row r="1098" spans="1:20" x14ac:dyDescent="0.3">
      <c r="A1098">
        <v>11071</v>
      </c>
      <c r="B1098" s="2">
        <v>45771</v>
      </c>
      <c r="C1098" t="s">
        <v>49</v>
      </c>
      <c r="D1098" t="s">
        <v>59</v>
      </c>
      <c r="E1098" t="s">
        <v>22</v>
      </c>
      <c r="F1098" t="s">
        <v>41</v>
      </c>
      <c r="G1098" t="s">
        <v>74</v>
      </c>
      <c r="H1098" t="s">
        <v>138</v>
      </c>
      <c r="I1098" t="s">
        <v>313</v>
      </c>
      <c r="J1098">
        <v>1426</v>
      </c>
      <c r="K1098">
        <v>52</v>
      </c>
      <c r="L1098" t="s">
        <v>37</v>
      </c>
      <c r="M1098">
        <v>96</v>
      </c>
      <c r="N1098">
        <v>39.299999999999997</v>
      </c>
      <c r="O1098">
        <v>74.599999999999994</v>
      </c>
      <c r="P1098">
        <v>5.52</v>
      </c>
      <c r="Q1098">
        <v>1.23</v>
      </c>
      <c r="R1098" t="s">
        <v>133</v>
      </c>
      <c r="S1098" t="s">
        <v>47</v>
      </c>
      <c r="T1098" t="s">
        <v>48</v>
      </c>
    </row>
    <row r="1099" spans="1:20" x14ac:dyDescent="0.3">
      <c r="A1099">
        <v>11093</v>
      </c>
      <c r="B1099" s="2">
        <v>45830</v>
      </c>
      <c r="C1099" t="s">
        <v>20</v>
      </c>
      <c r="D1099" t="s">
        <v>64</v>
      </c>
      <c r="E1099" t="s">
        <v>40</v>
      </c>
      <c r="F1099" t="s">
        <v>65</v>
      </c>
      <c r="G1099" t="s">
        <v>113</v>
      </c>
      <c r="H1099" t="s">
        <v>25</v>
      </c>
      <c r="I1099" t="s">
        <v>384</v>
      </c>
      <c r="J1099">
        <v>632</v>
      </c>
      <c r="K1099">
        <v>23</v>
      </c>
      <c r="L1099" t="s">
        <v>71</v>
      </c>
      <c r="M1099">
        <v>163</v>
      </c>
      <c r="N1099">
        <v>38.4</v>
      </c>
      <c r="O1099">
        <v>70.2</v>
      </c>
      <c r="P1099">
        <v>5.78</v>
      </c>
      <c r="Q1099">
        <v>2.35</v>
      </c>
      <c r="R1099" t="s">
        <v>229</v>
      </c>
      <c r="S1099" t="s">
        <v>73</v>
      </c>
      <c r="T1099" t="s">
        <v>48</v>
      </c>
    </row>
    <row r="1100" spans="1:20" x14ac:dyDescent="0.3">
      <c r="A1100">
        <v>10697</v>
      </c>
      <c r="B1100" s="2">
        <v>45872</v>
      </c>
      <c r="C1100" t="s">
        <v>49</v>
      </c>
      <c r="D1100" t="s">
        <v>59</v>
      </c>
      <c r="E1100" t="s">
        <v>40</v>
      </c>
      <c r="F1100" t="s">
        <v>41</v>
      </c>
      <c r="G1100" t="s">
        <v>50</v>
      </c>
      <c r="H1100" t="s">
        <v>138</v>
      </c>
      <c r="I1100" t="s">
        <v>345</v>
      </c>
      <c r="J1100">
        <v>1434</v>
      </c>
      <c r="K1100">
        <v>15</v>
      </c>
      <c r="L1100" t="s">
        <v>68</v>
      </c>
      <c r="M1100">
        <v>152</v>
      </c>
      <c r="N1100">
        <v>40.1</v>
      </c>
      <c r="P1100">
        <v>4.3600000000000003</v>
      </c>
      <c r="Q1100">
        <v>1.21</v>
      </c>
      <c r="R1100" t="s">
        <v>133</v>
      </c>
      <c r="S1100" t="s">
        <v>47</v>
      </c>
      <c r="T1100" t="s">
        <v>30</v>
      </c>
    </row>
    <row r="1101" spans="1:20" x14ac:dyDescent="0.3">
      <c r="A1101">
        <v>10997</v>
      </c>
      <c r="B1101" s="2">
        <v>45994</v>
      </c>
      <c r="C1101" t="s">
        <v>20</v>
      </c>
      <c r="D1101" t="s">
        <v>21</v>
      </c>
      <c r="E1101" t="s">
        <v>33</v>
      </c>
      <c r="F1101" t="s">
        <v>81</v>
      </c>
      <c r="G1101" t="s">
        <v>54</v>
      </c>
      <c r="I1101" t="s">
        <v>212</v>
      </c>
      <c r="J1101">
        <v>485</v>
      </c>
      <c r="K1101">
        <v>6</v>
      </c>
      <c r="L1101" t="s">
        <v>57</v>
      </c>
      <c r="M1101">
        <v>176</v>
      </c>
      <c r="N1101">
        <v>35.799999999999997</v>
      </c>
      <c r="O1101">
        <v>80.2</v>
      </c>
      <c r="P1101">
        <v>3.74</v>
      </c>
      <c r="Q1101">
        <v>4.58</v>
      </c>
      <c r="R1101" t="s">
        <v>245</v>
      </c>
      <c r="S1101" t="s">
        <v>39</v>
      </c>
      <c r="T1101" t="s">
        <v>30</v>
      </c>
    </row>
    <row r="1102" spans="1:20" x14ac:dyDescent="0.3">
      <c r="A1102">
        <v>10154</v>
      </c>
      <c r="B1102" s="2">
        <v>45921</v>
      </c>
      <c r="C1102" t="s">
        <v>291</v>
      </c>
      <c r="D1102" t="s">
        <v>32</v>
      </c>
      <c r="E1102" t="s">
        <v>22</v>
      </c>
      <c r="F1102" t="s">
        <v>23</v>
      </c>
      <c r="G1102" t="s">
        <v>74</v>
      </c>
      <c r="H1102" t="s">
        <v>190</v>
      </c>
      <c r="I1102" t="s">
        <v>235</v>
      </c>
      <c r="J1102">
        <v>1004</v>
      </c>
      <c r="K1102">
        <v>11</v>
      </c>
      <c r="L1102" t="s">
        <v>71</v>
      </c>
      <c r="M1102">
        <v>161</v>
      </c>
      <c r="N1102">
        <v>36.799999999999997</v>
      </c>
      <c r="O1102">
        <v>65.599999999999994</v>
      </c>
      <c r="P1102">
        <v>6.54</v>
      </c>
      <c r="Q1102">
        <v>2.68</v>
      </c>
      <c r="R1102" t="s">
        <v>174</v>
      </c>
      <c r="S1102" t="s">
        <v>47</v>
      </c>
      <c r="T1102" t="s">
        <v>30</v>
      </c>
    </row>
    <row r="1103" spans="1:20" x14ac:dyDescent="0.3">
      <c r="A1103">
        <v>11100</v>
      </c>
      <c r="B1103" s="2">
        <v>45733</v>
      </c>
      <c r="C1103" t="s">
        <v>49</v>
      </c>
      <c r="D1103" t="s">
        <v>21</v>
      </c>
      <c r="E1103" t="s">
        <v>40</v>
      </c>
      <c r="F1103" t="s">
        <v>23</v>
      </c>
      <c r="G1103" t="s">
        <v>134</v>
      </c>
      <c r="H1103" t="s">
        <v>287</v>
      </c>
      <c r="I1103" t="s">
        <v>67</v>
      </c>
      <c r="J1103">
        <v>1353</v>
      </c>
      <c r="K1103">
        <v>45</v>
      </c>
      <c r="L1103" t="s">
        <v>57</v>
      </c>
      <c r="M1103">
        <v>109</v>
      </c>
      <c r="N1103">
        <v>42.7</v>
      </c>
      <c r="O1103">
        <v>72</v>
      </c>
      <c r="P1103">
        <v>6.52</v>
      </c>
      <c r="Q1103">
        <v>2.2400000000000002</v>
      </c>
      <c r="R1103" t="s">
        <v>128</v>
      </c>
      <c r="S1103" t="s">
        <v>39</v>
      </c>
      <c r="T1103" t="s">
        <v>48</v>
      </c>
    </row>
    <row r="1104" spans="1:20" x14ac:dyDescent="0.3">
      <c r="A1104">
        <v>11312</v>
      </c>
      <c r="B1104" s="2">
        <v>45798</v>
      </c>
      <c r="C1104" t="s">
        <v>20</v>
      </c>
      <c r="D1104" t="s">
        <v>32</v>
      </c>
      <c r="E1104" t="s">
        <v>107</v>
      </c>
      <c r="F1104" t="s">
        <v>81</v>
      </c>
      <c r="G1104" t="s">
        <v>109</v>
      </c>
      <c r="H1104" t="s">
        <v>200</v>
      </c>
      <c r="I1104" t="s">
        <v>375</v>
      </c>
      <c r="J1104">
        <v>974</v>
      </c>
      <c r="K1104">
        <v>35</v>
      </c>
      <c r="L1104" t="s">
        <v>71</v>
      </c>
      <c r="M1104">
        <v>41</v>
      </c>
      <c r="N1104">
        <v>40.200000000000003</v>
      </c>
      <c r="O1104">
        <v>72.5</v>
      </c>
      <c r="P1104">
        <v>4.57</v>
      </c>
      <c r="Q1104">
        <v>3.33</v>
      </c>
      <c r="R1104" t="s">
        <v>232</v>
      </c>
      <c r="S1104" t="s">
        <v>73</v>
      </c>
      <c r="T1104" t="s">
        <v>48</v>
      </c>
    </row>
    <row r="1105" spans="1:20" x14ac:dyDescent="0.3">
      <c r="A1105">
        <v>11408</v>
      </c>
      <c r="B1105" s="2">
        <v>45718</v>
      </c>
      <c r="C1105" t="s">
        <v>20</v>
      </c>
      <c r="D1105" t="s">
        <v>32</v>
      </c>
      <c r="E1105" t="s">
        <v>40</v>
      </c>
      <c r="F1105" t="s">
        <v>23</v>
      </c>
      <c r="G1105" t="s">
        <v>34</v>
      </c>
      <c r="H1105" t="s">
        <v>61</v>
      </c>
      <c r="I1105" t="s">
        <v>297</v>
      </c>
      <c r="J1105">
        <v>1487</v>
      </c>
      <c r="K1105">
        <v>58</v>
      </c>
      <c r="L1105" t="s">
        <v>68</v>
      </c>
      <c r="M1105">
        <v>115</v>
      </c>
      <c r="N1105">
        <v>44.7</v>
      </c>
      <c r="O1105">
        <v>84.5</v>
      </c>
      <c r="P1105">
        <v>5.66</v>
      </c>
      <c r="Q1105">
        <v>3.25</v>
      </c>
      <c r="R1105" t="s">
        <v>130</v>
      </c>
      <c r="S1105" t="s">
        <v>39</v>
      </c>
      <c r="T1105" t="s">
        <v>48</v>
      </c>
    </row>
    <row r="1106" spans="1:20" x14ac:dyDescent="0.3">
      <c r="A1106">
        <v>10790</v>
      </c>
      <c r="B1106" s="2">
        <v>45707</v>
      </c>
      <c r="C1106" t="s">
        <v>31</v>
      </c>
      <c r="D1106" t="s">
        <v>21</v>
      </c>
      <c r="E1106" t="s">
        <v>107</v>
      </c>
      <c r="F1106" t="s">
        <v>41</v>
      </c>
      <c r="G1106" t="s">
        <v>95</v>
      </c>
      <c r="H1106" t="s">
        <v>351</v>
      </c>
      <c r="I1106" t="s">
        <v>129</v>
      </c>
      <c r="J1106">
        <v>1029</v>
      </c>
      <c r="K1106">
        <v>20</v>
      </c>
      <c r="L1106" t="s">
        <v>45</v>
      </c>
      <c r="M1106">
        <v>145</v>
      </c>
      <c r="N1106">
        <v>44.2</v>
      </c>
      <c r="O1106">
        <v>77</v>
      </c>
      <c r="P1106">
        <v>4.4800000000000004</v>
      </c>
      <c r="Q1106">
        <v>3.92</v>
      </c>
      <c r="R1106" t="s">
        <v>128</v>
      </c>
      <c r="S1106" t="s">
        <v>29</v>
      </c>
      <c r="T1106" t="s">
        <v>30</v>
      </c>
    </row>
    <row r="1107" spans="1:20" x14ac:dyDescent="0.3">
      <c r="A1107">
        <v>10581</v>
      </c>
      <c r="B1107" s="2">
        <v>45939</v>
      </c>
      <c r="C1107" t="s">
        <v>49</v>
      </c>
      <c r="D1107" t="s">
        <v>59</v>
      </c>
      <c r="E1107" t="s">
        <v>107</v>
      </c>
      <c r="F1107" t="s">
        <v>41</v>
      </c>
      <c r="G1107" t="s">
        <v>134</v>
      </c>
      <c r="H1107" t="s">
        <v>114</v>
      </c>
      <c r="I1107" t="s">
        <v>135</v>
      </c>
      <c r="J1107">
        <v>1429</v>
      </c>
      <c r="K1107">
        <v>5</v>
      </c>
      <c r="L1107" t="s">
        <v>57</v>
      </c>
      <c r="M1107">
        <v>165</v>
      </c>
      <c r="N1107">
        <v>38.700000000000003</v>
      </c>
      <c r="O1107">
        <v>81</v>
      </c>
      <c r="P1107">
        <v>6.48</v>
      </c>
      <c r="Q1107">
        <v>4.4800000000000004</v>
      </c>
      <c r="R1107" t="s">
        <v>72</v>
      </c>
      <c r="S1107" t="s">
        <v>39</v>
      </c>
      <c r="T1107" t="s">
        <v>30</v>
      </c>
    </row>
    <row r="1108" spans="1:20" x14ac:dyDescent="0.3">
      <c r="A1108">
        <v>10704</v>
      </c>
      <c r="B1108" s="2">
        <v>45741</v>
      </c>
      <c r="C1108" t="s">
        <v>20</v>
      </c>
      <c r="D1108" t="s">
        <v>32</v>
      </c>
      <c r="E1108" t="s">
        <v>40</v>
      </c>
      <c r="F1108" t="s">
        <v>41</v>
      </c>
      <c r="G1108" t="s">
        <v>74</v>
      </c>
      <c r="H1108" t="s">
        <v>177</v>
      </c>
      <c r="I1108" t="s">
        <v>26</v>
      </c>
      <c r="J1108">
        <v>1294</v>
      </c>
      <c r="K1108">
        <v>26</v>
      </c>
      <c r="L1108" t="s">
        <v>68</v>
      </c>
      <c r="M1108">
        <v>98</v>
      </c>
      <c r="N1108">
        <v>51.3</v>
      </c>
      <c r="O1108">
        <v>69</v>
      </c>
      <c r="P1108">
        <v>4.96</v>
      </c>
      <c r="Q1108">
        <v>0.7</v>
      </c>
      <c r="R1108" t="s">
        <v>125</v>
      </c>
      <c r="S1108" t="s">
        <v>47</v>
      </c>
      <c r="T1108" t="s">
        <v>30</v>
      </c>
    </row>
    <row r="1109" spans="1:20" x14ac:dyDescent="0.3">
      <c r="A1109">
        <v>11271</v>
      </c>
      <c r="B1109" s="2">
        <v>45921</v>
      </c>
      <c r="C1109" t="s">
        <v>31</v>
      </c>
      <c r="D1109" t="s">
        <v>21</v>
      </c>
      <c r="E1109" t="s">
        <v>107</v>
      </c>
      <c r="F1109" t="s">
        <v>23</v>
      </c>
      <c r="G1109" t="s">
        <v>60</v>
      </c>
      <c r="H1109" t="s">
        <v>55</v>
      </c>
      <c r="I1109" t="s">
        <v>353</v>
      </c>
      <c r="J1109">
        <v>909</v>
      </c>
      <c r="K1109">
        <v>15</v>
      </c>
      <c r="L1109" t="s">
        <v>45</v>
      </c>
      <c r="M1109">
        <v>180</v>
      </c>
      <c r="N1109">
        <v>47.4</v>
      </c>
      <c r="O1109">
        <v>63.6</v>
      </c>
      <c r="P1109">
        <v>5.36</v>
      </c>
      <c r="Q1109">
        <v>0.75</v>
      </c>
      <c r="R1109" t="s">
        <v>174</v>
      </c>
      <c r="S1109" t="s">
        <v>39</v>
      </c>
      <c r="T1109" t="s">
        <v>30</v>
      </c>
    </row>
    <row r="1110" spans="1:20" x14ac:dyDescent="0.3">
      <c r="A1110">
        <v>10488</v>
      </c>
      <c r="B1110" s="2">
        <v>45963</v>
      </c>
      <c r="C1110" t="s">
        <v>31</v>
      </c>
      <c r="D1110" t="s">
        <v>21</v>
      </c>
      <c r="E1110" t="s">
        <v>33</v>
      </c>
      <c r="F1110" t="s">
        <v>23</v>
      </c>
      <c r="G1110" t="s">
        <v>109</v>
      </c>
      <c r="H1110" t="s">
        <v>75</v>
      </c>
      <c r="I1110" t="s">
        <v>317</v>
      </c>
      <c r="J1110">
        <v>1117</v>
      </c>
      <c r="K1110">
        <v>112</v>
      </c>
      <c r="L1110" t="s">
        <v>45</v>
      </c>
      <c r="M1110">
        <v>101</v>
      </c>
      <c r="N1110">
        <v>55.1</v>
      </c>
      <c r="O1110">
        <v>65.2</v>
      </c>
      <c r="P1110">
        <v>7.15</v>
      </c>
      <c r="Q1110">
        <v>3.28</v>
      </c>
      <c r="R1110" t="s">
        <v>46</v>
      </c>
      <c r="S1110" t="s">
        <v>39</v>
      </c>
      <c r="T1110" t="s">
        <v>48</v>
      </c>
    </row>
    <row r="1111" spans="1:20" x14ac:dyDescent="0.3">
      <c r="A1111">
        <v>10560</v>
      </c>
      <c r="B1111" s="2">
        <v>45856</v>
      </c>
      <c r="C1111" t="s">
        <v>49</v>
      </c>
      <c r="D1111" t="s">
        <v>32</v>
      </c>
      <c r="E1111" t="s">
        <v>33</v>
      </c>
      <c r="F1111" t="s">
        <v>81</v>
      </c>
      <c r="G1111" t="s">
        <v>50</v>
      </c>
      <c r="H1111" t="s">
        <v>114</v>
      </c>
      <c r="I1111" t="s">
        <v>142</v>
      </c>
      <c r="J1111">
        <v>1075</v>
      </c>
      <c r="K1111">
        <v>3</v>
      </c>
      <c r="L1111" t="s">
        <v>27</v>
      </c>
      <c r="M1111">
        <v>28</v>
      </c>
      <c r="N1111">
        <v>30.7</v>
      </c>
      <c r="O1111">
        <v>79.099999999999994</v>
      </c>
      <c r="P1111">
        <v>3.68</v>
      </c>
      <c r="Q1111">
        <v>3.49</v>
      </c>
      <c r="R1111" t="s">
        <v>243</v>
      </c>
      <c r="S1111" t="s">
        <v>39</v>
      </c>
      <c r="T1111" t="s">
        <v>30</v>
      </c>
    </row>
    <row r="1112" spans="1:20" x14ac:dyDescent="0.3">
      <c r="A1112">
        <v>10802</v>
      </c>
      <c r="B1112" s="2">
        <v>45675</v>
      </c>
      <c r="C1112" t="s">
        <v>49</v>
      </c>
      <c r="D1112" t="s">
        <v>32</v>
      </c>
      <c r="E1112" t="s">
        <v>22</v>
      </c>
      <c r="F1112" t="s">
        <v>41</v>
      </c>
      <c r="G1112" t="s">
        <v>134</v>
      </c>
      <c r="H1112" t="s">
        <v>69</v>
      </c>
      <c r="I1112" t="s">
        <v>367</v>
      </c>
      <c r="J1112">
        <v>1540</v>
      </c>
      <c r="K1112">
        <v>13</v>
      </c>
      <c r="L1112" t="s">
        <v>57</v>
      </c>
      <c r="M1112">
        <v>58</v>
      </c>
      <c r="N1112">
        <v>37.5</v>
      </c>
      <c r="O1112">
        <v>66.2</v>
      </c>
      <c r="P1112">
        <v>4.78</v>
      </c>
      <c r="Q1112">
        <v>1.3</v>
      </c>
      <c r="R1112" t="s">
        <v>128</v>
      </c>
      <c r="S1112" t="s">
        <v>29</v>
      </c>
      <c r="T1112" t="s">
        <v>30</v>
      </c>
    </row>
    <row r="1113" spans="1:20" x14ac:dyDescent="0.3">
      <c r="A1113">
        <v>10513</v>
      </c>
      <c r="B1113" s="2">
        <v>45824</v>
      </c>
      <c r="C1113" t="s">
        <v>20</v>
      </c>
      <c r="D1113" t="s">
        <v>21</v>
      </c>
      <c r="E1113" t="s">
        <v>22</v>
      </c>
      <c r="F1113" t="s">
        <v>81</v>
      </c>
      <c r="G1113" t="s">
        <v>113</v>
      </c>
      <c r="H1113" t="s">
        <v>101</v>
      </c>
      <c r="I1113" t="s">
        <v>160</v>
      </c>
      <c r="J1113">
        <v>749</v>
      </c>
      <c r="K1113">
        <v>29</v>
      </c>
      <c r="L1113" t="s">
        <v>57</v>
      </c>
      <c r="M1113">
        <v>94</v>
      </c>
      <c r="N1113">
        <v>43</v>
      </c>
      <c r="O1113">
        <v>72.5</v>
      </c>
      <c r="P1113">
        <v>5.85</v>
      </c>
      <c r="Q1113">
        <v>1.87</v>
      </c>
      <c r="R1113" t="s">
        <v>174</v>
      </c>
      <c r="S1113" t="s">
        <v>29</v>
      </c>
      <c r="T1113" t="s">
        <v>48</v>
      </c>
    </row>
    <row r="1114" spans="1:20" x14ac:dyDescent="0.3">
      <c r="A1114">
        <v>10634</v>
      </c>
      <c r="B1114" s="2">
        <v>45793</v>
      </c>
      <c r="C1114" t="s">
        <v>31</v>
      </c>
      <c r="D1114" t="s">
        <v>59</v>
      </c>
      <c r="E1114" t="s">
        <v>22</v>
      </c>
      <c r="F1114" t="s">
        <v>81</v>
      </c>
      <c r="G1114" t="s">
        <v>134</v>
      </c>
      <c r="H1114" t="s">
        <v>85</v>
      </c>
      <c r="I1114" t="s">
        <v>332</v>
      </c>
      <c r="J1114">
        <v>1347</v>
      </c>
      <c r="K1114">
        <v>15</v>
      </c>
      <c r="L1114" t="s">
        <v>45</v>
      </c>
      <c r="M1114">
        <v>20</v>
      </c>
      <c r="N1114">
        <v>45.5</v>
      </c>
      <c r="O1114">
        <v>77.900000000000006</v>
      </c>
      <c r="P1114">
        <v>4.53</v>
      </c>
      <c r="Q1114">
        <v>3.21</v>
      </c>
      <c r="R1114" t="s">
        <v>140</v>
      </c>
      <c r="S1114" t="s">
        <v>73</v>
      </c>
      <c r="T1114" t="s">
        <v>30</v>
      </c>
    </row>
    <row r="1115" spans="1:20" x14ac:dyDescent="0.3">
      <c r="A1115">
        <v>11119</v>
      </c>
      <c r="B1115" s="2">
        <v>45853</v>
      </c>
      <c r="C1115" t="s">
        <v>20</v>
      </c>
      <c r="D1115" t="s">
        <v>64</v>
      </c>
      <c r="E1115" t="s">
        <v>33</v>
      </c>
      <c r="F1115" t="s">
        <v>23</v>
      </c>
      <c r="G1115" t="s">
        <v>42</v>
      </c>
      <c r="H1115" t="s">
        <v>114</v>
      </c>
      <c r="I1115" t="s">
        <v>187</v>
      </c>
      <c r="J1115">
        <v>1406</v>
      </c>
      <c r="K1115">
        <v>34</v>
      </c>
      <c r="L1115" t="s">
        <v>37</v>
      </c>
      <c r="M1115">
        <v>172</v>
      </c>
      <c r="N1115">
        <v>48.6</v>
      </c>
      <c r="O1115">
        <v>73.8</v>
      </c>
      <c r="P1115">
        <v>6.17</v>
      </c>
      <c r="Q1115">
        <v>2.39</v>
      </c>
      <c r="R1115" t="s">
        <v>140</v>
      </c>
      <c r="S1115" t="s">
        <v>73</v>
      </c>
      <c r="T1115" t="s">
        <v>30</v>
      </c>
    </row>
    <row r="1116" spans="1:20" x14ac:dyDescent="0.3">
      <c r="A1116">
        <v>11350</v>
      </c>
      <c r="B1116" s="2">
        <v>45958</v>
      </c>
      <c r="C1116" t="s">
        <v>49</v>
      </c>
      <c r="D1116" t="s">
        <v>64</v>
      </c>
      <c r="E1116" t="s">
        <v>40</v>
      </c>
      <c r="F1116" t="s">
        <v>41</v>
      </c>
      <c r="G1116" t="s">
        <v>109</v>
      </c>
      <c r="H1116" t="s">
        <v>278</v>
      </c>
      <c r="I1116" t="s">
        <v>234</v>
      </c>
      <c r="J1116">
        <v>1587</v>
      </c>
      <c r="K1116">
        <v>11</v>
      </c>
      <c r="L1116" t="s">
        <v>57</v>
      </c>
      <c r="M1116">
        <v>117</v>
      </c>
      <c r="N1116">
        <v>37</v>
      </c>
      <c r="O1116">
        <v>72.599999999999994</v>
      </c>
      <c r="P1116">
        <v>4.9000000000000004</v>
      </c>
      <c r="Q1116">
        <v>2.98</v>
      </c>
      <c r="R1116" t="s">
        <v>195</v>
      </c>
      <c r="S1116" t="s">
        <v>73</v>
      </c>
      <c r="T1116" t="s">
        <v>30</v>
      </c>
    </row>
    <row r="1117" spans="1:20" x14ac:dyDescent="0.3">
      <c r="A1117">
        <v>10791</v>
      </c>
      <c r="B1117" s="2">
        <v>45956</v>
      </c>
      <c r="C1117" t="s">
        <v>20</v>
      </c>
      <c r="D1117" t="s">
        <v>21</v>
      </c>
      <c r="E1117" t="s">
        <v>107</v>
      </c>
      <c r="F1117" t="s">
        <v>41</v>
      </c>
      <c r="G1117" t="s">
        <v>89</v>
      </c>
      <c r="H1117" t="s">
        <v>96</v>
      </c>
      <c r="I1117" t="s">
        <v>336</v>
      </c>
      <c r="J1117">
        <v>839</v>
      </c>
      <c r="K1117">
        <v>2</v>
      </c>
      <c r="L1117" t="s">
        <v>27</v>
      </c>
      <c r="M1117">
        <v>49</v>
      </c>
      <c r="N1117">
        <v>38.200000000000003</v>
      </c>
      <c r="O1117">
        <v>70.5</v>
      </c>
      <c r="P1117">
        <v>4.2699999999999996</v>
      </c>
      <c r="Q1117">
        <v>4.42</v>
      </c>
      <c r="R1117" t="s">
        <v>159</v>
      </c>
      <c r="S1117" t="s">
        <v>39</v>
      </c>
      <c r="T1117" t="s">
        <v>30</v>
      </c>
    </row>
    <row r="1118" spans="1:20" x14ac:dyDescent="0.3">
      <c r="A1118">
        <v>10117</v>
      </c>
      <c r="B1118" s="2">
        <v>45927</v>
      </c>
      <c r="C1118" t="s">
        <v>31</v>
      </c>
      <c r="D1118" t="s">
        <v>64</v>
      </c>
      <c r="E1118" t="s">
        <v>22</v>
      </c>
      <c r="F1118" t="s">
        <v>41</v>
      </c>
      <c r="G1118" t="s">
        <v>54</v>
      </c>
      <c r="H1118" t="s">
        <v>93</v>
      </c>
      <c r="I1118" t="s">
        <v>322</v>
      </c>
      <c r="J1118">
        <v>1333</v>
      </c>
      <c r="K1118">
        <v>27</v>
      </c>
      <c r="L1118" t="s">
        <v>68</v>
      </c>
      <c r="M1118">
        <v>70</v>
      </c>
      <c r="N1118">
        <v>41.6</v>
      </c>
      <c r="O1118">
        <v>66.099999999999994</v>
      </c>
      <c r="P1118">
        <v>5.27</v>
      </c>
      <c r="Q1118">
        <v>3.77</v>
      </c>
      <c r="R1118" t="s">
        <v>130</v>
      </c>
      <c r="S1118" t="s">
        <v>29</v>
      </c>
      <c r="T1118" t="s">
        <v>30</v>
      </c>
    </row>
    <row r="1119" spans="1:20" x14ac:dyDescent="0.3">
      <c r="A1119">
        <v>10741</v>
      </c>
      <c r="B1119" s="2">
        <v>45997</v>
      </c>
      <c r="C1119" t="s">
        <v>49</v>
      </c>
      <c r="D1119" t="s">
        <v>32</v>
      </c>
      <c r="E1119" t="s">
        <v>22</v>
      </c>
      <c r="F1119" t="s">
        <v>81</v>
      </c>
      <c r="G1119" t="s">
        <v>54</v>
      </c>
      <c r="H1119" t="s">
        <v>101</v>
      </c>
      <c r="I1119" t="s">
        <v>26</v>
      </c>
      <c r="J1119">
        <v>1456</v>
      </c>
      <c r="K1119">
        <v>20</v>
      </c>
      <c r="L1119" t="s">
        <v>27</v>
      </c>
      <c r="M1119">
        <v>166</v>
      </c>
      <c r="N1119">
        <v>37.700000000000003</v>
      </c>
      <c r="O1119">
        <v>67.3</v>
      </c>
      <c r="P1119">
        <v>4.37</v>
      </c>
      <c r="Q1119">
        <v>3.66</v>
      </c>
      <c r="R1119" t="s">
        <v>179</v>
      </c>
      <c r="S1119" t="s">
        <v>29</v>
      </c>
      <c r="T1119" t="s">
        <v>30</v>
      </c>
    </row>
    <row r="1120" spans="1:20" x14ac:dyDescent="0.3">
      <c r="A1120">
        <v>11082</v>
      </c>
      <c r="B1120" s="2">
        <v>45993</v>
      </c>
      <c r="C1120" t="s">
        <v>49</v>
      </c>
      <c r="D1120" t="s">
        <v>64</v>
      </c>
      <c r="E1120" t="s">
        <v>40</v>
      </c>
      <c r="F1120" t="s">
        <v>41</v>
      </c>
      <c r="G1120" t="s">
        <v>42</v>
      </c>
      <c r="H1120" t="s">
        <v>85</v>
      </c>
      <c r="I1120" t="s">
        <v>337</v>
      </c>
      <c r="J1120">
        <v>1348</v>
      </c>
      <c r="K1120">
        <v>11</v>
      </c>
      <c r="L1120" t="s">
        <v>57</v>
      </c>
      <c r="M1120">
        <v>143</v>
      </c>
      <c r="N1120">
        <v>44</v>
      </c>
      <c r="O1120">
        <v>61.8</v>
      </c>
      <c r="P1120">
        <v>4.46</v>
      </c>
      <c r="Q1120">
        <v>0.78</v>
      </c>
      <c r="R1120" t="s">
        <v>133</v>
      </c>
      <c r="T1120" t="s">
        <v>30</v>
      </c>
    </row>
    <row r="1121" spans="1:20" x14ac:dyDescent="0.3">
      <c r="A1121">
        <v>10831</v>
      </c>
      <c r="B1121" s="2">
        <v>45813</v>
      </c>
      <c r="C1121" t="s">
        <v>20</v>
      </c>
      <c r="D1121" t="s">
        <v>21</v>
      </c>
      <c r="E1121" t="s">
        <v>107</v>
      </c>
      <c r="F1121" t="s">
        <v>23</v>
      </c>
      <c r="G1121" t="s">
        <v>74</v>
      </c>
      <c r="H1121" t="s">
        <v>35</v>
      </c>
      <c r="I1121" t="s">
        <v>316</v>
      </c>
      <c r="J1121">
        <v>1428</v>
      </c>
      <c r="K1121">
        <v>57</v>
      </c>
      <c r="L1121" t="s">
        <v>37</v>
      </c>
      <c r="M1121">
        <v>66</v>
      </c>
      <c r="N1121">
        <v>42.2</v>
      </c>
      <c r="O1121">
        <v>63.2</v>
      </c>
      <c r="P1121">
        <v>5.98</v>
      </c>
      <c r="Q1121">
        <v>4.4000000000000004</v>
      </c>
      <c r="R1121" t="s">
        <v>189</v>
      </c>
      <c r="S1121" t="s">
        <v>73</v>
      </c>
      <c r="T1121" t="s">
        <v>48</v>
      </c>
    </row>
    <row r="1122" spans="1:20" x14ac:dyDescent="0.3">
      <c r="A1122">
        <v>10120</v>
      </c>
      <c r="B1122" s="2">
        <v>45678</v>
      </c>
      <c r="C1122" t="s">
        <v>49</v>
      </c>
      <c r="D1122" t="s">
        <v>64</v>
      </c>
      <c r="E1122" t="s">
        <v>33</v>
      </c>
      <c r="F1122" t="s">
        <v>23</v>
      </c>
      <c r="G1122" t="s">
        <v>74</v>
      </c>
      <c r="H1122" t="s">
        <v>85</v>
      </c>
      <c r="I1122" t="s">
        <v>251</v>
      </c>
      <c r="J1122">
        <v>1098</v>
      </c>
      <c r="K1122">
        <v>14</v>
      </c>
      <c r="L1122" t="s">
        <v>27</v>
      </c>
      <c r="M1122">
        <v>132</v>
      </c>
      <c r="N1122">
        <v>42.2</v>
      </c>
      <c r="O1122">
        <v>69.900000000000006</v>
      </c>
      <c r="P1122">
        <v>6.63</v>
      </c>
      <c r="Q1122">
        <v>3.05</v>
      </c>
      <c r="R1122" t="s">
        <v>147</v>
      </c>
      <c r="S1122" t="s">
        <v>29</v>
      </c>
      <c r="T1122" t="s">
        <v>30</v>
      </c>
    </row>
    <row r="1123" spans="1:20" x14ac:dyDescent="0.3">
      <c r="A1123">
        <v>10657</v>
      </c>
      <c r="B1123" s="2">
        <v>45774</v>
      </c>
      <c r="C1123" t="s">
        <v>20</v>
      </c>
      <c r="D1123" t="s">
        <v>64</v>
      </c>
      <c r="E1123" t="s">
        <v>107</v>
      </c>
      <c r="F1123" t="s">
        <v>23</v>
      </c>
      <c r="G1123" t="s">
        <v>60</v>
      </c>
      <c r="H1123" t="s">
        <v>25</v>
      </c>
      <c r="I1123" t="s">
        <v>373</v>
      </c>
      <c r="J1123">
        <v>1231</v>
      </c>
      <c r="K1123">
        <v>11</v>
      </c>
      <c r="L1123" t="s">
        <v>37</v>
      </c>
      <c r="M1123">
        <v>88</v>
      </c>
      <c r="N1123">
        <v>54.3</v>
      </c>
      <c r="O1123">
        <v>86.6</v>
      </c>
      <c r="P1123">
        <v>4.17</v>
      </c>
      <c r="Q1123">
        <v>2.39</v>
      </c>
      <c r="R1123" t="s">
        <v>125</v>
      </c>
      <c r="S1123" t="s">
        <v>39</v>
      </c>
      <c r="T1123" t="s">
        <v>30</v>
      </c>
    </row>
    <row r="1124" spans="1:20" x14ac:dyDescent="0.3">
      <c r="A1124">
        <v>10636</v>
      </c>
      <c r="B1124" s="2">
        <v>45673</v>
      </c>
      <c r="C1124" t="s">
        <v>31</v>
      </c>
      <c r="D1124" t="s">
        <v>21</v>
      </c>
      <c r="E1124" t="s">
        <v>40</v>
      </c>
      <c r="F1124" t="s">
        <v>81</v>
      </c>
      <c r="G1124" t="s">
        <v>95</v>
      </c>
      <c r="H1124" t="s">
        <v>265</v>
      </c>
      <c r="I1124" t="s">
        <v>354</v>
      </c>
      <c r="J1124">
        <v>467</v>
      </c>
      <c r="K1124">
        <v>6</v>
      </c>
      <c r="L1124" t="s">
        <v>57</v>
      </c>
      <c r="M1124">
        <v>13</v>
      </c>
      <c r="N1124">
        <v>43.8</v>
      </c>
      <c r="O1124">
        <v>70.2</v>
      </c>
      <c r="P1124">
        <v>5.73</v>
      </c>
      <c r="Q1124">
        <v>1.1000000000000001</v>
      </c>
      <c r="R1124" t="s">
        <v>152</v>
      </c>
      <c r="S1124" t="s">
        <v>47</v>
      </c>
      <c r="T1124" t="s">
        <v>30</v>
      </c>
    </row>
    <row r="1125" spans="1:20" x14ac:dyDescent="0.3">
      <c r="A1125">
        <v>10370</v>
      </c>
      <c r="B1125" s="2">
        <v>45999</v>
      </c>
      <c r="C1125" t="s">
        <v>20</v>
      </c>
      <c r="D1125" t="s">
        <v>21</v>
      </c>
      <c r="E1125" t="s">
        <v>107</v>
      </c>
      <c r="F1125" t="s">
        <v>81</v>
      </c>
      <c r="G1125" t="s">
        <v>109</v>
      </c>
      <c r="H1125" t="s">
        <v>196</v>
      </c>
      <c r="I1125" t="s">
        <v>110</v>
      </c>
      <c r="J1125">
        <v>1054</v>
      </c>
      <c r="K1125">
        <v>6</v>
      </c>
      <c r="L1125" t="s">
        <v>37</v>
      </c>
      <c r="M1125">
        <v>93</v>
      </c>
      <c r="N1125">
        <v>44.3</v>
      </c>
      <c r="O1125">
        <v>85</v>
      </c>
      <c r="P1125">
        <v>4.1900000000000004</v>
      </c>
      <c r="Q1125">
        <v>2.6</v>
      </c>
      <c r="R1125" t="s">
        <v>245</v>
      </c>
      <c r="S1125" t="s">
        <v>73</v>
      </c>
      <c r="T1125" t="s">
        <v>30</v>
      </c>
    </row>
    <row r="1126" spans="1:20" x14ac:dyDescent="0.3">
      <c r="A1126">
        <v>10269</v>
      </c>
      <c r="B1126" s="2">
        <v>45907</v>
      </c>
      <c r="C1126" t="s">
        <v>49</v>
      </c>
      <c r="D1126" t="s">
        <v>59</v>
      </c>
      <c r="E1126" t="s">
        <v>107</v>
      </c>
      <c r="F1126" t="s">
        <v>81</v>
      </c>
      <c r="G1126" t="s">
        <v>134</v>
      </c>
      <c r="H1126" t="s">
        <v>88</v>
      </c>
      <c r="I1126" t="s">
        <v>331</v>
      </c>
      <c r="J1126">
        <v>744</v>
      </c>
      <c r="K1126">
        <v>9</v>
      </c>
      <c r="L1126" t="s">
        <v>57</v>
      </c>
      <c r="M1126">
        <v>11</v>
      </c>
      <c r="N1126">
        <v>36.299999999999997</v>
      </c>
      <c r="O1126">
        <v>78.599999999999994</v>
      </c>
      <c r="P1126">
        <v>5.38</v>
      </c>
      <c r="Q1126">
        <v>2.82</v>
      </c>
      <c r="R1126" t="s">
        <v>183</v>
      </c>
      <c r="S1126" t="s">
        <v>39</v>
      </c>
      <c r="T1126" t="s">
        <v>30</v>
      </c>
    </row>
    <row r="1127" spans="1:20" x14ac:dyDescent="0.3">
      <c r="A1127">
        <v>10656</v>
      </c>
      <c r="B1127" s="2">
        <v>45940</v>
      </c>
      <c r="C1127" t="s">
        <v>49</v>
      </c>
      <c r="D1127" t="s">
        <v>64</v>
      </c>
      <c r="E1127" t="s">
        <v>107</v>
      </c>
      <c r="F1127" t="s">
        <v>41</v>
      </c>
      <c r="G1127" t="s">
        <v>50</v>
      </c>
      <c r="H1127" t="s">
        <v>96</v>
      </c>
      <c r="I1127" t="s">
        <v>221</v>
      </c>
      <c r="J1127">
        <v>1243</v>
      </c>
      <c r="K1127">
        <v>17</v>
      </c>
      <c r="L1127" t="s">
        <v>71</v>
      </c>
      <c r="M1127">
        <v>91</v>
      </c>
      <c r="N1127">
        <v>44.7</v>
      </c>
      <c r="O1127">
        <v>64.099999999999994</v>
      </c>
      <c r="P1127">
        <v>6.26</v>
      </c>
      <c r="Q1127">
        <v>0.96</v>
      </c>
      <c r="R1127" t="s">
        <v>77</v>
      </c>
      <c r="S1127" t="s">
        <v>39</v>
      </c>
      <c r="T1127" t="s">
        <v>30</v>
      </c>
    </row>
    <row r="1128" spans="1:20" x14ac:dyDescent="0.3">
      <c r="A1128">
        <v>10936</v>
      </c>
      <c r="B1128" s="2">
        <v>45674</v>
      </c>
      <c r="C1128" t="s">
        <v>49</v>
      </c>
      <c r="D1128" t="s">
        <v>59</v>
      </c>
      <c r="E1128" t="s">
        <v>22</v>
      </c>
      <c r="F1128" t="s">
        <v>41</v>
      </c>
      <c r="G1128" t="s">
        <v>113</v>
      </c>
      <c r="H1128" t="s">
        <v>144</v>
      </c>
      <c r="I1128" t="s">
        <v>302</v>
      </c>
      <c r="J1128">
        <v>1276</v>
      </c>
      <c r="K1128">
        <v>9</v>
      </c>
      <c r="L1128" t="s">
        <v>71</v>
      </c>
      <c r="M1128">
        <v>27</v>
      </c>
      <c r="N1128">
        <v>31.2</v>
      </c>
      <c r="O1128">
        <v>81.2</v>
      </c>
      <c r="P1128">
        <v>5.13</v>
      </c>
      <c r="Q1128">
        <v>2.4</v>
      </c>
      <c r="R1128" t="s">
        <v>111</v>
      </c>
      <c r="S1128" t="s">
        <v>47</v>
      </c>
      <c r="T1128" t="s">
        <v>30</v>
      </c>
    </row>
    <row r="1129" spans="1:20" x14ac:dyDescent="0.3">
      <c r="A1129">
        <v>10823</v>
      </c>
      <c r="B1129" s="2">
        <v>45952</v>
      </c>
      <c r="C1129" t="s">
        <v>31</v>
      </c>
      <c r="D1129" t="s">
        <v>59</v>
      </c>
      <c r="E1129" t="s">
        <v>40</v>
      </c>
      <c r="F1129" t="s">
        <v>23</v>
      </c>
      <c r="G1129" t="s">
        <v>89</v>
      </c>
      <c r="H1129" t="s">
        <v>351</v>
      </c>
      <c r="I1129" t="s">
        <v>340</v>
      </c>
      <c r="J1129">
        <v>939</v>
      </c>
      <c r="K1129">
        <v>15</v>
      </c>
      <c r="L1129" t="s">
        <v>45</v>
      </c>
      <c r="M1129">
        <v>146</v>
      </c>
      <c r="N1129">
        <v>40.700000000000003</v>
      </c>
      <c r="O1129">
        <v>75.400000000000006</v>
      </c>
      <c r="P1129">
        <v>5.3</v>
      </c>
      <c r="Q1129">
        <v>2.4300000000000002</v>
      </c>
      <c r="R1129" t="s">
        <v>137</v>
      </c>
      <c r="S1129" t="s">
        <v>39</v>
      </c>
      <c r="T1129" t="s">
        <v>30</v>
      </c>
    </row>
    <row r="1130" spans="1:20" x14ac:dyDescent="0.3">
      <c r="A1130">
        <v>10867</v>
      </c>
      <c r="B1130" s="2">
        <v>45843</v>
      </c>
      <c r="C1130" t="s">
        <v>49</v>
      </c>
      <c r="D1130" t="s">
        <v>64</v>
      </c>
      <c r="E1130" t="s">
        <v>33</v>
      </c>
      <c r="F1130" t="s">
        <v>81</v>
      </c>
      <c r="G1130" t="s">
        <v>42</v>
      </c>
      <c r="H1130" t="s">
        <v>126</v>
      </c>
      <c r="I1130" t="s">
        <v>368</v>
      </c>
      <c r="J1130">
        <v>798</v>
      </c>
      <c r="K1130">
        <v>42</v>
      </c>
      <c r="L1130" t="s">
        <v>45</v>
      </c>
      <c r="M1130">
        <v>93</v>
      </c>
      <c r="N1130">
        <v>42</v>
      </c>
      <c r="O1130">
        <v>72</v>
      </c>
      <c r="P1130">
        <v>6</v>
      </c>
      <c r="Q1130">
        <v>3.63</v>
      </c>
      <c r="R1130" t="s">
        <v>222</v>
      </c>
      <c r="S1130" t="s">
        <v>39</v>
      </c>
      <c r="T1130" t="s">
        <v>48</v>
      </c>
    </row>
    <row r="1131" spans="1:20" x14ac:dyDescent="0.3">
      <c r="A1131">
        <v>10047</v>
      </c>
      <c r="B1131" s="2">
        <v>45747</v>
      </c>
      <c r="C1131" t="s">
        <v>31</v>
      </c>
      <c r="D1131" t="s">
        <v>59</v>
      </c>
      <c r="E1131" t="s">
        <v>33</v>
      </c>
      <c r="F1131" t="s">
        <v>41</v>
      </c>
      <c r="G1131" t="s">
        <v>113</v>
      </c>
      <c r="H1131" t="s">
        <v>172</v>
      </c>
      <c r="I1131" t="s">
        <v>233</v>
      </c>
      <c r="J1131">
        <v>651</v>
      </c>
      <c r="K1131">
        <v>8</v>
      </c>
      <c r="L1131" t="s">
        <v>45</v>
      </c>
      <c r="M1131">
        <v>21</v>
      </c>
      <c r="N1131">
        <v>38.9</v>
      </c>
      <c r="O1131">
        <v>72.7</v>
      </c>
      <c r="P1131">
        <v>5.05</v>
      </c>
      <c r="Q1131">
        <v>3.14</v>
      </c>
      <c r="R1131" t="s">
        <v>195</v>
      </c>
      <c r="S1131" t="s">
        <v>39</v>
      </c>
      <c r="T1131" t="s">
        <v>30</v>
      </c>
    </row>
    <row r="1132" spans="1:20" x14ac:dyDescent="0.3">
      <c r="A1132">
        <v>11303</v>
      </c>
      <c r="B1132" s="2">
        <v>45939</v>
      </c>
      <c r="C1132" t="s">
        <v>49</v>
      </c>
      <c r="D1132" t="s">
        <v>32</v>
      </c>
      <c r="E1132" t="s">
        <v>40</v>
      </c>
      <c r="F1132" t="s">
        <v>41</v>
      </c>
      <c r="G1132" t="s">
        <v>42</v>
      </c>
      <c r="H1132" t="s">
        <v>51</v>
      </c>
      <c r="I1132" t="s">
        <v>83</v>
      </c>
      <c r="J1132">
        <v>1579</v>
      </c>
      <c r="K1132">
        <v>16</v>
      </c>
      <c r="L1132" t="s">
        <v>71</v>
      </c>
      <c r="M1132">
        <v>50</v>
      </c>
      <c r="N1132">
        <v>36</v>
      </c>
      <c r="O1132">
        <v>75.5</v>
      </c>
      <c r="P1132">
        <v>5.64</v>
      </c>
      <c r="Q1132">
        <v>1.1100000000000001</v>
      </c>
      <c r="R1132" t="s">
        <v>152</v>
      </c>
      <c r="S1132" t="s">
        <v>47</v>
      </c>
      <c r="T1132" t="s">
        <v>30</v>
      </c>
    </row>
    <row r="1133" spans="1:20" x14ac:dyDescent="0.3">
      <c r="A1133">
        <v>10992</v>
      </c>
      <c r="B1133" s="2">
        <v>45995</v>
      </c>
      <c r="C1133" t="s">
        <v>49</v>
      </c>
      <c r="D1133" t="s">
        <v>32</v>
      </c>
      <c r="E1133" t="s">
        <v>40</v>
      </c>
      <c r="F1133" t="s">
        <v>41</v>
      </c>
      <c r="G1133" t="s">
        <v>50</v>
      </c>
      <c r="H1133" t="s">
        <v>200</v>
      </c>
      <c r="I1133" t="s">
        <v>301</v>
      </c>
      <c r="J1133">
        <v>1122</v>
      </c>
      <c r="K1133">
        <v>11</v>
      </c>
      <c r="L1133" t="s">
        <v>57</v>
      </c>
      <c r="M1133">
        <v>86</v>
      </c>
      <c r="N1133">
        <v>35.9</v>
      </c>
      <c r="O1133">
        <v>74.8</v>
      </c>
      <c r="P1133">
        <v>7.83</v>
      </c>
      <c r="Q1133">
        <v>3.56</v>
      </c>
      <c r="R1133" t="s">
        <v>143</v>
      </c>
      <c r="S1133" t="s">
        <v>73</v>
      </c>
      <c r="T1133" t="s">
        <v>30</v>
      </c>
    </row>
    <row r="1134" spans="1:20" x14ac:dyDescent="0.3">
      <c r="A1134">
        <v>10877</v>
      </c>
      <c r="B1134" s="2">
        <v>45995</v>
      </c>
      <c r="C1134" t="s">
        <v>20</v>
      </c>
      <c r="D1134" t="s">
        <v>21</v>
      </c>
      <c r="E1134" t="s">
        <v>40</v>
      </c>
      <c r="F1134" t="s">
        <v>41</v>
      </c>
      <c r="G1134" t="s">
        <v>50</v>
      </c>
      <c r="H1134" t="s">
        <v>101</v>
      </c>
      <c r="I1134" t="s">
        <v>268</v>
      </c>
      <c r="J1134">
        <v>1469</v>
      </c>
      <c r="K1134">
        <v>14</v>
      </c>
      <c r="L1134" t="s">
        <v>57</v>
      </c>
      <c r="M1134">
        <v>61</v>
      </c>
      <c r="N1134">
        <v>50.2</v>
      </c>
      <c r="O1134">
        <v>70</v>
      </c>
      <c r="P1134">
        <v>5.7</v>
      </c>
      <c r="Q1134">
        <v>3.71</v>
      </c>
      <c r="R1134" t="s">
        <v>159</v>
      </c>
      <c r="S1134" t="s">
        <v>47</v>
      </c>
      <c r="T1134" t="s">
        <v>30</v>
      </c>
    </row>
    <row r="1135" spans="1:20" x14ac:dyDescent="0.3">
      <c r="A1135">
        <v>10774</v>
      </c>
      <c r="B1135" s="2">
        <v>45907</v>
      </c>
      <c r="C1135" t="s">
        <v>31</v>
      </c>
      <c r="D1135" t="s">
        <v>59</v>
      </c>
      <c r="E1135" t="s">
        <v>22</v>
      </c>
      <c r="F1135" t="s">
        <v>23</v>
      </c>
      <c r="G1135" t="s">
        <v>113</v>
      </c>
      <c r="H1135" t="s">
        <v>165</v>
      </c>
      <c r="I1135" t="s">
        <v>327</v>
      </c>
      <c r="J1135">
        <v>1251</v>
      </c>
      <c r="K1135">
        <v>17</v>
      </c>
      <c r="L1135" t="s">
        <v>57</v>
      </c>
      <c r="M1135">
        <v>128</v>
      </c>
      <c r="N1135">
        <v>35.5</v>
      </c>
      <c r="O1135">
        <v>67.7</v>
      </c>
      <c r="P1135">
        <v>3.99</v>
      </c>
      <c r="Q1135">
        <v>3.4</v>
      </c>
      <c r="R1135" t="s">
        <v>72</v>
      </c>
      <c r="S1135" t="s">
        <v>47</v>
      </c>
      <c r="T1135" t="s">
        <v>30</v>
      </c>
    </row>
    <row r="1136" spans="1:20" x14ac:dyDescent="0.3">
      <c r="A1136">
        <v>11349</v>
      </c>
      <c r="B1136" s="2">
        <v>45836</v>
      </c>
      <c r="C1136" t="s">
        <v>20</v>
      </c>
      <c r="D1136" t="s">
        <v>32</v>
      </c>
      <c r="E1136" t="s">
        <v>22</v>
      </c>
      <c r="F1136" t="s">
        <v>41</v>
      </c>
      <c r="G1136" t="s">
        <v>60</v>
      </c>
      <c r="H1136" t="s">
        <v>93</v>
      </c>
      <c r="I1136" t="s">
        <v>104</v>
      </c>
      <c r="J1136">
        <v>673</v>
      </c>
      <c r="K1136">
        <v>35</v>
      </c>
      <c r="L1136" t="s">
        <v>27</v>
      </c>
      <c r="M1136">
        <v>7</v>
      </c>
      <c r="N1136">
        <v>35</v>
      </c>
      <c r="O1136">
        <v>78.099999999999994</v>
      </c>
      <c r="P1136">
        <v>5.55</v>
      </c>
      <c r="Q1136">
        <v>2.41</v>
      </c>
      <c r="R1136" t="s">
        <v>105</v>
      </c>
      <c r="S1136" t="s">
        <v>29</v>
      </c>
      <c r="T1136" t="s">
        <v>48</v>
      </c>
    </row>
    <row r="1137" spans="1:20" x14ac:dyDescent="0.3">
      <c r="A1137">
        <v>10005</v>
      </c>
      <c r="B1137" s="2">
        <v>45705</v>
      </c>
      <c r="C1137" t="s">
        <v>31</v>
      </c>
      <c r="D1137" t="s">
        <v>32</v>
      </c>
      <c r="E1137" t="s">
        <v>33</v>
      </c>
      <c r="F1137" t="s">
        <v>23</v>
      </c>
      <c r="G1137" t="s">
        <v>95</v>
      </c>
      <c r="H1137" t="s">
        <v>169</v>
      </c>
      <c r="I1137" t="s">
        <v>235</v>
      </c>
      <c r="J1137">
        <v>680</v>
      </c>
      <c r="K1137">
        <v>7</v>
      </c>
      <c r="L1137" t="s">
        <v>45</v>
      </c>
      <c r="M1137">
        <v>39</v>
      </c>
      <c r="N1137">
        <v>34.700000000000003</v>
      </c>
      <c r="O1137">
        <v>71.400000000000006</v>
      </c>
      <c r="P1137">
        <v>5.98</v>
      </c>
      <c r="Q1137">
        <v>3.68</v>
      </c>
      <c r="R1137" t="s">
        <v>103</v>
      </c>
      <c r="S1137" t="s">
        <v>39</v>
      </c>
      <c r="T1137" t="s">
        <v>30</v>
      </c>
    </row>
    <row r="1138" spans="1:20" x14ac:dyDescent="0.3">
      <c r="A1138">
        <v>11004</v>
      </c>
      <c r="B1138" s="2">
        <v>45861</v>
      </c>
      <c r="C1138" t="s">
        <v>31</v>
      </c>
      <c r="D1138" t="s">
        <v>32</v>
      </c>
      <c r="E1138" t="s">
        <v>107</v>
      </c>
      <c r="F1138" t="s">
        <v>81</v>
      </c>
      <c r="G1138" t="s">
        <v>109</v>
      </c>
      <c r="H1138" t="s">
        <v>61</v>
      </c>
      <c r="I1138" t="s">
        <v>158</v>
      </c>
      <c r="J1138">
        <v>471</v>
      </c>
      <c r="K1138">
        <v>4</v>
      </c>
      <c r="L1138" t="s">
        <v>27</v>
      </c>
      <c r="M1138">
        <v>80</v>
      </c>
      <c r="N1138">
        <v>45.8</v>
      </c>
      <c r="O1138">
        <v>84.8</v>
      </c>
      <c r="P1138">
        <v>4.57</v>
      </c>
      <c r="Q1138">
        <v>1.84</v>
      </c>
      <c r="R1138" t="s">
        <v>159</v>
      </c>
      <c r="S1138" t="s">
        <v>39</v>
      </c>
      <c r="T1138" t="s">
        <v>30</v>
      </c>
    </row>
    <row r="1139" spans="1:20" x14ac:dyDescent="0.3">
      <c r="A1139">
        <v>11314</v>
      </c>
      <c r="B1139" s="2">
        <v>45761</v>
      </c>
      <c r="C1139" t="s">
        <v>49</v>
      </c>
      <c r="D1139" t="s">
        <v>59</v>
      </c>
      <c r="E1139" t="s">
        <v>107</v>
      </c>
      <c r="F1139" t="s">
        <v>41</v>
      </c>
      <c r="G1139" t="s">
        <v>60</v>
      </c>
      <c r="H1139" t="s">
        <v>196</v>
      </c>
      <c r="I1139" t="s">
        <v>194</v>
      </c>
      <c r="J1139">
        <v>523</v>
      </c>
      <c r="K1139">
        <v>7</v>
      </c>
      <c r="L1139" t="s">
        <v>71</v>
      </c>
      <c r="M1139">
        <v>178</v>
      </c>
      <c r="N1139">
        <v>46.9</v>
      </c>
      <c r="O1139">
        <v>73.599999999999994</v>
      </c>
      <c r="P1139">
        <v>6.83</v>
      </c>
      <c r="Q1139">
        <v>2.19</v>
      </c>
      <c r="R1139" t="s">
        <v>189</v>
      </c>
      <c r="S1139" t="s">
        <v>73</v>
      </c>
      <c r="T1139" t="s">
        <v>30</v>
      </c>
    </row>
    <row r="1140" spans="1:20" x14ac:dyDescent="0.3">
      <c r="A1140">
        <v>10264</v>
      </c>
      <c r="B1140" s="2">
        <v>45756</v>
      </c>
      <c r="C1140" t="s">
        <v>49</v>
      </c>
      <c r="D1140" t="s">
        <v>32</v>
      </c>
      <c r="E1140" t="s">
        <v>107</v>
      </c>
      <c r="F1140" t="s">
        <v>41</v>
      </c>
      <c r="G1140" t="s">
        <v>89</v>
      </c>
      <c r="H1140" t="s">
        <v>180</v>
      </c>
      <c r="I1140" t="s">
        <v>285</v>
      </c>
      <c r="J1140">
        <v>832</v>
      </c>
      <c r="K1140">
        <v>29</v>
      </c>
      <c r="L1140" t="s">
        <v>57</v>
      </c>
      <c r="M1140">
        <v>155</v>
      </c>
      <c r="N1140">
        <v>31.1</v>
      </c>
      <c r="O1140">
        <v>79.2</v>
      </c>
      <c r="P1140">
        <v>4.79</v>
      </c>
      <c r="Q1140">
        <v>2.57</v>
      </c>
      <c r="R1140" t="s">
        <v>140</v>
      </c>
      <c r="S1140" t="s">
        <v>39</v>
      </c>
      <c r="T1140" t="s">
        <v>48</v>
      </c>
    </row>
    <row r="1141" spans="1:20" x14ac:dyDescent="0.3">
      <c r="A1141">
        <v>11194</v>
      </c>
      <c r="B1141" s="2">
        <v>45929</v>
      </c>
      <c r="C1141" t="s">
        <v>49</v>
      </c>
      <c r="D1141" t="s">
        <v>21</v>
      </c>
      <c r="E1141" t="s">
        <v>33</v>
      </c>
      <c r="F1141" t="s">
        <v>23</v>
      </c>
      <c r="G1141" t="s">
        <v>113</v>
      </c>
      <c r="H1141" t="s">
        <v>223</v>
      </c>
      <c r="I1141" t="s">
        <v>299</v>
      </c>
      <c r="J1141">
        <v>820</v>
      </c>
      <c r="K1141">
        <v>7</v>
      </c>
      <c r="L1141" t="s">
        <v>68</v>
      </c>
      <c r="M1141">
        <v>84</v>
      </c>
      <c r="N1141">
        <v>45.7</v>
      </c>
      <c r="O1141">
        <v>66.400000000000006</v>
      </c>
      <c r="P1141">
        <v>4.84</v>
      </c>
      <c r="Q1141">
        <v>3.21</v>
      </c>
      <c r="R1141" t="s">
        <v>72</v>
      </c>
      <c r="S1141" t="s">
        <v>73</v>
      </c>
      <c r="T1141" t="s">
        <v>30</v>
      </c>
    </row>
    <row r="1142" spans="1:20" x14ac:dyDescent="0.3">
      <c r="A1142">
        <v>11382</v>
      </c>
      <c r="B1142" s="2">
        <v>45747</v>
      </c>
      <c r="C1142" t="s">
        <v>31</v>
      </c>
      <c r="D1142" t="s">
        <v>32</v>
      </c>
      <c r="E1142" t="s">
        <v>33</v>
      </c>
      <c r="F1142" t="s">
        <v>23</v>
      </c>
      <c r="G1142" t="s">
        <v>113</v>
      </c>
      <c r="H1142" t="s">
        <v>215</v>
      </c>
      <c r="I1142" t="s">
        <v>331</v>
      </c>
      <c r="J1142">
        <v>1071</v>
      </c>
      <c r="K1142">
        <v>5</v>
      </c>
      <c r="L1142" t="s">
        <v>71</v>
      </c>
      <c r="M1142">
        <v>135</v>
      </c>
      <c r="N1142">
        <v>46.7</v>
      </c>
      <c r="O1142">
        <v>60.7</v>
      </c>
      <c r="P1142">
        <v>5.87</v>
      </c>
      <c r="Q1142">
        <v>2.81</v>
      </c>
      <c r="R1142" t="s">
        <v>195</v>
      </c>
      <c r="S1142" t="s">
        <v>47</v>
      </c>
      <c r="T1142" t="s">
        <v>30</v>
      </c>
    </row>
    <row r="1143" spans="1:20" x14ac:dyDescent="0.3">
      <c r="A1143">
        <v>10444</v>
      </c>
      <c r="B1143" s="2">
        <v>45688</v>
      </c>
      <c r="C1143" t="s">
        <v>20</v>
      </c>
      <c r="D1143" t="s">
        <v>59</v>
      </c>
      <c r="E1143" t="s">
        <v>40</v>
      </c>
      <c r="F1143" t="s">
        <v>23</v>
      </c>
      <c r="G1143" t="s">
        <v>113</v>
      </c>
      <c r="H1143" t="s">
        <v>88</v>
      </c>
      <c r="I1143" t="s">
        <v>236</v>
      </c>
      <c r="J1143">
        <v>693</v>
      </c>
      <c r="K1143">
        <v>5</v>
      </c>
      <c r="L1143" t="s">
        <v>71</v>
      </c>
      <c r="M1143">
        <v>105</v>
      </c>
      <c r="N1143">
        <v>34.4</v>
      </c>
      <c r="O1143">
        <v>69.5</v>
      </c>
      <c r="P1143">
        <v>6.34</v>
      </c>
      <c r="Q1143">
        <v>2.82</v>
      </c>
      <c r="R1143" t="s">
        <v>87</v>
      </c>
      <c r="S1143" t="s">
        <v>29</v>
      </c>
      <c r="T1143" t="s">
        <v>30</v>
      </c>
    </row>
    <row r="1144" spans="1:20" x14ac:dyDescent="0.3">
      <c r="A1144">
        <v>11003</v>
      </c>
      <c r="B1144" s="2">
        <v>45745</v>
      </c>
      <c r="C1144" t="s">
        <v>20</v>
      </c>
      <c r="D1144" t="s">
        <v>21</v>
      </c>
      <c r="E1144" t="s">
        <v>107</v>
      </c>
      <c r="F1144" t="s">
        <v>41</v>
      </c>
      <c r="G1144" t="s">
        <v>34</v>
      </c>
      <c r="H1144" t="s">
        <v>96</v>
      </c>
      <c r="I1144" t="s">
        <v>326</v>
      </c>
      <c r="J1144">
        <v>835</v>
      </c>
      <c r="K1144">
        <v>12</v>
      </c>
      <c r="L1144" t="s">
        <v>68</v>
      </c>
      <c r="M1144">
        <v>14</v>
      </c>
      <c r="N1144">
        <v>41.5</v>
      </c>
      <c r="O1144">
        <v>72.900000000000006</v>
      </c>
      <c r="P1144">
        <v>4.2300000000000004</v>
      </c>
      <c r="Q1144">
        <v>2.96</v>
      </c>
      <c r="R1144" t="s">
        <v>195</v>
      </c>
      <c r="S1144" t="s">
        <v>29</v>
      </c>
      <c r="T1144" t="s">
        <v>30</v>
      </c>
    </row>
    <row r="1145" spans="1:20" x14ac:dyDescent="0.3">
      <c r="A1145">
        <v>11078</v>
      </c>
      <c r="B1145" s="2">
        <v>45765</v>
      </c>
      <c r="C1145" t="s">
        <v>31</v>
      </c>
      <c r="D1145" t="s">
        <v>32</v>
      </c>
      <c r="E1145" t="s">
        <v>40</v>
      </c>
      <c r="F1145" t="s">
        <v>41</v>
      </c>
      <c r="G1145" t="s">
        <v>95</v>
      </c>
      <c r="H1145" t="s">
        <v>55</v>
      </c>
      <c r="I1145" t="s">
        <v>238</v>
      </c>
      <c r="J1145">
        <v>822</v>
      </c>
      <c r="K1145">
        <v>13</v>
      </c>
      <c r="L1145" t="s">
        <v>27</v>
      </c>
      <c r="M1145">
        <v>33</v>
      </c>
      <c r="N1145">
        <v>51.4</v>
      </c>
      <c r="O1145">
        <v>70.3</v>
      </c>
      <c r="P1145">
        <v>3.56</v>
      </c>
      <c r="Q1145">
        <v>3.26</v>
      </c>
      <c r="R1145" t="s">
        <v>128</v>
      </c>
      <c r="S1145" t="s">
        <v>29</v>
      </c>
      <c r="T1145" t="s">
        <v>30</v>
      </c>
    </row>
    <row r="1146" spans="1:20" x14ac:dyDescent="0.3">
      <c r="A1146">
        <v>10838</v>
      </c>
      <c r="B1146" s="2">
        <v>45740</v>
      </c>
      <c r="C1146" t="s">
        <v>31</v>
      </c>
      <c r="D1146" t="s">
        <v>32</v>
      </c>
      <c r="E1146" t="s">
        <v>40</v>
      </c>
      <c r="F1146" t="s">
        <v>81</v>
      </c>
      <c r="G1146" t="s">
        <v>74</v>
      </c>
      <c r="H1146" t="s">
        <v>278</v>
      </c>
      <c r="I1146" t="s">
        <v>168</v>
      </c>
      <c r="J1146">
        <v>771</v>
      </c>
      <c r="K1146">
        <v>24</v>
      </c>
      <c r="L1146" t="s">
        <v>27</v>
      </c>
      <c r="M1146">
        <v>37</v>
      </c>
      <c r="N1146">
        <v>41.4</v>
      </c>
      <c r="O1146">
        <v>67.099999999999994</v>
      </c>
      <c r="Q1146">
        <v>2.31</v>
      </c>
      <c r="R1146" t="s">
        <v>77</v>
      </c>
      <c r="S1146" t="s">
        <v>29</v>
      </c>
      <c r="T1146" t="s">
        <v>48</v>
      </c>
    </row>
    <row r="1147" spans="1:20" x14ac:dyDescent="0.3">
      <c r="A1147">
        <v>11352</v>
      </c>
      <c r="B1147" s="2">
        <v>45734</v>
      </c>
      <c r="C1147" t="s">
        <v>49</v>
      </c>
      <c r="D1147" t="s">
        <v>32</v>
      </c>
      <c r="E1147" t="s">
        <v>107</v>
      </c>
      <c r="F1147" t="s">
        <v>23</v>
      </c>
      <c r="G1147" t="s">
        <v>74</v>
      </c>
      <c r="H1147" t="s">
        <v>263</v>
      </c>
      <c r="I1147" t="s">
        <v>349</v>
      </c>
      <c r="J1147">
        <v>1463</v>
      </c>
      <c r="K1147">
        <v>46</v>
      </c>
      <c r="L1147" t="s">
        <v>27</v>
      </c>
      <c r="M1147">
        <v>68</v>
      </c>
      <c r="N1147">
        <v>46.6</v>
      </c>
      <c r="O1147">
        <v>81.5</v>
      </c>
      <c r="P1147">
        <v>4.95</v>
      </c>
      <c r="Q1147">
        <v>1.76</v>
      </c>
      <c r="R1147" t="s">
        <v>195</v>
      </c>
      <c r="S1147" t="s">
        <v>73</v>
      </c>
      <c r="T1147" t="s">
        <v>48</v>
      </c>
    </row>
    <row r="1148" spans="1:20" x14ac:dyDescent="0.3">
      <c r="A1148">
        <v>10305</v>
      </c>
      <c r="B1148" s="2">
        <v>45792</v>
      </c>
      <c r="C1148" t="s">
        <v>20</v>
      </c>
      <c r="D1148" t="s">
        <v>32</v>
      </c>
      <c r="E1148" t="s">
        <v>107</v>
      </c>
      <c r="F1148" t="s">
        <v>81</v>
      </c>
      <c r="G1148" t="s">
        <v>54</v>
      </c>
      <c r="H1148" t="s">
        <v>138</v>
      </c>
      <c r="I1148" t="s">
        <v>327</v>
      </c>
      <c r="J1148">
        <v>1265</v>
      </c>
      <c r="K1148">
        <v>15</v>
      </c>
      <c r="L1148" t="s">
        <v>45</v>
      </c>
      <c r="M1148">
        <v>106</v>
      </c>
      <c r="N1148">
        <v>42.6</v>
      </c>
      <c r="O1148">
        <v>84.8</v>
      </c>
      <c r="P1148">
        <v>5.3</v>
      </c>
      <c r="Q1148">
        <v>14</v>
      </c>
      <c r="R1148" t="s">
        <v>133</v>
      </c>
      <c r="S1148" t="s">
        <v>29</v>
      </c>
      <c r="T1148" t="s">
        <v>30</v>
      </c>
    </row>
    <row r="1149" spans="1:20" x14ac:dyDescent="0.3">
      <c r="A1149">
        <v>11355</v>
      </c>
      <c r="B1149" s="2">
        <v>45965</v>
      </c>
      <c r="C1149" t="s">
        <v>31</v>
      </c>
      <c r="D1149" t="s">
        <v>59</v>
      </c>
      <c r="E1149" t="s">
        <v>22</v>
      </c>
      <c r="F1149" t="s">
        <v>41</v>
      </c>
      <c r="G1149" t="s">
        <v>24</v>
      </c>
      <c r="H1149" t="s">
        <v>213</v>
      </c>
      <c r="I1149" t="s">
        <v>313</v>
      </c>
      <c r="J1149">
        <v>1367</v>
      </c>
      <c r="K1149">
        <v>12</v>
      </c>
      <c r="L1149" t="s">
        <v>71</v>
      </c>
      <c r="M1149">
        <v>148</v>
      </c>
      <c r="N1149">
        <v>48.7</v>
      </c>
      <c r="O1149">
        <v>70.599999999999994</v>
      </c>
      <c r="P1149">
        <v>5.44</v>
      </c>
      <c r="Q1149">
        <v>0.56000000000000005</v>
      </c>
      <c r="R1149" t="s">
        <v>28</v>
      </c>
      <c r="S1149" t="s">
        <v>73</v>
      </c>
      <c r="T1149" t="s">
        <v>30</v>
      </c>
    </row>
    <row r="1150" spans="1:20" x14ac:dyDescent="0.3">
      <c r="A1150">
        <v>10314</v>
      </c>
      <c r="B1150" s="2">
        <v>45703</v>
      </c>
      <c r="C1150" t="s">
        <v>49</v>
      </c>
      <c r="D1150" t="s">
        <v>32</v>
      </c>
      <c r="E1150" t="s">
        <v>107</v>
      </c>
      <c r="F1150" t="s">
        <v>81</v>
      </c>
      <c r="G1150" t="s">
        <v>42</v>
      </c>
      <c r="H1150" t="s">
        <v>99</v>
      </c>
      <c r="I1150" t="s">
        <v>157</v>
      </c>
      <c r="J1150">
        <v>546</v>
      </c>
      <c r="K1150">
        <v>8</v>
      </c>
      <c r="L1150" t="s">
        <v>57</v>
      </c>
      <c r="M1150">
        <v>103</v>
      </c>
      <c r="N1150">
        <v>30.4</v>
      </c>
      <c r="O1150">
        <v>74.099999999999994</v>
      </c>
      <c r="P1150">
        <v>5.81</v>
      </c>
      <c r="Q1150">
        <v>3.69</v>
      </c>
      <c r="R1150" t="s">
        <v>164</v>
      </c>
      <c r="S1150" t="s">
        <v>39</v>
      </c>
      <c r="T1150" t="s">
        <v>30</v>
      </c>
    </row>
    <row r="1151" spans="1:20" x14ac:dyDescent="0.3">
      <c r="A1151">
        <v>10150</v>
      </c>
      <c r="B1151" s="2">
        <v>45913</v>
      </c>
      <c r="C1151" t="s">
        <v>49</v>
      </c>
      <c r="D1151" t="s">
        <v>32</v>
      </c>
      <c r="E1151" t="s">
        <v>107</v>
      </c>
      <c r="F1151" t="s">
        <v>98</v>
      </c>
      <c r="G1151" t="s">
        <v>50</v>
      </c>
      <c r="H1151" t="s">
        <v>161</v>
      </c>
      <c r="I1151" t="s">
        <v>197</v>
      </c>
      <c r="J1151">
        <v>1362</v>
      </c>
      <c r="K1151">
        <v>9</v>
      </c>
      <c r="L1151" t="s">
        <v>37</v>
      </c>
      <c r="M1151">
        <v>145</v>
      </c>
      <c r="N1151" t="s">
        <v>399</v>
      </c>
      <c r="O1151">
        <v>67</v>
      </c>
      <c r="P1151">
        <v>5.95</v>
      </c>
      <c r="Q1151">
        <v>2.44</v>
      </c>
      <c r="R1151" t="s">
        <v>58</v>
      </c>
      <c r="S1151" t="s">
        <v>73</v>
      </c>
      <c r="T1151" t="s">
        <v>30</v>
      </c>
    </row>
    <row r="1152" spans="1:20" x14ac:dyDescent="0.3">
      <c r="A1152">
        <v>11149</v>
      </c>
      <c r="B1152" s="2">
        <v>45836</v>
      </c>
      <c r="C1152" t="s">
        <v>20</v>
      </c>
      <c r="D1152" t="s">
        <v>59</v>
      </c>
      <c r="E1152" t="s">
        <v>33</v>
      </c>
      <c r="F1152" t="s">
        <v>41</v>
      </c>
      <c r="G1152" t="s">
        <v>24</v>
      </c>
      <c r="H1152" t="s">
        <v>205</v>
      </c>
      <c r="I1152" t="s">
        <v>380</v>
      </c>
      <c r="J1152">
        <v>466</v>
      </c>
      <c r="K1152">
        <v>6</v>
      </c>
      <c r="L1152" t="s">
        <v>45</v>
      </c>
      <c r="M1152">
        <v>86</v>
      </c>
      <c r="N1152">
        <v>38.1</v>
      </c>
      <c r="O1152">
        <v>70.599999999999994</v>
      </c>
      <c r="P1152">
        <v>5.59</v>
      </c>
      <c r="Q1152">
        <v>2.4700000000000002</v>
      </c>
      <c r="R1152" t="s">
        <v>159</v>
      </c>
      <c r="S1152" t="s">
        <v>73</v>
      </c>
      <c r="T1152" t="s">
        <v>30</v>
      </c>
    </row>
    <row r="1153" spans="1:20" x14ac:dyDescent="0.3">
      <c r="A1153">
        <v>10575</v>
      </c>
      <c r="B1153" s="2">
        <v>45763</v>
      </c>
      <c r="C1153" t="s">
        <v>271</v>
      </c>
      <c r="D1153" t="s">
        <v>32</v>
      </c>
      <c r="E1153" t="s">
        <v>107</v>
      </c>
      <c r="F1153" t="s">
        <v>23</v>
      </c>
      <c r="G1153" t="s">
        <v>95</v>
      </c>
      <c r="H1153" t="s">
        <v>213</v>
      </c>
      <c r="I1153" t="s">
        <v>76</v>
      </c>
      <c r="J1153">
        <v>893</v>
      </c>
      <c r="K1153">
        <v>31</v>
      </c>
      <c r="L1153" t="s">
        <v>71</v>
      </c>
      <c r="M1153">
        <v>163</v>
      </c>
      <c r="N1153">
        <v>44.6</v>
      </c>
      <c r="O1153">
        <v>67.599999999999994</v>
      </c>
      <c r="P1153">
        <v>5.04</v>
      </c>
      <c r="Q1153">
        <v>3.34</v>
      </c>
      <c r="R1153" t="s">
        <v>119</v>
      </c>
      <c r="S1153" t="s">
        <v>73</v>
      </c>
      <c r="T1153" t="s">
        <v>48</v>
      </c>
    </row>
    <row r="1154" spans="1:20" x14ac:dyDescent="0.3">
      <c r="A1154">
        <v>10051</v>
      </c>
      <c r="B1154" s="2">
        <v>45822</v>
      </c>
      <c r="C1154" t="s">
        <v>49</v>
      </c>
      <c r="D1154" t="s">
        <v>64</v>
      </c>
      <c r="E1154" t="s">
        <v>33</v>
      </c>
      <c r="F1154" t="s">
        <v>23</v>
      </c>
      <c r="G1154" t="s">
        <v>42</v>
      </c>
      <c r="H1154" t="s">
        <v>116</v>
      </c>
      <c r="I1154" t="s">
        <v>221</v>
      </c>
      <c r="J1154">
        <v>1456</v>
      </c>
      <c r="K1154">
        <v>17</v>
      </c>
      <c r="L1154" t="s">
        <v>57</v>
      </c>
      <c r="M1154">
        <v>11</v>
      </c>
      <c r="N1154">
        <v>46.8</v>
      </c>
      <c r="O1154">
        <v>75.7</v>
      </c>
      <c r="P1154">
        <v>6.29</v>
      </c>
      <c r="Q1154">
        <v>3.85</v>
      </c>
      <c r="R1154" t="s">
        <v>38</v>
      </c>
      <c r="S1154" t="s">
        <v>39</v>
      </c>
      <c r="T1154" t="s">
        <v>30</v>
      </c>
    </row>
    <row r="1155" spans="1:20" x14ac:dyDescent="0.3">
      <c r="A1155">
        <v>11413</v>
      </c>
      <c r="B1155" s="2">
        <v>45722</v>
      </c>
      <c r="C1155" t="s">
        <v>20</v>
      </c>
      <c r="D1155" t="s">
        <v>59</v>
      </c>
      <c r="E1155" t="s">
        <v>40</v>
      </c>
      <c r="F1155" t="s">
        <v>41</v>
      </c>
      <c r="G1155" t="s">
        <v>89</v>
      </c>
      <c r="H1155" t="s">
        <v>138</v>
      </c>
      <c r="I1155" t="s">
        <v>282</v>
      </c>
      <c r="J1155">
        <v>1156</v>
      </c>
      <c r="K1155">
        <v>9</v>
      </c>
      <c r="L1155" t="s">
        <v>45</v>
      </c>
      <c r="M1155">
        <v>150</v>
      </c>
      <c r="N1155">
        <v>54</v>
      </c>
      <c r="O1155">
        <v>61.5</v>
      </c>
      <c r="P1155">
        <v>5.09</v>
      </c>
      <c r="Q1155">
        <v>4.3099999999999996</v>
      </c>
      <c r="R1155" t="s">
        <v>80</v>
      </c>
      <c r="S1155" t="s">
        <v>47</v>
      </c>
      <c r="T1155" t="s">
        <v>30</v>
      </c>
    </row>
    <row r="1156" spans="1:20" x14ac:dyDescent="0.3">
      <c r="A1156">
        <v>10727</v>
      </c>
      <c r="B1156" s="2">
        <v>45734</v>
      </c>
      <c r="C1156" t="s">
        <v>31</v>
      </c>
      <c r="D1156" t="s">
        <v>64</v>
      </c>
      <c r="E1156" t="s">
        <v>107</v>
      </c>
      <c r="F1156" t="s">
        <v>23</v>
      </c>
      <c r="G1156" t="s">
        <v>109</v>
      </c>
      <c r="H1156" t="s">
        <v>169</v>
      </c>
      <c r="I1156" t="s">
        <v>279</v>
      </c>
      <c r="J1156">
        <v>1370</v>
      </c>
      <c r="K1156">
        <v>16</v>
      </c>
      <c r="L1156" t="s">
        <v>68</v>
      </c>
      <c r="M1156">
        <v>139</v>
      </c>
      <c r="N1156">
        <v>39.9</v>
      </c>
      <c r="O1156">
        <v>78.099999999999994</v>
      </c>
      <c r="P1156">
        <v>4.8600000000000003</v>
      </c>
      <c r="Q1156">
        <v>1.1499999999999999</v>
      </c>
      <c r="R1156" t="s">
        <v>46</v>
      </c>
      <c r="S1156" t="s">
        <v>29</v>
      </c>
      <c r="T1156" t="s">
        <v>30</v>
      </c>
    </row>
    <row r="1157" spans="1:20" x14ac:dyDescent="0.3">
      <c r="A1157">
        <v>10834</v>
      </c>
      <c r="B1157" s="2">
        <v>45678</v>
      </c>
      <c r="C1157" t="s">
        <v>49</v>
      </c>
      <c r="D1157" t="s">
        <v>64</v>
      </c>
      <c r="E1157" t="s">
        <v>107</v>
      </c>
      <c r="F1157" t="s">
        <v>108</v>
      </c>
      <c r="G1157" t="s">
        <v>89</v>
      </c>
      <c r="H1157" t="s">
        <v>205</v>
      </c>
      <c r="I1157" t="s">
        <v>162</v>
      </c>
      <c r="J1157">
        <v>1197</v>
      </c>
      <c r="K1157">
        <v>40</v>
      </c>
      <c r="L1157" t="s">
        <v>45</v>
      </c>
      <c r="M1157">
        <v>24</v>
      </c>
      <c r="N1157">
        <v>40.4</v>
      </c>
      <c r="O1157">
        <v>71.7</v>
      </c>
      <c r="P1157">
        <v>5.71</v>
      </c>
      <c r="Q1157">
        <v>4.4800000000000004</v>
      </c>
      <c r="R1157" t="s">
        <v>195</v>
      </c>
      <c r="S1157" t="s">
        <v>73</v>
      </c>
      <c r="T1157" t="s">
        <v>48</v>
      </c>
    </row>
    <row r="1158" spans="1:20" x14ac:dyDescent="0.3">
      <c r="A1158">
        <v>11116</v>
      </c>
      <c r="B1158" s="2">
        <v>45786</v>
      </c>
      <c r="C1158" t="s">
        <v>20</v>
      </c>
      <c r="D1158" t="s">
        <v>32</v>
      </c>
      <c r="E1158" t="s">
        <v>107</v>
      </c>
      <c r="F1158" t="s">
        <v>81</v>
      </c>
      <c r="G1158" t="s">
        <v>60</v>
      </c>
      <c r="H1158" t="s">
        <v>141</v>
      </c>
      <c r="I1158" t="s">
        <v>171</v>
      </c>
      <c r="J1158">
        <v>587</v>
      </c>
      <c r="K1158">
        <v>22</v>
      </c>
      <c r="L1158" t="s">
        <v>37</v>
      </c>
      <c r="M1158">
        <v>51</v>
      </c>
      <c r="N1158">
        <v>44.6</v>
      </c>
      <c r="O1158">
        <v>80.3</v>
      </c>
      <c r="P1158">
        <v>4.79</v>
      </c>
      <c r="Q1158">
        <v>2.17</v>
      </c>
      <c r="R1158" t="s">
        <v>137</v>
      </c>
      <c r="S1158" t="s">
        <v>47</v>
      </c>
      <c r="T1158" t="s">
        <v>48</v>
      </c>
    </row>
    <row r="1159" spans="1:20" x14ac:dyDescent="0.3">
      <c r="A1159">
        <v>10471</v>
      </c>
      <c r="B1159" s="2">
        <v>45965</v>
      </c>
      <c r="C1159" t="s">
        <v>31</v>
      </c>
      <c r="D1159" t="s">
        <v>59</v>
      </c>
      <c r="E1159" t="s">
        <v>22</v>
      </c>
      <c r="F1159" t="s">
        <v>41</v>
      </c>
      <c r="G1159" t="s">
        <v>95</v>
      </c>
      <c r="H1159" t="s">
        <v>138</v>
      </c>
      <c r="I1159" t="s">
        <v>321</v>
      </c>
      <c r="J1159">
        <v>615</v>
      </c>
      <c r="K1159">
        <v>9</v>
      </c>
      <c r="L1159" t="s">
        <v>27</v>
      </c>
      <c r="M1159">
        <v>102</v>
      </c>
      <c r="N1159">
        <v>38.5</v>
      </c>
      <c r="O1159">
        <v>67.099999999999994</v>
      </c>
      <c r="P1159">
        <v>3.79</v>
      </c>
      <c r="Q1159">
        <v>4.72</v>
      </c>
      <c r="R1159" t="s">
        <v>184</v>
      </c>
      <c r="S1159" t="s">
        <v>73</v>
      </c>
      <c r="T1159" t="s">
        <v>30</v>
      </c>
    </row>
    <row r="1160" spans="1:20" x14ac:dyDescent="0.3">
      <c r="A1160">
        <v>10972</v>
      </c>
      <c r="B1160" s="2">
        <v>45835</v>
      </c>
      <c r="C1160" t="s">
        <v>20</v>
      </c>
      <c r="D1160" t="s">
        <v>64</v>
      </c>
      <c r="E1160" t="s">
        <v>107</v>
      </c>
      <c r="F1160" t="s">
        <v>23</v>
      </c>
      <c r="G1160" t="s">
        <v>54</v>
      </c>
      <c r="H1160" t="s">
        <v>25</v>
      </c>
      <c r="I1160" t="s">
        <v>327</v>
      </c>
      <c r="J1160">
        <v>1120</v>
      </c>
      <c r="K1160">
        <v>6</v>
      </c>
      <c r="L1160" t="s">
        <v>45</v>
      </c>
      <c r="M1160">
        <v>49</v>
      </c>
      <c r="N1160">
        <v>46.4</v>
      </c>
      <c r="O1160">
        <v>59</v>
      </c>
      <c r="P1160">
        <v>6.31</v>
      </c>
      <c r="Q1160">
        <v>3.32</v>
      </c>
      <c r="R1160" t="s">
        <v>267</v>
      </c>
      <c r="S1160" t="s">
        <v>29</v>
      </c>
      <c r="T1160" t="s">
        <v>30</v>
      </c>
    </row>
    <row r="1161" spans="1:20" x14ac:dyDescent="0.3">
      <c r="A1161">
        <v>10654</v>
      </c>
      <c r="B1161" s="2">
        <v>45880</v>
      </c>
      <c r="C1161" t="s">
        <v>20</v>
      </c>
      <c r="D1161" t="s">
        <v>59</v>
      </c>
      <c r="E1161" t="s">
        <v>40</v>
      </c>
      <c r="F1161" t="s">
        <v>23</v>
      </c>
      <c r="G1161" t="s">
        <v>54</v>
      </c>
      <c r="H1161" t="s">
        <v>169</v>
      </c>
      <c r="I1161" t="s">
        <v>294</v>
      </c>
      <c r="J1161">
        <v>687</v>
      </c>
      <c r="K1161">
        <v>6</v>
      </c>
      <c r="L1161" t="s">
        <v>27</v>
      </c>
      <c r="M1161">
        <v>153</v>
      </c>
      <c r="N1161">
        <v>49.7</v>
      </c>
      <c r="O1161">
        <v>63.3</v>
      </c>
      <c r="P1161">
        <v>4.04</v>
      </c>
      <c r="Q1161">
        <v>0.84</v>
      </c>
      <c r="R1161" t="s">
        <v>245</v>
      </c>
      <c r="S1161" t="s">
        <v>39</v>
      </c>
      <c r="T1161" t="s">
        <v>30</v>
      </c>
    </row>
    <row r="1162" spans="1:20" x14ac:dyDescent="0.3">
      <c r="A1162">
        <v>10400</v>
      </c>
      <c r="B1162" s="2">
        <v>46008</v>
      </c>
      <c r="C1162" t="s">
        <v>49</v>
      </c>
      <c r="D1162" t="s">
        <v>32</v>
      </c>
      <c r="E1162" t="s">
        <v>22</v>
      </c>
      <c r="F1162" t="s">
        <v>81</v>
      </c>
      <c r="G1162" t="s">
        <v>42</v>
      </c>
      <c r="H1162" t="s">
        <v>66</v>
      </c>
      <c r="I1162" t="s">
        <v>178</v>
      </c>
      <c r="J1162">
        <v>1227</v>
      </c>
      <c r="K1162">
        <v>4</v>
      </c>
      <c r="L1162" t="s">
        <v>45</v>
      </c>
      <c r="M1162">
        <v>74</v>
      </c>
      <c r="N1162">
        <v>42.8</v>
      </c>
      <c r="O1162">
        <v>75.7</v>
      </c>
      <c r="P1162">
        <v>5.05</v>
      </c>
      <c r="Q1162">
        <v>2.69</v>
      </c>
      <c r="R1162" t="s">
        <v>232</v>
      </c>
      <c r="S1162" t="s">
        <v>29</v>
      </c>
      <c r="T1162" t="s">
        <v>30</v>
      </c>
    </row>
    <row r="1163" spans="1:20" x14ac:dyDescent="0.3">
      <c r="A1163">
        <v>10512</v>
      </c>
      <c r="B1163" s="2">
        <v>45659</v>
      </c>
      <c r="C1163" t="s">
        <v>20</v>
      </c>
      <c r="D1163" t="s">
        <v>64</v>
      </c>
      <c r="E1163" t="s">
        <v>22</v>
      </c>
      <c r="F1163" t="s">
        <v>41</v>
      </c>
      <c r="G1163" t="s">
        <v>24</v>
      </c>
      <c r="H1163" t="s">
        <v>90</v>
      </c>
      <c r="I1163" t="s">
        <v>290</v>
      </c>
      <c r="J1163">
        <v>901</v>
      </c>
      <c r="K1163">
        <v>11</v>
      </c>
      <c r="L1163" t="s">
        <v>57</v>
      </c>
      <c r="M1163">
        <v>97</v>
      </c>
      <c r="N1163">
        <v>37.700000000000003</v>
      </c>
      <c r="O1163">
        <v>77.7</v>
      </c>
      <c r="P1163">
        <v>5.3</v>
      </c>
      <c r="Q1163">
        <v>2.3199999999999998</v>
      </c>
      <c r="R1163" t="s">
        <v>119</v>
      </c>
      <c r="S1163" t="s">
        <v>29</v>
      </c>
      <c r="T1163" t="s">
        <v>30</v>
      </c>
    </row>
    <row r="1164" spans="1:20" x14ac:dyDescent="0.3">
      <c r="A1164">
        <v>10321</v>
      </c>
      <c r="B1164" s="2">
        <v>45900</v>
      </c>
      <c r="C1164" t="s">
        <v>49</v>
      </c>
      <c r="D1164" t="s">
        <v>32</v>
      </c>
      <c r="E1164" t="s">
        <v>107</v>
      </c>
      <c r="F1164" t="s">
        <v>41</v>
      </c>
      <c r="G1164" t="s">
        <v>42</v>
      </c>
      <c r="H1164" t="s">
        <v>351</v>
      </c>
      <c r="I1164" t="s">
        <v>228</v>
      </c>
      <c r="J1164">
        <v>898</v>
      </c>
      <c r="K1164">
        <v>2</v>
      </c>
      <c r="L1164" t="s">
        <v>71</v>
      </c>
      <c r="M1164">
        <v>83</v>
      </c>
      <c r="N1164">
        <v>48.2</v>
      </c>
      <c r="O1164">
        <v>71.900000000000006</v>
      </c>
      <c r="P1164">
        <v>5.07</v>
      </c>
      <c r="Q1164">
        <v>4.18</v>
      </c>
      <c r="R1164" t="s">
        <v>28</v>
      </c>
      <c r="S1164" t="s">
        <v>39</v>
      </c>
      <c r="T1164" t="s">
        <v>30</v>
      </c>
    </row>
    <row r="1165" spans="1:20" x14ac:dyDescent="0.3">
      <c r="A1165">
        <v>10020</v>
      </c>
      <c r="B1165" s="2">
        <v>45907</v>
      </c>
      <c r="C1165" t="s">
        <v>31</v>
      </c>
      <c r="D1165" t="s">
        <v>59</v>
      </c>
      <c r="E1165" t="s">
        <v>107</v>
      </c>
      <c r="F1165" t="s">
        <v>81</v>
      </c>
      <c r="G1165" t="s">
        <v>109</v>
      </c>
      <c r="H1165" t="s">
        <v>90</v>
      </c>
      <c r="I1165" t="s">
        <v>56</v>
      </c>
      <c r="J1165">
        <v>806</v>
      </c>
      <c r="K1165">
        <v>6</v>
      </c>
      <c r="L1165" t="s">
        <v>37</v>
      </c>
      <c r="M1165">
        <v>20</v>
      </c>
      <c r="N1165">
        <v>43.4</v>
      </c>
      <c r="O1165">
        <v>67.2</v>
      </c>
      <c r="P1165">
        <v>5.26</v>
      </c>
      <c r="Q1165">
        <v>2.38</v>
      </c>
      <c r="R1165" t="s">
        <v>140</v>
      </c>
      <c r="S1165" t="s">
        <v>47</v>
      </c>
      <c r="T1165" t="s">
        <v>30</v>
      </c>
    </row>
    <row r="1166" spans="1:20" x14ac:dyDescent="0.3">
      <c r="A1166">
        <v>10685</v>
      </c>
      <c r="B1166" s="2">
        <v>45995</v>
      </c>
      <c r="C1166" t="s">
        <v>20</v>
      </c>
      <c r="D1166" t="s">
        <v>59</v>
      </c>
      <c r="E1166" t="s">
        <v>107</v>
      </c>
      <c r="F1166" t="s">
        <v>81</v>
      </c>
      <c r="G1166" t="s">
        <v>134</v>
      </c>
      <c r="H1166" t="s">
        <v>35</v>
      </c>
      <c r="I1166" t="s">
        <v>86</v>
      </c>
      <c r="J1166">
        <v>571</v>
      </c>
      <c r="K1166">
        <v>6</v>
      </c>
      <c r="L1166" t="s">
        <v>45</v>
      </c>
      <c r="M1166">
        <v>93</v>
      </c>
      <c r="N1166">
        <v>47.1</v>
      </c>
      <c r="O1166">
        <v>60.3</v>
      </c>
      <c r="P1166">
        <v>5.09</v>
      </c>
      <c r="Q1166">
        <v>1.18</v>
      </c>
      <c r="R1166" t="s">
        <v>63</v>
      </c>
      <c r="S1166" t="s">
        <v>29</v>
      </c>
      <c r="T1166" t="s">
        <v>30</v>
      </c>
    </row>
    <row r="1167" spans="1:20" x14ac:dyDescent="0.3">
      <c r="A1167">
        <v>10036</v>
      </c>
      <c r="B1167" s="2">
        <v>46020</v>
      </c>
      <c r="C1167" t="s">
        <v>31</v>
      </c>
      <c r="D1167" t="s">
        <v>21</v>
      </c>
      <c r="E1167" t="s">
        <v>22</v>
      </c>
      <c r="F1167" t="s">
        <v>81</v>
      </c>
      <c r="G1167" t="s">
        <v>74</v>
      </c>
      <c r="H1167" t="s">
        <v>61</v>
      </c>
      <c r="I1167" t="s">
        <v>304</v>
      </c>
      <c r="J1167">
        <v>1115</v>
      </c>
      <c r="K1167">
        <v>24</v>
      </c>
      <c r="L1167" t="s">
        <v>57</v>
      </c>
      <c r="M1167">
        <v>19</v>
      </c>
      <c r="N1167">
        <v>44.1</v>
      </c>
      <c r="O1167">
        <v>68.099999999999994</v>
      </c>
      <c r="P1167">
        <v>5.41</v>
      </c>
      <c r="Q1167">
        <v>1.38</v>
      </c>
      <c r="R1167" t="s">
        <v>245</v>
      </c>
      <c r="S1167" t="s">
        <v>39</v>
      </c>
      <c r="T1167" t="s">
        <v>30</v>
      </c>
    </row>
    <row r="1168" spans="1:20" x14ac:dyDescent="0.3">
      <c r="A1168">
        <v>10903</v>
      </c>
      <c r="B1168" s="2">
        <v>45951</v>
      </c>
      <c r="C1168" t="s">
        <v>20</v>
      </c>
      <c r="D1168" t="s">
        <v>32</v>
      </c>
      <c r="E1168" t="s">
        <v>22</v>
      </c>
      <c r="F1168" t="s">
        <v>98</v>
      </c>
      <c r="G1168" t="s">
        <v>24</v>
      </c>
      <c r="H1168" t="s">
        <v>265</v>
      </c>
      <c r="I1168" t="s">
        <v>358</v>
      </c>
      <c r="J1168">
        <v>596</v>
      </c>
      <c r="K1168">
        <v>2</v>
      </c>
      <c r="L1168" t="s">
        <v>71</v>
      </c>
      <c r="M1168">
        <v>137</v>
      </c>
      <c r="N1168">
        <v>43.8</v>
      </c>
      <c r="O1168">
        <v>81.5</v>
      </c>
      <c r="P1168">
        <v>5.48</v>
      </c>
      <c r="Q1168">
        <v>3.78</v>
      </c>
      <c r="R1168" t="s">
        <v>202</v>
      </c>
      <c r="S1168" t="s">
        <v>47</v>
      </c>
      <c r="T1168" t="s">
        <v>30</v>
      </c>
    </row>
    <row r="1169" spans="1:20" x14ac:dyDescent="0.3">
      <c r="A1169">
        <v>10828</v>
      </c>
      <c r="B1169" s="2">
        <v>45798</v>
      </c>
      <c r="C1169" t="s">
        <v>49</v>
      </c>
      <c r="D1169" t="s">
        <v>21</v>
      </c>
      <c r="E1169" t="s">
        <v>40</v>
      </c>
      <c r="F1169" t="s">
        <v>23</v>
      </c>
      <c r="G1169" t="s">
        <v>34</v>
      </c>
      <c r="H1169" t="s">
        <v>75</v>
      </c>
      <c r="I1169" t="s">
        <v>332</v>
      </c>
      <c r="J1169">
        <v>890</v>
      </c>
      <c r="K1169">
        <v>57</v>
      </c>
      <c r="L1169" t="s">
        <v>71</v>
      </c>
      <c r="M1169">
        <v>146</v>
      </c>
      <c r="N1169">
        <v>41.1</v>
      </c>
      <c r="O1169">
        <v>76.900000000000006</v>
      </c>
      <c r="P1169">
        <v>5.59</v>
      </c>
      <c r="Q1169">
        <v>3.91</v>
      </c>
      <c r="R1169" t="s">
        <v>245</v>
      </c>
      <c r="S1169" t="s">
        <v>39</v>
      </c>
      <c r="T1169" t="s">
        <v>48</v>
      </c>
    </row>
    <row r="1170" spans="1:20" x14ac:dyDescent="0.3">
      <c r="A1170">
        <v>11357</v>
      </c>
      <c r="B1170" s="2">
        <v>45897</v>
      </c>
      <c r="C1170" t="s">
        <v>31</v>
      </c>
      <c r="D1170" t="s">
        <v>64</v>
      </c>
      <c r="E1170" t="s">
        <v>107</v>
      </c>
      <c r="F1170" t="s">
        <v>41</v>
      </c>
      <c r="G1170" t="s">
        <v>24</v>
      </c>
      <c r="H1170" t="s">
        <v>123</v>
      </c>
      <c r="I1170" t="s">
        <v>324</v>
      </c>
      <c r="J1170">
        <v>1075</v>
      </c>
      <c r="K1170">
        <v>16</v>
      </c>
      <c r="L1170" t="s">
        <v>37</v>
      </c>
      <c r="M1170">
        <v>63</v>
      </c>
      <c r="N1170">
        <v>42.7</v>
      </c>
      <c r="O1170">
        <v>70.2</v>
      </c>
      <c r="P1170">
        <v>5.55</v>
      </c>
      <c r="Q1170">
        <v>3.9</v>
      </c>
      <c r="R1170" t="s">
        <v>240</v>
      </c>
      <c r="S1170" t="s">
        <v>29</v>
      </c>
      <c r="T1170" t="s">
        <v>30</v>
      </c>
    </row>
    <row r="1171" spans="1:20" x14ac:dyDescent="0.3">
      <c r="A1171">
        <v>10408</v>
      </c>
      <c r="B1171" s="2">
        <v>45927</v>
      </c>
      <c r="C1171" t="s">
        <v>49</v>
      </c>
      <c r="D1171" t="s">
        <v>64</v>
      </c>
      <c r="E1171" t="s">
        <v>40</v>
      </c>
      <c r="F1171" t="s">
        <v>65</v>
      </c>
      <c r="G1171" t="s">
        <v>50</v>
      </c>
      <c r="H1171" t="s">
        <v>120</v>
      </c>
      <c r="I1171" t="s">
        <v>145</v>
      </c>
      <c r="J1171">
        <v>573</v>
      </c>
      <c r="K1171">
        <v>3</v>
      </c>
      <c r="L1171" t="s">
        <v>57</v>
      </c>
      <c r="M1171">
        <v>28</v>
      </c>
      <c r="N1171">
        <v>48</v>
      </c>
      <c r="O1171">
        <v>75.2</v>
      </c>
      <c r="P1171">
        <v>5.52</v>
      </c>
      <c r="Q1171">
        <v>2.33</v>
      </c>
      <c r="R1171" t="s">
        <v>167</v>
      </c>
      <c r="S1171" t="s">
        <v>73</v>
      </c>
      <c r="T1171" t="s">
        <v>30</v>
      </c>
    </row>
    <row r="1172" spans="1:20" x14ac:dyDescent="0.3">
      <c r="A1172">
        <v>10921</v>
      </c>
      <c r="B1172" s="2">
        <v>45831</v>
      </c>
      <c r="C1172" t="s">
        <v>49</v>
      </c>
      <c r="D1172" t="s">
        <v>64</v>
      </c>
      <c r="E1172" t="s">
        <v>107</v>
      </c>
      <c r="F1172" t="s">
        <v>41</v>
      </c>
      <c r="G1172" t="s">
        <v>113</v>
      </c>
      <c r="H1172" t="s">
        <v>66</v>
      </c>
      <c r="I1172" t="s">
        <v>294</v>
      </c>
      <c r="J1172">
        <v>1143</v>
      </c>
      <c r="K1172">
        <v>17</v>
      </c>
      <c r="L1172" t="s">
        <v>57</v>
      </c>
      <c r="M1172">
        <v>81</v>
      </c>
      <c r="N1172">
        <v>41.9</v>
      </c>
      <c r="O1172">
        <v>60.6</v>
      </c>
      <c r="P1172">
        <v>4.96</v>
      </c>
      <c r="Q1172">
        <v>3.53</v>
      </c>
      <c r="R1172" t="s">
        <v>143</v>
      </c>
      <c r="S1172" t="s">
        <v>29</v>
      </c>
      <c r="T1172" t="s">
        <v>30</v>
      </c>
    </row>
    <row r="1173" spans="1:20" x14ac:dyDescent="0.3">
      <c r="A1173">
        <v>10538</v>
      </c>
      <c r="B1173" s="2">
        <v>45870</v>
      </c>
      <c r="C1173" t="s">
        <v>271</v>
      </c>
      <c r="D1173" t="s">
        <v>59</v>
      </c>
      <c r="E1173" t="s">
        <v>33</v>
      </c>
      <c r="F1173" t="s">
        <v>81</v>
      </c>
      <c r="G1173" t="s">
        <v>134</v>
      </c>
      <c r="H1173" t="s">
        <v>287</v>
      </c>
      <c r="I1173" t="s">
        <v>306</v>
      </c>
      <c r="J1173">
        <v>1483</v>
      </c>
      <c r="K1173">
        <v>6</v>
      </c>
      <c r="L1173" t="s">
        <v>71</v>
      </c>
      <c r="M1173">
        <v>26</v>
      </c>
      <c r="N1173">
        <v>46.9</v>
      </c>
      <c r="O1173">
        <v>81.5</v>
      </c>
      <c r="P1173">
        <v>4.01</v>
      </c>
      <c r="Q1173">
        <v>2.48</v>
      </c>
      <c r="R1173" t="s">
        <v>184</v>
      </c>
      <c r="S1173" t="s">
        <v>73</v>
      </c>
      <c r="T1173" t="s">
        <v>30</v>
      </c>
    </row>
    <row r="1174" spans="1:20" x14ac:dyDescent="0.3">
      <c r="A1174">
        <v>10759</v>
      </c>
      <c r="B1174" s="2">
        <v>45699</v>
      </c>
      <c r="C1174" t="s">
        <v>20</v>
      </c>
      <c r="D1174" t="s">
        <v>32</v>
      </c>
      <c r="E1174" t="s">
        <v>33</v>
      </c>
      <c r="F1174" t="s">
        <v>23</v>
      </c>
      <c r="G1174" t="s">
        <v>42</v>
      </c>
      <c r="H1174" t="s">
        <v>69</v>
      </c>
      <c r="I1174" t="s">
        <v>236</v>
      </c>
      <c r="J1174">
        <v>1025</v>
      </c>
      <c r="K1174">
        <v>9</v>
      </c>
      <c r="L1174" t="s">
        <v>68</v>
      </c>
      <c r="M1174">
        <v>25</v>
      </c>
      <c r="N1174">
        <v>38.4</v>
      </c>
      <c r="O1174">
        <v>79</v>
      </c>
      <c r="P1174">
        <v>6.05</v>
      </c>
      <c r="Q1174">
        <v>2.7</v>
      </c>
      <c r="R1174" t="s">
        <v>137</v>
      </c>
      <c r="S1174" t="s">
        <v>39</v>
      </c>
      <c r="T1174" t="s">
        <v>30</v>
      </c>
    </row>
    <row r="1175" spans="1:20" x14ac:dyDescent="0.3">
      <c r="A1175">
        <v>11063</v>
      </c>
      <c r="B1175" s="2">
        <v>45887</v>
      </c>
      <c r="C1175" t="s">
        <v>49</v>
      </c>
      <c r="D1175" t="s">
        <v>59</v>
      </c>
      <c r="E1175" t="s">
        <v>40</v>
      </c>
      <c r="F1175" t="s">
        <v>23</v>
      </c>
      <c r="G1175" t="s">
        <v>42</v>
      </c>
      <c r="H1175" t="s">
        <v>263</v>
      </c>
      <c r="I1175" t="s">
        <v>328</v>
      </c>
      <c r="J1175">
        <v>1126</v>
      </c>
      <c r="K1175">
        <v>2</v>
      </c>
      <c r="L1175" t="s">
        <v>45</v>
      </c>
      <c r="M1175">
        <v>58</v>
      </c>
      <c r="N1175">
        <v>42</v>
      </c>
      <c r="O1175">
        <v>71.599999999999994</v>
      </c>
      <c r="P1175">
        <v>6.3</v>
      </c>
      <c r="Q1175">
        <v>4.26</v>
      </c>
      <c r="R1175" t="s">
        <v>174</v>
      </c>
      <c r="S1175" t="s">
        <v>29</v>
      </c>
      <c r="T1175" t="s">
        <v>30</v>
      </c>
    </row>
    <row r="1176" spans="1:20" x14ac:dyDescent="0.3">
      <c r="A1176">
        <v>10246</v>
      </c>
      <c r="B1176" s="2">
        <v>45842</v>
      </c>
      <c r="C1176" t="s">
        <v>20</v>
      </c>
      <c r="D1176" t="s">
        <v>32</v>
      </c>
      <c r="E1176" t="s">
        <v>40</v>
      </c>
      <c r="F1176" t="s">
        <v>81</v>
      </c>
      <c r="G1176" t="s">
        <v>50</v>
      </c>
      <c r="H1176" t="s">
        <v>25</v>
      </c>
      <c r="I1176" t="s">
        <v>268</v>
      </c>
      <c r="J1176">
        <v>1571</v>
      </c>
      <c r="K1176" t="s">
        <v>400</v>
      </c>
      <c r="L1176" t="s">
        <v>45</v>
      </c>
      <c r="M1176">
        <v>123</v>
      </c>
      <c r="N1176">
        <v>39.1</v>
      </c>
      <c r="O1176">
        <v>71.900000000000006</v>
      </c>
      <c r="P1176">
        <v>5.55</v>
      </c>
      <c r="Q1176">
        <v>3.27</v>
      </c>
      <c r="R1176" t="s">
        <v>189</v>
      </c>
      <c r="S1176" t="s">
        <v>29</v>
      </c>
      <c r="T1176" t="s">
        <v>30</v>
      </c>
    </row>
    <row r="1177" spans="1:20" x14ac:dyDescent="0.3">
      <c r="A1177">
        <v>11128</v>
      </c>
      <c r="B1177" s="2">
        <v>45689</v>
      </c>
      <c r="C1177" t="s">
        <v>49</v>
      </c>
      <c r="D1177" t="s">
        <v>32</v>
      </c>
      <c r="E1177" t="s">
        <v>107</v>
      </c>
      <c r="F1177" t="s">
        <v>81</v>
      </c>
      <c r="G1177" t="s">
        <v>54</v>
      </c>
      <c r="H1177" t="s">
        <v>93</v>
      </c>
      <c r="I1177" t="s">
        <v>203</v>
      </c>
      <c r="J1177">
        <v>849</v>
      </c>
      <c r="K1177">
        <v>8</v>
      </c>
      <c r="L1177" t="s">
        <v>57</v>
      </c>
      <c r="M1177">
        <v>76</v>
      </c>
      <c r="N1177">
        <v>46.7</v>
      </c>
      <c r="O1177">
        <v>63.1</v>
      </c>
      <c r="P1177">
        <v>5.78</v>
      </c>
      <c r="Q1177">
        <v>1.07</v>
      </c>
      <c r="R1177" t="s">
        <v>159</v>
      </c>
      <c r="S1177" t="s">
        <v>73</v>
      </c>
      <c r="T1177" t="s">
        <v>30</v>
      </c>
    </row>
    <row r="1178" spans="1:20" x14ac:dyDescent="0.3">
      <c r="A1178">
        <v>10785</v>
      </c>
      <c r="B1178" s="2">
        <v>45953</v>
      </c>
      <c r="C1178" t="s">
        <v>49</v>
      </c>
      <c r="D1178" t="s">
        <v>64</v>
      </c>
      <c r="E1178" t="s">
        <v>33</v>
      </c>
      <c r="F1178" t="s">
        <v>23</v>
      </c>
      <c r="G1178" t="s">
        <v>50</v>
      </c>
      <c r="H1178" t="s">
        <v>85</v>
      </c>
      <c r="I1178" t="s">
        <v>146</v>
      </c>
      <c r="J1178">
        <v>459</v>
      </c>
      <c r="K1178">
        <v>3</v>
      </c>
      <c r="L1178" t="s">
        <v>37</v>
      </c>
      <c r="M1178">
        <v>125</v>
      </c>
      <c r="N1178">
        <v>42.8</v>
      </c>
      <c r="O1178">
        <v>73.7</v>
      </c>
      <c r="P1178">
        <v>4.3499999999999996</v>
      </c>
      <c r="Q1178">
        <v>4.1900000000000004</v>
      </c>
      <c r="R1178" t="s">
        <v>229</v>
      </c>
      <c r="S1178" t="s">
        <v>73</v>
      </c>
      <c r="T1178" t="s">
        <v>30</v>
      </c>
    </row>
    <row r="1179" spans="1:20" x14ac:dyDescent="0.3">
      <c r="A1179">
        <v>10490</v>
      </c>
      <c r="B1179" s="2">
        <v>45949</v>
      </c>
      <c r="C1179" t="s">
        <v>20</v>
      </c>
      <c r="D1179" t="s">
        <v>21</v>
      </c>
      <c r="E1179" t="s">
        <v>22</v>
      </c>
      <c r="F1179" t="s">
        <v>41</v>
      </c>
      <c r="G1179" t="s">
        <v>54</v>
      </c>
      <c r="H1179" t="s">
        <v>175</v>
      </c>
      <c r="I1179" t="s">
        <v>354</v>
      </c>
      <c r="J1179">
        <v>1364</v>
      </c>
      <c r="K1179">
        <v>38</v>
      </c>
      <c r="L1179" t="s">
        <v>45</v>
      </c>
      <c r="M1179">
        <v>176</v>
      </c>
      <c r="N1179">
        <v>37.299999999999997</v>
      </c>
      <c r="O1179">
        <v>84.5</v>
      </c>
      <c r="P1179">
        <v>4.72</v>
      </c>
      <c r="Q1179">
        <v>1.49</v>
      </c>
      <c r="R1179" t="s">
        <v>280</v>
      </c>
      <c r="S1179" t="s">
        <v>73</v>
      </c>
      <c r="T1179" t="s">
        <v>30</v>
      </c>
    </row>
    <row r="1180" spans="1:20" x14ac:dyDescent="0.3">
      <c r="A1180">
        <v>10155</v>
      </c>
      <c r="B1180" s="2">
        <v>45988</v>
      </c>
      <c r="C1180" t="s">
        <v>150</v>
      </c>
      <c r="D1180" t="s">
        <v>21</v>
      </c>
      <c r="E1180" t="s">
        <v>107</v>
      </c>
      <c r="F1180" t="s">
        <v>41</v>
      </c>
      <c r="G1180" t="s">
        <v>89</v>
      </c>
      <c r="H1180" t="s">
        <v>93</v>
      </c>
      <c r="I1180" t="s">
        <v>326</v>
      </c>
      <c r="J1180">
        <v>965</v>
      </c>
      <c r="K1180">
        <v>84</v>
      </c>
      <c r="L1180" t="s">
        <v>37</v>
      </c>
      <c r="M1180">
        <v>110</v>
      </c>
      <c r="N1180">
        <v>34</v>
      </c>
      <c r="O1180">
        <v>64.5</v>
      </c>
      <c r="P1180">
        <v>5.22</v>
      </c>
      <c r="Q1180">
        <v>3.22</v>
      </c>
      <c r="R1180" t="s">
        <v>63</v>
      </c>
      <c r="S1180" t="s">
        <v>39</v>
      </c>
      <c r="T1180" t="s">
        <v>48</v>
      </c>
    </row>
    <row r="1181" spans="1:20" x14ac:dyDescent="0.3">
      <c r="A1181">
        <v>10962</v>
      </c>
      <c r="B1181" s="2">
        <v>45741</v>
      </c>
      <c r="C1181" t="s">
        <v>49</v>
      </c>
      <c r="D1181" t="s">
        <v>59</v>
      </c>
      <c r="E1181" t="s">
        <v>22</v>
      </c>
      <c r="F1181" t="s">
        <v>23</v>
      </c>
      <c r="G1181" t="s">
        <v>109</v>
      </c>
      <c r="H1181" t="s">
        <v>193</v>
      </c>
      <c r="I1181" t="s">
        <v>372</v>
      </c>
      <c r="J1181">
        <v>529</v>
      </c>
      <c r="K1181">
        <v>6</v>
      </c>
      <c r="L1181" t="s">
        <v>27</v>
      </c>
      <c r="M1181">
        <v>106</v>
      </c>
      <c r="N1181">
        <v>42.7</v>
      </c>
      <c r="O1181">
        <v>76</v>
      </c>
      <c r="P1181">
        <v>6</v>
      </c>
      <c r="Q1181">
        <v>3.23</v>
      </c>
      <c r="R1181" t="s">
        <v>227</v>
      </c>
      <c r="S1181" t="s">
        <v>39</v>
      </c>
      <c r="T1181" t="s">
        <v>30</v>
      </c>
    </row>
    <row r="1182" spans="1:20" x14ac:dyDescent="0.3">
      <c r="A1182">
        <v>10854</v>
      </c>
      <c r="B1182" s="2">
        <v>45701</v>
      </c>
      <c r="C1182" t="s">
        <v>49</v>
      </c>
      <c r="D1182" t="s">
        <v>64</v>
      </c>
      <c r="E1182" t="s">
        <v>40</v>
      </c>
      <c r="F1182" t="s">
        <v>65</v>
      </c>
      <c r="G1182" t="s">
        <v>60</v>
      </c>
      <c r="H1182" t="s">
        <v>180</v>
      </c>
      <c r="I1182" t="s">
        <v>374</v>
      </c>
      <c r="J1182">
        <v>1281</v>
      </c>
      <c r="K1182">
        <v>6</v>
      </c>
      <c r="L1182" t="s">
        <v>68</v>
      </c>
      <c r="M1182">
        <v>64</v>
      </c>
      <c r="N1182">
        <v>42.2</v>
      </c>
      <c r="O1182">
        <v>69.5</v>
      </c>
      <c r="P1182">
        <v>5.87</v>
      </c>
      <c r="Q1182">
        <v>0.02</v>
      </c>
      <c r="R1182" t="s">
        <v>164</v>
      </c>
      <c r="S1182" t="s">
        <v>39</v>
      </c>
      <c r="T1182" t="s">
        <v>30</v>
      </c>
    </row>
    <row r="1183" spans="1:20" x14ac:dyDescent="0.3">
      <c r="A1183">
        <v>10626</v>
      </c>
      <c r="B1183" s="2">
        <v>45928</v>
      </c>
      <c r="C1183" t="s">
        <v>20</v>
      </c>
      <c r="D1183" t="s">
        <v>21</v>
      </c>
      <c r="E1183" t="s">
        <v>40</v>
      </c>
      <c r="F1183" t="s">
        <v>81</v>
      </c>
      <c r="G1183" t="s">
        <v>60</v>
      </c>
      <c r="I1183" t="s">
        <v>327</v>
      </c>
      <c r="J1183">
        <v>535</v>
      </c>
      <c r="K1183">
        <v>5</v>
      </c>
      <c r="L1183" t="s">
        <v>37</v>
      </c>
      <c r="M1183">
        <v>99</v>
      </c>
      <c r="N1183">
        <v>35.200000000000003</v>
      </c>
      <c r="O1183">
        <v>64.400000000000006</v>
      </c>
      <c r="P1183">
        <v>4.78</v>
      </c>
      <c r="Q1183">
        <v>1.73</v>
      </c>
      <c r="R1183" t="s">
        <v>125</v>
      </c>
      <c r="S1183" t="s">
        <v>73</v>
      </c>
      <c r="T1183" t="s">
        <v>30</v>
      </c>
    </row>
    <row r="1184" spans="1:20" x14ac:dyDescent="0.3">
      <c r="A1184">
        <v>10686</v>
      </c>
      <c r="B1184" s="2">
        <v>45993</v>
      </c>
      <c r="C1184" t="s">
        <v>271</v>
      </c>
      <c r="D1184" t="s">
        <v>64</v>
      </c>
      <c r="E1184" t="s">
        <v>107</v>
      </c>
      <c r="F1184" t="s">
        <v>81</v>
      </c>
      <c r="G1184" t="s">
        <v>134</v>
      </c>
      <c r="H1184" t="s">
        <v>213</v>
      </c>
      <c r="I1184" t="s">
        <v>62</v>
      </c>
      <c r="J1184">
        <v>743</v>
      </c>
      <c r="K1184">
        <v>25</v>
      </c>
      <c r="L1184" t="s">
        <v>57</v>
      </c>
      <c r="M1184">
        <v>171</v>
      </c>
      <c r="N1184">
        <v>49.9</v>
      </c>
      <c r="O1184">
        <v>77.400000000000006</v>
      </c>
      <c r="P1184">
        <v>5.35</v>
      </c>
      <c r="Q1184">
        <v>4.47</v>
      </c>
      <c r="R1184" t="s">
        <v>202</v>
      </c>
      <c r="S1184" t="s">
        <v>73</v>
      </c>
      <c r="T1184" t="s">
        <v>48</v>
      </c>
    </row>
    <row r="1185" spans="1:20" x14ac:dyDescent="0.3">
      <c r="A1185">
        <v>10570</v>
      </c>
      <c r="B1185" s="2">
        <v>45858</v>
      </c>
      <c r="C1185" t="s">
        <v>20</v>
      </c>
      <c r="D1185" t="s">
        <v>32</v>
      </c>
      <c r="E1185" t="s">
        <v>107</v>
      </c>
      <c r="F1185" t="s">
        <v>81</v>
      </c>
      <c r="G1185" t="s">
        <v>42</v>
      </c>
      <c r="H1185" t="s">
        <v>265</v>
      </c>
      <c r="I1185" t="s">
        <v>336</v>
      </c>
      <c r="J1185">
        <v>501</v>
      </c>
      <c r="K1185">
        <v>4</v>
      </c>
      <c r="L1185" t="s">
        <v>71</v>
      </c>
      <c r="M1185">
        <v>52</v>
      </c>
      <c r="N1185">
        <v>38.299999999999997</v>
      </c>
      <c r="O1185">
        <v>72.2</v>
      </c>
      <c r="P1185">
        <v>4.46</v>
      </c>
      <c r="Q1185">
        <v>4.6500000000000004</v>
      </c>
      <c r="R1185" t="s">
        <v>137</v>
      </c>
      <c r="S1185" t="s">
        <v>47</v>
      </c>
      <c r="T1185" t="s">
        <v>30</v>
      </c>
    </row>
    <row r="1186" spans="1:20" x14ac:dyDescent="0.3">
      <c r="A1186">
        <v>11439</v>
      </c>
      <c r="B1186" s="2">
        <v>45983</v>
      </c>
      <c r="C1186" t="s">
        <v>31</v>
      </c>
      <c r="D1186" t="s">
        <v>21</v>
      </c>
      <c r="E1186" t="s">
        <v>22</v>
      </c>
      <c r="F1186" t="s">
        <v>23</v>
      </c>
      <c r="G1186" t="s">
        <v>60</v>
      </c>
      <c r="H1186" t="s">
        <v>205</v>
      </c>
      <c r="I1186" t="s">
        <v>201</v>
      </c>
      <c r="J1186">
        <v>1345</v>
      </c>
      <c r="K1186">
        <v>17</v>
      </c>
      <c r="L1186" t="s">
        <v>71</v>
      </c>
      <c r="M1186">
        <v>56</v>
      </c>
      <c r="N1186">
        <v>28.5</v>
      </c>
      <c r="O1186">
        <v>69.8</v>
      </c>
      <c r="P1186">
        <v>5.33</v>
      </c>
      <c r="Q1186">
        <v>0.47</v>
      </c>
      <c r="R1186" t="s">
        <v>189</v>
      </c>
      <c r="S1186" t="s">
        <v>73</v>
      </c>
      <c r="T1186" t="s">
        <v>30</v>
      </c>
    </row>
    <row r="1187" spans="1:20" x14ac:dyDescent="0.3">
      <c r="A1187">
        <v>10018</v>
      </c>
      <c r="B1187" s="2">
        <v>45715</v>
      </c>
      <c r="C1187" t="s">
        <v>31</v>
      </c>
      <c r="D1187" t="s">
        <v>59</v>
      </c>
      <c r="E1187" t="s">
        <v>22</v>
      </c>
      <c r="F1187" t="s">
        <v>23</v>
      </c>
      <c r="G1187" t="s">
        <v>50</v>
      </c>
      <c r="H1187" t="s">
        <v>126</v>
      </c>
      <c r="I1187" t="s">
        <v>374</v>
      </c>
      <c r="J1187">
        <v>819</v>
      </c>
      <c r="K1187">
        <v>7</v>
      </c>
      <c r="L1187" t="s">
        <v>68</v>
      </c>
      <c r="M1187">
        <v>133</v>
      </c>
      <c r="N1187">
        <v>39.700000000000003</v>
      </c>
      <c r="O1187">
        <v>69.5</v>
      </c>
      <c r="P1187">
        <v>5.45</v>
      </c>
      <c r="Q1187">
        <v>1.03</v>
      </c>
      <c r="R1187" t="s">
        <v>128</v>
      </c>
      <c r="S1187" t="s">
        <v>73</v>
      </c>
      <c r="T1187" t="s">
        <v>30</v>
      </c>
    </row>
    <row r="1188" spans="1:20" x14ac:dyDescent="0.3">
      <c r="A1188">
        <v>10128</v>
      </c>
      <c r="B1188" s="2">
        <v>45964</v>
      </c>
      <c r="C1188" t="s">
        <v>49</v>
      </c>
      <c r="D1188" t="s">
        <v>21</v>
      </c>
      <c r="E1188" t="s">
        <v>22</v>
      </c>
      <c r="F1188" t="s">
        <v>41</v>
      </c>
      <c r="G1188" t="s">
        <v>34</v>
      </c>
      <c r="H1188" t="s">
        <v>116</v>
      </c>
      <c r="I1188" t="s">
        <v>261</v>
      </c>
      <c r="J1188">
        <v>1008</v>
      </c>
      <c r="K1188">
        <v>4</v>
      </c>
      <c r="L1188" t="s">
        <v>27</v>
      </c>
      <c r="M1188">
        <v>32</v>
      </c>
      <c r="N1188">
        <v>47.1</v>
      </c>
      <c r="O1188">
        <v>66.599999999999994</v>
      </c>
      <c r="P1188">
        <v>5.03</v>
      </c>
      <c r="Q1188">
        <v>0.88</v>
      </c>
      <c r="R1188" t="s">
        <v>232</v>
      </c>
      <c r="S1188" t="s">
        <v>73</v>
      </c>
      <c r="T1188" t="s">
        <v>30</v>
      </c>
    </row>
    <row r="1189" spans="1:20" x14ac:dyDescent="0.3">
      <c r="A1189">
        <v>11486</v>
      </c>
      <c r="B1189" s="2">
        <v>45887</v>
      </c>
      <c r="C1189" t="s">
        <v>20</v>
      </c>
      <c r="D1189" t="s">
        <v>64</v>
      </c>
      <c r="E1189" t="s">
        <v>33</v>
      </c>
      <c r="F1189" t="s">
        <v>23</v>
      </c>
      <c r="G1189" t="s">
        <v>109</v>
      </c>
      <c r="H1189" t="s">
        <v>172</v>
      </c>
      <c r="I1189" t="s">
        <v>86</v>
      </c>
      <c r="J1189">
        <v>1052</v>
      </c>
      <c r="K1189">
        <v>6</v>
      </c>
      <c r="L1189" t="s">
        <v>27</v>
      </c>
      <c r="M1189">
        <v>154</v>
      </c>
      <c r="N1189">
        <v>44.8</v>
      </c>
      <c r="O1189">
        <v>67.5</v>
      </c>
      <c r="P1189">
        <v>4.22</v>
      </c>
      <c r="Q1189">
        <v>1.71</v>
      </c>
      <c r="R1189" t="s">
        <v>103</v>
      </c>
      <c r="S1189" t="s">
        <v>29</v>
      </c>
      <c r="T1189" t="s">
        <v>30</v>
      </c>
    </row>
    <row r="1190" spans="1:20" x14ac:dyDescent="0.3">
      <c r="A1190">
        <v>10928</v>
      </c>
      <c r="B1190" s="2">
        <v>45728</v>
      </c>
      <c r="C1190" t="s">
        <v>31</v>
      </c>
      <c r="D1190" t="s">
        <v>64</v>
      </c>
      <c r="E1190" t="s">
        <v>33</v>
      </c>
      <c r="F1190" t="s">
        <v>41</v>
      </c>
      <c r="G1190" t="s">
        <v>74</v>
      </c>
      <c r="H1190" t="s">
        <v>82</v>
      </c>
      <c r="I1190" t="s">
        <v>304</v>
      </c>
      <c r="J1190">
        <v>553</v>
      </c>
      <c r="K1190">
        <v>10</v>
      </c>
      <c r="L1190" t="s">
        <v>71</v>
      </c>
      <c r="M1190">
        <v>116</v>
      </c>
      <c r="N1190">
        <v>31.8</v>
      </c>
      <c r="O1190">
        <v>80.3</v>
      </c>
      <c r="P1190">
        <v>4.95</v>
      </c>
      <c r="Q1190">
        <v>1.54</v>
      </c>
      <c r="R1190" t="s">
        <v>80</v>
      </c>
      <c r="S1190" t="s">
        <v>29</v>
      </c>
      <c r="T1190" t="s">
        <v>30</v>
      </c>
    </row>
    <row r="1191" spans="1:20" x14ac:dyDescent="0.3">
      <c r="A1191">
        <v>10981</v>
      </c>
      <c r="B1191" s="2">
        <v>45767</v>
      </c>
      <c r="C1191" t="s">
        <v>49</v>
      </c>
      <c r="D1191" t="s">
        <v>21</v>
      </c>
      <c r="E1191" t="s">
        <v>40</v>
      </c>
      <c r="F1191" t="s">
        <v>23</v>
      </c>
      <c r="G1191" t="s">
        <v>24</v>
      </c>
      <c r="H1191" t="s">
        <v>278</v>
      </c>
      <c r="I1191" t="s">
        <v>212</v>
      </c>
      <c r="J1191">
        <v>824</v>
      </c>
      <c r="K1191">
        <v>43</v>
      </c>
      <c r="L1191" t="s">
        <v>57</v>
      </c>
      <c r="M1191">
        <v>172</v>
      </c>
      <c r="N1191">
        <v>44.9</v>
      </c>
      <c r="O1191">
        <v>71.099999999999994</v>
      </c>
      <c r="P1191">
        <v>5.0599999999999996</v>
      </c>
      <c r="Q1191">
        <v>2.66</v>
      </c>
      <c r="R1191" t="s">
        <v>243</v>
      </c>
      <c r="S1191" t="s">
        <v>47</v>
      </c>
      <c r="T1191" t="s">
        <v>48</v>
      </c>
    </row>
    <row r="1192" spans="1:20" x14ac:dyDescent="0.3">
      <c r="A1192">
        <v>11482</v>
      </c>
      <c r="B1192" s="2">
        <v>45739</v>
      </c>
      <c r="C1192" t="s">
        <v>31</v>
      </c>
      <c r="D1192" t="s">
        <v>21</v>
      </c>
      <c r="E1192" t="s">
        <v>22</v>
      </c>
      <c r="F1192" t="s">
        <v>23</v>
      </c>
      <c r="G1192" t="s">
        <v>60</v>
      </c>
      <c r="H1192" t="s">
        <v>213</v>
      </c>
      <c r="I1192" t="s">
        <v>124</v>
      </c>
      <c r="J1192">
        <v>1252</v>
      </c>
      <c r="K1192">
        <v>11</v>
      </c>
      <c r="L1192" t="s">
        <v>71</v>
      </c>
      <c r="M1192">
        <v>16</v>
      </c>
      <c r="N1192">
        <v>44.5</v>
      </c>
      <c r="O1192">
        <v>86.8</v>
      </c>
      <c r="P1192">
        <v>5.56</v>
      </c>
      <c r="Q1192">
        <v>0.62</v>
      </c>
      <c r="R1192" t="s">
        <v>125</v>
      </c>
      <c r="S1192" t="s">
        <v>39</v>
      </c>
      <c r="T1192" t="s">
        <v>30</v>
      </c>
    </row>
    <row r="1193" spans="1:20" x14ac:dyDescent="0.3">
      <c r="A1193">
        <v>10191</v>
      </c>
      <c r="B1193" s="2">
        <v>45936</v>
      </c>
      <c r="C1193" t="s">
        <v>31</v>
      </c>
      <c r="D1193" t="s">
        <v>59</v>
      </c>
      <c r="E1193" t="s">
        <v>107</v>
      </c>
      <c r="F1193" t="s">
        <v>23</v>
      </c>
      <c r="G1193" t="s">
        <v>109</v>
      </c>
      <c r="H1193" t="s">
        <v>278</v>
      </c>
      <c r="I1193" t="s">
        <v>319</v>
      </c>
      <c r="J1193">
        <v>1372</v>
      </c>
      <c r="K1193">
        <v>30</v>
      </c>
      <c r="L1193" t="s">
        <v>68</v>
      </c>
      <c r="M1193">
        <v>32</v>
      </c>
      <c r="N1193">
        <v>40.700000000000003</v>
      </c>
      <c r="O1193">
        <v>60.1</v>
      </c>
      <c r="P1193">
        <v>4.75</v>
      </c>
      <c r="Q1193">
        <v>1.08</v>
      </c>
      <c r="R1193" t="s">
        <v>202</v>
      </c>
      <c r="S1193" t="s">
        <v>39</v>
      </c>
      <c r="T1193" t="s">
        <v>30</v>
      </c>
    </row>
    <row r="1194" spans="1:20" x14ac:dyDescent="0.3">
      <c r="A1194">
        <v>11140</v>
      </c>
      <c r="B1194" s="2">
        <v>45997</v>
      </c>
      <c r="C1194" t="s">
        <v>31</v>
      </c>
      <c r="D1194" t="s">
        <v>64</v>
      </c>
      <c r="E1194" t="s">
        <v>22</v>
      </c>
      <c r="F1194" t="s">
        <v>81</v>
      </c>
      <c r="G1194" t="s">
        <v>113</v>
      </c>
      <c r="H1194" t="s">
        <v>180</v>
      </c>
      <c r="I1194" t="s">
        <v>163</v>
      </c>
      <c r="J1194">
        <v>1110</v>
      </c>
      <c r="K1194">
        <v>40</v>
      </c>
      <c r="L1194" t="s">
        <v>37</v>
      </c>
      <c r="M1194">
        <v>16</v>
      </c>
      <c r="N1194">
        <v>44.1</v>
      </c>
      <c r="O1194">
        <v>72.099999999999994</v>
      </c>
      <c r="P1194">
        <v>4.91</v>
      </c>
      <c r="Q1194">
        <v>5.38</v>
      </c>
      <c r="R1194" t="s">
        <v>72</v>
      </c>
      <c r="S1194" t="s">
        <v>39</v>
      </c>
      <c r="T1194" t="s">
        <v>48</v>
      </c>
    </row>
    <row r="1195" spans="1:20" x14ac:dyDescent="0.3">
      <c r="A1195">
        <v>10993</v>
      </c>
      <c r="B1195" s="2">
        <v>45806</v>
      </c>
      <c r="C1195" t="s">
        <v>49</v>
      </c>
      <c r="D1195" t="s">
        <v>32</v>
      </c>
      <c r="E1195" t="s">
        <v>40</v>
      </c>
      <c r="F1195" t="s">
        <v>23</v>
      </c>
      <c r="G1195" t="s">
        <v>113</v>
      </c>
      <c r="H1195" t="s">
        <v>148</v>
      </c>
      <c r="I1195" t="s">
        <v>217</v>
      </c>
      <c r="J1195">
        <v>1345</v>
      </c>
      <c r="K1195">
        <v>3</v>
      </c>
      <c r="L1195" t="s">
        <v>68</v>
      </c>
      <c r="M1195">
        <v>165</v>
      </c>
      <c r="N1195">
        <v>47.2</v>
      </c>
      <c r="O1195">
        <v>79.900000000000006</v>
      </c>
      <c r="P1195">
        <v>5.38</v>
      </c>
      <c r="Q1195">
        <v>1.74</v>
      </c>
      <c r="R1195" t="s">
        <v>164</v>
      </c>
      <c r="S1195" t="s">
        <v>47</v>
      </c>
      <c r="T1195" t="s">
        <v>30</v>
      </c>
    </row>
    <row r="1196" spans="1:20" x14ac:dyDescent="0.3">
      <c r="A1196">
        <v>11476</v>
      </c>
      <c r="B1196" s="2">
        <v>45923</v>
      </c>
      <c r="C1196" t="s">
        <v>20</v>
      </c>
      <c r="D1196" t="s">
        <v>32</v>
      </c>
      <c r="E1196" t="s">
        <v>107</v>
      </c>
      <c r="F1196" t="s">
        <v>41</v>
      </c>
      <c r="G1196" t="s">
        <v>109</v>
      </c>
      <c r="H1196" t="s">
        <v>85</v>
      </c>
      <c r="I1196" t="s">
        <v>318</v>
      </c>
      <c r="J1196">
        <v>1251</v>
      </c>
      <c r="K1196">
        <v>5</v>
      </c>
      <c r="L1196" t="s">
        <v>57</v>
      </c>
      <c r="M1196">
        <v>56</v>
      </c>
      <c r="N1196">
        <v>36.799999999999997</v>
      </c>
      <c r="O1196">
        <v>79.900000000000006</v>
      </c>
      <c r="P1196">
        <v>6.13</v>
      </c>
      <c r="Q1196">
        <v>3.94</v>
      </c>
      <c r="R1196" t="s">
        <v>189</v>
      </c>
      <c r="S1196" t="s">
        <v>29</v>
      </c>
      <c r="T1196" t="s">
        <v>30</v>
      </c>
    </row>
    <row r="1197" spans="1:20" x14ac:dyDescent="0.3">
      <c r="A1197">
        <v>11263</v>
      </c>
      <c r="B1197" s="2">
        <v>45941</v>
      </c>
      <c r="C1197" t="s">
        <v>49</v>
      </c>
      <c r="D1197" t="s">
        <v>59</v>
      </c>
      <c r="E1197" t="s">
        <v>40</v>
      </c>
      <c r="F1197" t="s">
        <v>81</v>
      </c>
      <c r="G1197" t="s">
        <v>74</v>
      </c>
      <c r="H1197" t="s">
        <v>165</v>
      </c>
      <c r="I1197" t="s">
        <v>275</v>
      </c>
      <c r="J1197">
        <v>1327</v>
      </c>
      <c r="K1197">
        <v>9</v>
      </c>
      <c r="L1197" t="s">
        <v>45</v>
      </c>
      <c r="M1197">
        <v>112</v>
      </c>
      <c r="N1197">
        <v>38.700000000000003</v>
      </c>
      <c r="O1197">
        <v>84.4</v>
      </c>
      <c r="P1197">
        <v>5.77</v>
      </c>
      <c r="Q1197">
        <v>3.24</v>
      </c>
      <c r="R1197" t="s">
        <v>167</v>
      </c>
      <c r="S1197" t="s">
        <v>39</v>
      </c>
      <c r="T1197" t="s">
        <v>30</v>
      </c>
    </row>
    <row r="1198" spans="1:20" x14ac:dyDescent="0.3">
      <c r="A1198">
        <v>10607</v>
      </c>
      <c r="B1198" s="2">
        <v>45774</v>
      </c>
      <c r="C1198" t="s">
        <v>49</v>
      </c>
      <c r="D1198" t="s">
        <v>59</v>
      </c>
      <c r="E1198" t="s">
        <v>107</v>
      </c>
      <c r="F1198" t="s">
        <v>23</v>
      </c>
      <c r="G1198" t="s">
        <v>34</v>
      </c>
      <c r="H1198" t="s">
        <v>278</v>
      </c>
      <c r="I1198" t="s">
        <v>310</v>
      </c>
      <c r="J1198">
        <v>1124</v>
      </c>
      <c r="K1198">
        <v>37</v>
      </c>
      <c r="L1198" t="s">
        <v>27</v>
      </c>
      <c r="M1198">
        <v>141</v>
      </c>
      <c r="N1198">
        <v>42.4</v>
      </c>
      <c r="O1198">
        <v>87.4</v>
      </c>
      <c r="P1198">
        <v>5.27</v>
      </c>
      <c r="Q1198">
        <v>4.0999999999999996</v>
      </c>
      <c r="R1198" t="s">
        <v>216</v>
      </c>
      <c r="S1198" t="s">
        <v>39</v>
      </c>
      <c r="T1198" t="s">
        <v>48</v>
      </c>
    </row>
    <row r="1199" spans="1:20" x14ac:dyDescent="0.3">
      <c r="A1199">
        <v>10181</v>
      </c>
      <c r="B1199" s="2">
        <v>45766</v>
      </c>
      <c r="C1199" t="s">
        <v>277</v>
      </c>
      <c r="D1199" t="s">
        <v>32</v>
      </c>
      <c r="E1199" t="s">
        <v>33</v>
      </c>
      <c r="F1199" t="s">
        <v>41</v>
      </c>
      <c r="G1199" t="s">
        <v>109</v>
      </c>
      <c r="H1199" t="s">
        <v>43</v>
      </c>
      <c r="I1199" t="s">
        <v>282</v>
      </c>
      <c r="J1199">
        <v>763</v>
      </c>
      <c r="K1199">
        <v>11</v>
      </c>
      <c r="L1199" t="s">
        <v>71</v>
      </c>
      <c r="M1199">
        <v>80</v>
      </c>
      <c r="N1199">
        <v>44.9</v>
      </c>
      <c r="O1199">
        <v>76.900000000000006</v>
      </c>
      <c r="P1199">
        <v>6.85</v>
      </c>
      <c r="Q1199">
        <v>1.56</v>
      </c>
      <c r="R1199" t="s">
        <v>167</v>
      </c>
      <c r="S1199" t="s">
        <v>39</v>
      </c>
      <c r="T1199" t="s">
        <v>30</v>
      </c>
    </row>
    <row r="1200" spans="1:20" x14ac:dyDescent="0.3">
      <c r="A1200">
        <v>10302</v>
      </c>
      <c r="B1200" s="2">
        <v>45674</v>
      </c>
      <c r="C1200" t="s">
        <v>49</v>
      </c>
      <c r="D1200" t="s">
        <v>21</v>
      </c>
      <c r="E1200" t="s">
        <v>40</v>
      </c>
      <c r="F1200" t="s">
        <v>23</v>
      </c>
      <c r="G1200" t="s">
        <v>89</v>
      </c>
      <c r="H1200" t="s">
        <v>99</v>
      </c>
      <c r="I1200" t="s">
        <v>343</v>
      </c>
      <c r="J1200">
        <v>756</v>
      </c>
      <c r="K1200">
        <v>3</v>
      </c>
      <c r="L1200" t="s">
        <v>37</v>
      </c>
      <c r="M1200">
        <v>36</v>
      </c>
      <c r="N1200">
        <v>52</v>
      </c>
      <c r="O1200">
        <v>69.2</v>
      </c>
      <c r="P1200">
        <v>6.36</v>
      </c>
      <c r="Q1200">
        <v>2.71</v>
      </c>
      <c r="R1200" t="s">
        <v>58</v>
      </c>
      <c r="S1200" t="s">
        <v>39</v>
      </c>
      <c r="T1200" t="s">
        <v>30</v>
      </c>
    </row>
    <row r="1201" spans="1:20" x14ac:dyDescent="0.3">
      <c r="A1201">
        <v>10497</v>
      </c>
      <c r="B1201" s="2">
        <v>45851</v>
      </c>
      <c r="C1201" t="s">
        <v>49</v>
      </c>
      <c r="D1201" t="s">
        <v>64</v>
      </c>
      <c r="E1201" t="s">
        <v>40</v>
      </c>
      <c r="F1201" t="s">
        <v>41</v>
      </c>
      <c r="G1201" t="s">
        <v>24</v>
      </c>
      <c r="H1201" t="s">
        <v>177</v>
      </c>
      <c r="I1201" t="s">
        <v>365</v>
      </c>
      <c r="J1201">
        <v>694</v>
      </c>
      <c r="K1201">
        <v>2</v>
      </c>
      <c r="L1201" t="s">
        <v>45</v>
      </c>
      <c r="M1201">
        <v>14</v>
      </c>
      <c r="N1201">
        <v>41.6</v>
      </c>
      <c r="O1201">
        <v>78.599999999999994</v>
      </c>
      <c r="P1201">
        <v>4.3499999999999996</v>
      </c>
      <c r="Q1201">
        <v>2.74</v>
      </c>
      <c r="R1201" t="s">
        <v>159</v>
      </c>
      <c r="S1201" t="s">
        <v>39</v>
      </c>
      <c r="T1201" t="s">
        <v>30</v>
      </c>
    </row>
    <row r="1202" spans="1:20" x14ac:dyDescent="0.3">
      <c r="A1202">
        <v>11304</v>
      </c>
      <c r="B1202" s="2">
        <v>45677</v>
      </c>
      <c r="C1202" t="s">
        <v>31</v>
      </c>
      <c r="D1202" t="s">
        <v>32</v>
      </c>
      <c r="E1202" t="s">
        <v>22</v>
      </c>
      <c r="F1202" t="s">
        <v>41</v>
      </c>
      <c r="G1202" t="s">
        <v>109</v>
      </c>
      <c r="H1202" t="s">
        <v>180</v>
      </c>
      <c r="I1202" t="s">
        <v>157</v>
      </c>
      <c r="J1202">
        <v>1015</v>
      </c>
      <c r="K1202">
        <v>2</v>
      </c>
      <c r="L1202" t="s">
        <v>37</v>
      </c>
      <c r="M1202">
        <v>30</v>
      </c>
      <c r="N1202">
        <v>33.200000000000003</v>
      </c>
      <c r="O1202">
        <v>74.900000000000006</v>
      </c>
      <c r="P1202">
        <v>3.34</v>
      </c>
      <c r="Q1202">
        <v>2.77</v>
      </c>
      <c r="R1202" t="s">
        <v>122</v>
      </c>
      <c r="S1202" t="s">
        <v>47</v>
      </c>
      <c r="T1202" t="s">
        <v>30</v>
      </c>
    </row>
    <row r="1203" spans="1:20" x14ac:dyDescent="0.3">
      <c r="A1203">
        <v>11469</v>
      </c>
      <c r="B1203" s="2">
        <v>45905</v>
      </c>
      <c r="C1203" t="s">
        <v>31</v>
      </c>
      <c r="D1203" t="s">
        <v>64</v>
      </c>
      <c r="E1203" t="s">
        <v>40</v>
      </c>
      <c r="F1203" t="s">
        <v>23</v>
      </c>
      <c r="G1203" t="s">
        <v>42</v>
      </c>
      <c r="H1203" t="s">
        <v>85</v>
      </c>
      <c r="I1203" t="s">
        <v>307</v>
      </c>
      <c r="J1203">
        <v>455</v>
      </c>
      <c r="K1203">
        <v>1</v>
      </c>
      <c r="L1203" t="s">
        <v>37</v>
      </c>
      <c r="M1203">
        <v>137</v>
      </c>
      <c r="N1203">
        <v>28.3</v>
      </c>
      <c r="O1203">
        <v>65.400000000000006</v>
      </c>
      <c r="P1203">
        <v>5.67</v>
      </c>
      <c r="Q1203">
        <v>1.76</v>
      </c>
      <c r="R1203" t="s">
        <v>84</v>
      </c>
      <c r="S1203" t="s">
        <v>29</v>
      </c>
      <c r="T1203" t="s">
        <v>30</v>
      </c>
    </row>
    <row r="1204" spans="1:20" x14ac:dyDescent="0.3">
      <c r="A1204">
        <v>11248</v>
      </c>
      <c r="B1204" s="2">
        <v>45662</v>
      </c>
      <c r="C1204" t="s">
        <v>20</v>
      </c>
      <c r="D1204" t="s">
        <v>21</v>
      </c>
      <c r="E1204" t="s">
        <v>40</v>
      </c>
      <c r="F1204" t="s">
        <v>108</v>
      </c>
      <c r="G1204" t="s">
        <v>34</v>
      </c>
      <c r="H1204" t="s">
        <v>175</v>
      </c>
      <c r="I1204" t="s">
        <v>117</v>
      </c>
      <c r="J1204">
        <v>989</v>
      </c>
      <c r="K1204">
        <v>6</v>
      </c>
      <c r="L1204" t="s">
        <v>68</v>
      </c>
      <c r="M1204">
        <v>173</v>
      </c>
      <c r="N1204">
        <v>48.2</v>
      </c>
      <c r="O1204">
        <v>79.5</v>
      </c>
      <c r="P1204">
        <v>4.05</v>
      </c>
      <c r="Q1204">
        <v>4.2</v>
      </c>
      <c r="R1204" t="s">
        <v>140</v>
      </c>
      <c r="S1204" t="s">
        <v>73</v>
      </c>
      <c r="T1204" t="s">
        <v>30</v>
      </c>
    </row>
    <row r="1205" spans="1:20" x14ac:dyDescent="0.3">
      <c r="A1205">
        <v>10518</v>
      </c>
      <c r="B1205" s="2">
        <v>45982</v>
      </c>
      <c r="C1205" t="s">
        <v>49</v>
      </c>
      <c r="D1205" t="s">
        <v>64</v>
      </c>
      <c r="E1205" t="s">
        <v>22</v>
      </c>
      <c r="F1205" t="s">
        <v>112</v>
      </c>
      <c r="G1205" t="s">
        <v>95</v>
      </c>
      <c r="H1205" t="s">
        <v>177</v>
      </c>
      <c r="I1205" t="s">
        <v>160</v>
      </c>
      <c r="J1205">
        <v>1092</v>
      </c>
      <c r="K1205">
        <v>21</v>
      </c>
      <c r="L1205" t="s">
        <v>71</v>
      </c>
      <c r="M1205">
        <v>28</v>
      </c>
      <c r="N1205">
        <v>30.8</v>
      </c>
      <c r="O1205">
        <v>69.5</v>
      </c>
      <c r="P1205">
        <v>5.65</v>
      </c>
      <c r="Q1205">
        <v>4.1399999999999997</v>
      </c>
      <c r="R1205" t="s">
        <v>80</v>
      </c>
      <c r="S1205" t="s">
        <v>39</v>
      </c>
      <c r="T1205" t="s">
        <v>30</v>
      </c>
    </row>
    <row r="1206" spans="1:20" x14ac:dyDescent="0.3">
      <c r="A1206">
        <v>11070</v>
      </c>
      <c r="B1206" s="2">
        <v>45661</v>
      </c>
      <c r="C1206" t="s">
        <v>49</v>
      </c>
      <c r="D1206" t="s">
        <v>32</v>
      </c>
      <c r="E1206" t="s">
        <v>22</v>
      </c>
      <c r="F1206" t="s">
        <v>23</v>
      </c>
      <c r="G1206" t="s">
        <v>74</v>
      </c>
      <c r="H1206" t="s">
        <v>120</v>
      </c>
      <c r="I1206" t="s">
        <v>248</v>
      </c>
      <c r="J1206">
        <v>941</v>
      </c>
      <c r="K1206">
        <v>3</v>
      </c>
      <c r="L1206" t="s">
        <v>68</v>
      </c>
      <c r="M1206">
        <v>171</v>
      </c>
      <c r="N1206">
        <v>49.3</v>
      </c>
      <c r="O1206">
        <v>81.3</v>
      </c>
      <c r="P1206">
        <v>3.23</v>
      </c>
      <c r="Q1206">
        <v>2.4700000000000002</v>
      </c>
      <c r="R1206" t="s">
        <v>179</v>
      </c>
      <c r="S1206" t="s">
        <v>47</v>
      </c>
      <c r="T1206" t="s">
        <v>30</v>
      </c>
    </row>
    <row r="1207" spans="1:20" x14ac:dyDescent="0.3">
      <c r="A1207">
        <v>10477</v>
      </c>
      <c r="B1207" s="2">
        <v>45681</v>
      </c>
      <c r="C1207" t="s">
        <v>31</v>
      </c>
      <c r="D1207" t="s">
        <v>21</v>
      </c>
      <c r="E1207" t="s">
        <v>22</v>
      </c>
      <c r="F1207" t="s">
        <v>23</v>
      </c>
      <c r="G1207" t="s">
        <v>109</v>
      </c>
      <c r="H1207" t="s">
        <v>116</v>
      </c>
      <c r="I1207" t="s">
        <v>367</v>
      </c>
      <c r="J1207">
        <v>1467</v>
      </c>
      <c r="K1207">
        <v>15</v>
      </c>
      <c r="L1207" t="s">
        <v>45</v>
      </c>
      <c r="M1207">
        <v>126</v>
      </c>
      <c r="N1207">
        <v>45.3</v>
      </c>
      <c r="O1207">
        <v>68.099999999999994</v>
      </c>
      <c r="P1207">
        <v>5.12</v>
      </c>
      <c r="Q1207">
        <v>1.58</v>
      </c>
      <c r="R1207" t="s">
        <v>167</v>
      </c>
      <c r="S1207" t="s">
        <v>29</v>
      </c>
      <c r="T1207" t="s">
        <v>30</v>
      </c>
    </row>
    <row r="1208" spans="1:20" x14ac:dyDescent="0.3">
      <c r="A1208">
        <v>10158</v>
      </c>
      <c r="B1208" s="2">
        <v>45909</v>
      </c>
      <c r="C1208" t="s">
        <v>31</v>
      </c>
      <c r="D1208" t="s">
        <v>59</v>
      </c>
      <c r="E1208" t="s">
        <v>33</v>
      </c>
      <c r="F1208" t="s">
        <v>41</v>
      </c>
      <c r="G1208" t="s">
        <v>113</v>
      </c>
      <c r="H1208" t="s">
        <v>193</v>
      </c>
      <c r="I1208" t="s">
        <v>328</v>
      </c>
      <c r="J1208">
        <v>499</v>
      </c>
      <c r="K1208">
        <v>7</v>
      </c>
      <c r="L1208" t="s">
        <v>71</v>
      </c>
      <c r="M1208">
        <v>22</v>
      </c>
      <c r="N1208">
        <v>37</v>
      </c>
      <c r="O1208">
        <v>73.3</v>
      </c>
      <c r="P1208">
        <v>5.33</v>
      </c>
      <c r="Q1208">
        <v>2.85</v>
      </c>
      <c r="R1208" t="s">
        <v>63</v>
      </c>
      <c r="S1208" t="s">
        <v>47</v>
      </c>
      <c r="T1208" t="s">
        <v>30</v>
      </c>
    </row>
    <row r="1209" spans="1:20" x14ac:dyDescent="0.3">
      <c r="A1209">
        <v>11196</v>
      </c>
      <c r="B1209" s="2">
        <v>45814</v>
      </c>
      <c r="C1209" t="s">
        <v>31</v>
      </c>
      <c r="D1209" t="s">
        <v>64</v>
      </c>
      <c r="E1209" t="s">
        <v>22</v>
      </c>
      <c r="F1209" t="s">
        <v>81</v>
      </c>
      <c r="G1209" t="s">
        <v>24</v>
      </c>
      <c r="H1209" t="s">
        <v>265</v>
      </c>
      <c r="I1209" t="s">
        <v>212</v>
      </c>
      <c r="J1209">
        <v>956</v>
      </c>
      <c r="K1209">
        <v>5</v>
      </c>
      <c r="L1209" t="s">
        <v>57</v>
      </c>
      <c r="M1209">
        <v>87</v>
      </c>
      <c r="N1209">
        <v>35.200000000000003</v>
      </c>
      <c r="O1209">
        <v>68.2</v>
      </c>
      <c r="P1209">
        <v>5.94</v>
      </c>
      <c r="Q1209">
        <v>0.86</v>
      </c>
      <c r="R1209" t="s">
        <v>186</v>
      </c>
      <c r="S1209" t="s">
        <v>29</v>
      </c>
      <c r="T1209" t="s">
        <v>30</v>
      </c>
    </row>
    <row r="1210" spans="1:20" x14ac:dyDescent="0.3">
      <c r="A1210">
        <v>10017</v>
      </c>
      <c r="B1210" s="2">
        <v>45758</v>
      </c>
      <c r="C1210" t="s">
        <v>20</v>
      </c>
      <c r="D1210" t="s">
        <v>21</v>
      </c>
      <c r="E1210" t="s">
        <v>22</v>
      </c>
      <c r="F1210" t="s">
        <v>23</v>
      </c>
      <c r="G1210" t="s">
        <v>54</v>
      </c>
      <c r="H1210" t="s">
        <v>131</v>
      </c>
      <c r="I1210" t="s">
        <v>171</v>
      </c>
      <c r="J1210">
        <v>1019</v>
      </c>
      <c r="K1210">
        <v>2</v>
      </c>
      <c r="L1210" t="s">
        <v>68</v>
      </c>
      <c r="M1210">
        <v>10</v>
      </c>
      <c r="N1210">
        <v>42.3</v>
      </c>
      <c r="O1210">
        <v>66.8</v>
      </c>
      <c r="P1210">
        <v>6.92</v>
      </c>
      <c r="Q1210">
        <v>3.5</v>
      </c>
      <c r="R1210" t="s">
        <v>227</v>
      </c>
      <c r="S1210" t="s">
        <v>73</v>
      </c>
      <c r="T1210" t="s">
        <v>30</v>
      </c>
    </row>
    <row r="1211" spans="1:20" x14ac:dyDescent="0.3">
      <c r="A1211">
        <v>11073</v>
      </c>
      <c r="B1211" s="2">
        <v>45885</v>
      </c>
      <c r="C1211" t="s">
        <v>31</v>
      </c>
      <c r="D1211" t="s">
        <v>21</v>
      </c>
      <c r="E1211" t="s">
        <v>33</v>
      </c>
      <c r="F1211" t="s">
        <v>81</v>
      </c>
      <c r="G1211" t="s">
        <v>89</v>
      </c>
      <c r="H1211" t="s">
        <v>138</v>
      </c>
      <c r="I1211" t="s">
        <v>283</v>
      </c>
      <c r="J1211">
        <v>822</v>
      </c>
      <c r="K1211">
        <v>7</v>
      </c>
      <c r="L1211" t="s">
        <v>57</v>
      </c>
      <c r="M1211">
        <v>105</v>
      </c>
      <c r="N1211">
        <v>36.9</v>
      </c>
      <c r="O1211">
        <v>53.7</v>
      </c>
      <c r="P1211">
        <v>6.04</v>
      </c>
      <c r="Q1211">
        <v>1.76</v>
      </c>
      <c r="R1211" t="s">
        <v>152</v>
      </c>
      <c r="S1211" t="s">
        <v>73</v>
      </c>
      <c r="T1211" t="s">
        <v>30</v>
      </c>
    </row>
    <row r="1212" spans="1:20" x14ac:dyDescent="0.3">
      <c r="A1212">
        <v>10547</v>
      </c>
      <c r="B1212" s="2">
        <v>45737</v>
      </c>
      <c r="C1212" t="s">
        <v>31</v>
      </c>
      <c r="D1212" t="s">
        <v>32</v>
      </c>
      <c r="E1212" t="s">
        <v>22</v>
      </c>
      <c r="F1212" t="s">
        <v>108</v>
      </c>
      <c r="G1212" t="s">
        <v>95</v>
      </c>
      <c r="H1212" t="s">
        <v>123</v>
      </c>
      <c r="I1212" t="s">
        <v>178</v>
      </c>
      <c r="J1212">
        <v>1548</v>
      </c>
      <c r="K1212">
        <v>41</v>
      </c>
      <c r="L1212" t="s">
        <v>37</v>
      </c>
      <c r="M1212">
        <v>72</v>
      </c>
      <c r="N1212">
        <v>50.3</v>
      </c>
      <c r="O1212">
        <v>49.2</v>
      </c>
      <c r="P1212">
        <v>5.58</v>
      </c>
      <c r="Q1212">
        <v>3.9</v>
      </c>
      <c r="R1212" t="s">
        <v>216</v>
      </c>
      <c r="S1212" t="s">
        <v>39</v>
      </c>
      <c r="T1212" t="s">
        <v>30</v>
      </c>
    </row>
    <row r="1213" spans="1:20" x14ac:dyDescent="0.3">
      <c r="A1213">
        <v>10659</v>
      </c>
      <c r="B1213" s="2">
        <v>46021</v>
      </c>
      <c r="C1213" t="s">
        <v>20</v>
      </c>
      <c r="D1213" t="s">
        <v>21</v>
      </c>
      <c r="E1213" t="s">
        <v>107</v>
      </c>
      <c r="F1213" t="s">
        <v>41</v>
      </c>
      <c r="G1213" t="s">
        <v>89</v>
      </c>
      <c r="H1213" t="s">
        <v>116</v>
      </c>
      <c r="I1213" t="s">
        <v>224</v>
      </c>
      <c r="J1213">
        <v>982</v>
      </c>
      <c r="K1213">
        <v>2</v>
      </c>
      <c r="L1213" t="s">
        <v>68</v>
      </c>
      <c r="M1213">
        <v>84</v>
      </c>
      <c r="N1213">
        <v>45</v>
      </c>
      <c r="O1213">
        <v>75.099999999999994</v>
      </c>
      <c r="P1213">
        <v>5.22</v>
      </c>
      <c r="Q1213">
        <v>3.78</v>
      </c>
      <c r="R1213" t="s">
        <v>87</v>
      </c>
      <c r="S1213" t="s">
        <v>39</v>
      </c>
      <c r="T1213" t="s">
        <v>30</v>
      </c>
    </row>
    <row r="1214" spans="1:20" x14ac:dyDescent="0.3">
      <c r="A1214">
        <v>11237</v>
      </c>
      <c r="B1214" s="2">
        <v>45788</v>
      </c>
      <c r="C1214" t="s">
        <v>20</v>
      </c>
      <c r="D1214" t="s">
        <v>21</v>
      </c>
      <c r="E1214" t="s">
        <v>107</v>
      </c>
      <c r="F1214" t="s">
        <v>41</v>
      </c>
      <c r="G1214" t="s">
        <v>109</v>
      </c>
      <c r="H1214" t="s">
        <v>138</v>
      </c>
      <c r="I1214" t="s">
        <v>160</v>
      </c>
      <c r="J1214">
        <v>1024</v>
      </c>
      <c r="K1214">
        <v>9</v>
      </c>
      <c r="L1214" t="s">
        <v>45</v>
      </c>
      <c r="M1214">
        <v>174</v>
      </c>
      <c r="N1214">
        <v>65.2</v>
      </c>
      <c r="O1214">
        <v>62.3</v>
      </c>
      <c r="P1214">
        <v>5.54</v>
      </c>
      <c r="Q1214">
        <v>4.45</v>
      </c>
      <c r="R1214" t="s">
        <v>229</v>
      </c>
      <c r="S1214" t="s">
        <v>39</v>
      </c>
      <c r="T1214" t="s">
        <v>30</v>
      </c>
    </row>
    <row r="1215" spans="1:20" x14ac:dyDescent="0.3">
      <c r="A1215">
        <v>11020</v>
      </c>
      <c r="B1215" s="2">
        <v>45723</v>
      </c>
      <c r="C1215" t="s">
        <v>49</v>
      </c>
      <c r="D1215" t="s">
        <v>32</v>
      </c>
      <c r="E1215" t="s">
        <v>33</v>
      </c>
      <c r="F1215" t="s">
        <v>41</v>
      </c>
      <c r="G1215" t="s">
        <v>109</v>
      </c>
      <c r="I1215" t="s">
        <v>231</v>
      </c>
      <c r="J1215">
        <v>1558</v>
      </c>
      <c r="K1215">
        <v>13</v>
      </c>
      <c r="L1215" t="s">
        <v>68</v>
      </c>
      <c r="M1215">
        <v>163</v>
      </c>
      <c r="N1215">
        <v>37.4</v>
      </c>
      <c r="O1215">
        <v>85.7</v>
      </c>
      <c r="P1215">
        <v>5.86</v>
      </c>
      <c r="Q1215">
        <v>3.75</v>
      </c>
      <c r="R1215" t="s">
        <v>209</v>
      </c>
      <c r="S1215" t="s">
        <v>73</v>
      </c>
      <c r="T1215" t="s">
        <v>30</v>
      </c>
    </row>
    <row r="1216" spans="1:20" x14ac:dyDescent="0.3">
      <c r="A1216">
        <v>11269</v>
      </c>
      <c r="B1216" s="2">
        <v>45763</v>
      </c>
      <c r="C1216" t="s">
        <v>31</v>
      </c>
      <c r="D1216" t="s">
        <v>59</v>
      </c>
      <c r="E1216" t="s">
        <v>33</v>
      </c>
      <c r="F1216" t="s">
        <v>23</v>
      </c>
      <c r="G1216" t="s">
        <v>134</v>
      </c>
      <c r="H1216" t="s">
        <v>169</v>
      </c>
      <c r="I1216" t="s">
        <v>293</v>
      </c>
      <c r="J1216">
        <v>861</v>
      </c>
      <c r="K1216">
        <v>13</v>
      </c>
      <c r="L1216" t="s">
        <v>45</v>
      </c>
      <c r="M1216">
        <v>137</v>
      </c>
      <c r="N1216">
        <v>40.4</v>
      </c>
      <c r="O1216">
        <v>68.099999999999994</v>
      </c>
      <c r="P1216">
        <v>5.09</v>
      </c>
      <c r="Q1216">
        <v>0.16</v>
      </c>
      <c r="R1216" t="s">
        <v>137</v>
      </c>
      <c r="S1216" t="s">
        <v>47</v>
      </c>
      <c r="T1216" t="s">
        <v>30</v>
      </c>
    </row>
    <row r="1217" spans="1:20" x14ac:dyDescent="0.3">
      <c r="A1217">
        <v>10960</v>
      </c>
      <c r="B1217" s="2">
        <v>45723</v>
      </c>
      <c r="C1217" t="s">
        <v>20</v>
      </c>
      <c r="D1217" t="s">
        <v>64</v>
      </c>
      <c r="E1217" t="s">
        <v>107</v>
      </c>
      <c r="F1217" t="s">
        <v>23</v>
      </c>
      <c r="G1217" t="s">
        <v>54</v>
      </c>
      <c r="H1217" t="s">
        <v>69</v>
      </c>
      <c r="I1217" t="s">
        <v>160</v>
      </c>
      <c r="J1217">
        <v>915</v>
      </c>
      <c r="K1217">
        <v>11</v>
      </c>
      <c r="L1217" t="s">
        <v>27</v>
      </c>
      <c r="M1217">
        <v>56</v>
      </c>
      <c r="N1217">
        <v>36.1</v>
      </c>
      <c r="O1217">
        <v>89.7</v>
      </c>
      <c r="P1217">
        <v>5</v>
      </c>
      <c r="Q1217">
        <v>2.0299999999999998</v>
      </c>
      <c r="R1217" t="s">
        <v>80</v>
      </c>
      <c r="S1217" t="s">
        <v>39</v>
      </c>
      <c r="T1217" t="s">
        <v>30</v>
      </c>
    </row>
    <row r="1218" spans="1:20" x14ac:dyDescent="0.3">
      <c r="A1218">
        <v>11422</v>
      </c>
      <c r="B1218" s="2">
        <v>45745</v>
      </c>
      <c r="C1218" t="s">
        <v>20</v>
      </c>
      <c r="D1218" t="s">
        <v>21</v>
      </c>
      <c r="E1218" t="s">
        <v>40</v>
      </c>
      <c r="F1218" t="s">
        <v>81</v>
      </c>
      <c r="G1218" t="s">
        <v>113</v>
      </c>
      <c r="H1218" t="s">
        <v>35</v>
      </c>
      <c r="I1218" t="s">
        <v>304</v>
      </c>
      <c r="J1218">
        <v>1372</v>
      </c>
      <c r="K1218">
        <v>4</v>
      </c>
      <c r="L1218" t="s">
        <v>71</v>
      </c>
      <c r="M1218">
        <v>79</v>
      </c>
      <c r="N1218">
        <v>47.3</v>
      </c>
      <c r="O1218">
        <v>61.3</v>
      </c>
      <c r="P1218">
        <v>7.03</v>
      </c>
      <c r="Q1218">
        <v>3.7</v>
      </c>
      <c r="R1218" t="s">
        <v>222</v>
      </c>
      <c r="S1218" t="s">
        <v>47</v>
      </c>
      <c r="T1218" t="s">
        <v>30</v>
      </c>
    </row>
    <row r="1219" spans="1:20" x14ac:dyDescent="0.3">
      <c r="A1219">
        <v>10284</v>
      </c>
      <c r="B1219" s="2">
        <v>46016</v>
      </c>
      <c r="C1219" t="s">
        <v>49</v>
      </c>
      <c r="D1219" t="s">
        <v>64</v>
      </c>
      <c r="E1219" t="s">
        <v>33</v>
      </c>
      <c r="F1219" t="s">
        <v>23</v>
      </c>
      <c r="G1219" t="s">
        <v>74</v>
      </c>
      <c r="H1219" t="s">
        <v>190</v>
      </c>
      <c r="I1219" t="s">
        <v>276</v>
      </c>
      <c r="J1219">
        <v>971</v>
      </c>
      <c r="K1219">
        <v>11</v>
      </c>
      <c r="L1219" t="s">
        <v>68</v>
      </c>
      <c r="M1219">
        <v>23</v>
      </c>
      <c r="N1219">
        <v>42.5</v>
      </c>
      <c r="O1219">
        <v>73</v>
      </c>
      <c r="P1219">
        <v>4.18</v>
      </c>
      <c r="Q1219">
        <v>3.22</v>
      </c>
      <c r="R1219" t="s">
        <v>186</v>
      </c>
      <c r="S1219" t="s">
        <v>39</v>
      </c>
      <c r="T1219" t="s">
        <v>30</v>
      </c>
    </row>
    <row r="1220" spans="1:20" x14ac:dyDescent="0.3">
      <c r="A1220">
        <v>10798</v>
      </c>
      <c r="B1220" s="2">
        <v>45944</v>
      </c>
      <c r="C1220" t="s">
        <v>31</v>
      </c>
      <c r="D1220" t="s">
        <v>64</v>
      </c>
      <c r="E1220" t="s">
        <v>33</v>
      </c>
      <c r="F1220" t="s">
        <v>23</v>
      </c>
      <c r="G1220" t="s">
        <v>24</v>
      </c>
      <c r="H1220" t="s">
        <v>114</v>
      </c>
      <c r="I1220" t="s">
        <v>357</v>
      </c>
      <c r="J1220">
        <v>1556</v>
      </c>
      <c r="K1220">
        <v>14</v>
      </c>
      <c r="L1220" t="s">
        <v>71</v>
      </c>
      <c r="M1220">
        <v>168</v>
      </c>
      <c r="N1220">
        <v>42.5</v>
      </c>
      <c r="O1220">
        <v>57.8</v>
      </c>
      <c r="Q1220">
        <v>2.2599999999999998</v>
      </c>
      <c r="R1220" t="s">
        <v>122</v>
      </c>
      <c r="S1220" t="s">
        <v>47</v>
      </c>
      <c r="T1220" t="s">
        <v>30</v>
      </c>
    </row>
    <row r="1221" spans="1:20" x14ac:dyDescent="0.3">
      <c r="A1221">
        <v>10226</v>
      </c>
      <c r="B1221" s="2">
        <v>45721</v>
      </c>
      <c r="C1221" t="s">
        <v>291</v>
      </c>
      <c r="D1221" t="s">
        <v>32</v>
      </c>
      <c r="E1221" t="s">
        <v>40</v>
      </c>
      <c r="F1221" t="s">
        <v>23</v>
      </c>
      <c r="G1221" t="s">
        <v>34</v>
      </c>
      <c r="H1221" t="s">
        <v>200</v>
      </c>
      <c r="I1221" t="s">
        <v>361</v>
      </c>
      <c r="J1221">
        <v>644</v>
      </c>
      <c r="K1221">
        <v>5</v>
      </c>
      <c r="L1221" t="s">
        <v>27</v>
      </c>
      <c r="M1221">
        <v>67</v>
      </c>
      <c r="N1221">
        <v>33.9</v>
      </c>
      <c r="O1221">
        <v>58</v>
      </c>
      <c r="P1221">
        <v>4.8899999999999997</v>
      </c>
      <c r="Q1221">
        <v>2.97</v>
      </c>
      <c r="R1221" t="s">
        <v>77</v>
      </c>
      <c r="S1221" t="s">
        <v>29</v>
      </c>
      <c r="T1221" t="s">
        <v>30</v>
      </c>
    </row>
    <row r="1222" spans="1:20" x14ac:dyDescent="0.3">
      <c r="A1222">
        <v>10027</v>
      </c>
      <c r="B1222" s="2">
        <v>45737</v>
      </c>
      <c r="C1222" t="s">
        <v>49</v>
      </c>
      <c r="D1222" t="s">
        <v>64</v>
      </c>
      <c r="E1222" t="s">
        <v>40</v>
      </c>
      <c r="F1222" t="s">
        <v>81</v>
      </c>
      <c r="G1222" t="s">
        <v>34</v>
      </c>
      <c r="H1222" t="s">
        <v>61</v>
      </c>
      <c r="I1222" t="s">
        <v>91</v>
      </c>
      <c r="J1222">
        <v>1590</v>
      </c>
      <c r="K1222">
        <v>23</v>
      </c>
      <c r="L1222" t="s">
        <v>27</v>
      </c>
      <c r="M1222">
        <v>24</v>
      </c>
      <c r="N1222">
        <v>37.1</v>
      </c>
      <c r="O1222">
        <v>64.3</v>
      </c>
      <c r="P1222">
        <v>6.35</v>
      </c>
      <c r="Q1222">
        <v>2.0299999999999998</v>
      </c>
      <c r="R1222" t="s">
        <v>280</v>
      </c>
      <c r="S1222" t="s">
        <v>47</v>
      </c>
      <c r="T1222" t="s">
        <v>30</v>
      </c>
    </row>
    <row r="1223" spans="1:20" x14ac:dyDescent="0.3">
      <c r="A1223">
        <v>10438</v>
      </c>
      <c r="B1223" s="2">
        <v>45728</v>
      </c>
      <c r="C1223" t="s">
        <v>49</v>
      </c>
      <c r="D1223" t="s">
        <v>32</v>
      </c>
      <c r="E1223" t="s">
        <v>22</v>
      </c>
      <c r="F1223" t="s">
        <v>108</v>
      </c>
      <c r="G1223" t="s">
        <v>42</v>
      </c>
      <c r="H1223" t="s">
        <v>213</v>
      </c>
      <c r="I1223" t="s">
        <v>368</v>
      </c>
      <c r="J1223">
        <v>1282</v>
      </c>
      <c r="K1223">
        <v>49</v>
      </c>
      <c r="L1223" t="s">
        <v>27</v>
      </c>
      <c r="M1223">
        <v>29</v>
      </c>
      <c r="N1223">
        <v>32.299999999999997</v>
      </c>
      <c r="O1223">
        <v>79.2</v>
      </c>
      <c r="P1223">
        <v>4.58</v>
      </c>
      <c r="Q1223">
        <v>1.05</v>
      </c>
      <c r="R1223" t="s">
        <v>243</v>
      </c>
      <c r="S1223" t="s">
        <v>29</v>
      </c>
      <c r="T1223" t="s">
        <v>48</v>
      </c>
    </row>
    <row r="1224" spans="1:20" x14ac:dyDescent="0.3">
      <c r="A1224">
        <v>11470</v>
      </c>
      <c r="B1224" s="2">
        <v>45807</v>
      </c>
      <c r="C1224" t="s">
        <v>20</v>
      </c>
      <c r="D1224" t="s">
        <v>32</v>
      </c>
      <c r="E1224" t="s">
        <v>40</v>
      </c>
      <c r="F1224" t="s">
        <v>23</v>
      </c>
      <c r="G1224" t="s">
        <v>113</v>
      </c>
      <c r="H1224" t="s">
        <v>35</v>
      </c>
      <c r="I1224" t="s">
        <v>379</v>
      </c>
      <c r="J1224">
        <v>596</v>
      </c>
      <c r="K1224">
        <v>12</v>
      </c>
      <c r="L1224" t="s">
        <v>71</v>
      </c>
      <c r="M1224">
        <v>97</v>
      </c>
      <c r="N1224">
        <v>46.9</v>
      </c>
      <c r="O1224">
        <v>75.099999999999994</v>
      </c>
      <c r="P1224">
        <v>5.88</v>
      </c>
      <c r="Q1224">
        <v>3.93</v>
      </c>
      <c r="R1224" t="s">
        <v>280</v>
      </c>
      <c r="S1224" t="s">
        <v>73</v>
      </c>
      <c r="T1224" t="s">
        <v>30</v>
      </c>
    </row>
    <row r="1225" spans="1:20" x14ac:dyDescent="0.3">
      <c r="A1225">
        <v>10230</v>
      </c>
      <c r="B1225" s="2">
        <v>45940</v>
      </c>
      <c r="C1225" t="s">
        <v>271</v>
      </c>
      <c r="D1225" t="s">
        <v>59</v>
      </c>
      <c r="E1225" t="s">
        <v>33</v>
      </c>
      <c r="F1225" t="s">
        <v>41</v>
      </c>
      <c r="G1225" t="s">
        <v>42</v>
      </c>
      <c r="H1225" t="s">
        <v>55</v>
      </c>
      <c r="I1225" t="s">
        <v>225</v>
      </c>
      <c r="J1225">
        <v>859</v>
      </c>
      <c r="K1225">
        <v>5</v>
      </c>
      <c r="L1225" t="s">
        <v>71</v>
      </c>
      <c r="M1225">
        <v>170</v>
      </c>
      <c r="N1225">
        <v>46.8</v>
      </c>
      <c r="O1225">
        <v>71.599999999999994</v>
      </c>
      <c r="P1225">
        <v>6.13</v>
      </c>
      <c r="Q1225">
        <v>1.4</v>
      </c>
      <c r="R1225" t="s">
        <v>80</v>
      </c>
      <c r="S1225" t="s">
        <v>39</v>
      </c>
      <c r="T1225" t="s">
        <v>30</v>
      </c>
    </row>
    <row r="1226" spans="1:20" x14ac:dyDescent="0.3">
      <c r="A1226">
        <v>10038</v>
      </c>
      <c r="B1226" s="2">
        <v>45727</v>
      </c>
      <c r="C1226" t="s">
        <v>31</v>
      </c>
      <c r="D1226" t="s">
        <v>21</v>
      </c>
      <c r="E1226" t="s">
        <v>107</v>
      </c>
      <c r="F1226" t="s">
        <v>65</v>
      </c>
      <c r="G1226" t="s">
        <v>134</v>
      </c>
      <c r="H1226" t="s">
        <v>126</v>
      </c>
      <c r="I1226" t="s">
        <v>124</v>
      </c>
      <c r="J1226">
        <v>764</v>
      </c>
      <c r="K1226">
        <v>11</v>
      </c>
      <c r="L1226" t="s">
        <v>57</v>
      </c>
      <c r="M1226">
        <v>35</v>
      </c>
      <c r="N1226">
        <v>43.9</v>
      </c>
      <c r="O1226">
        <v>71.599999999999994</v>
      </c>
      <c r="P1226">
        <v>5.01</v>
      </c>
      <c r="Q1226">
        <v>1.8</v>
      </c>
      <c r="R1226" t="s">
        <v>72</v>
      </c>
      <c r="S1226" t="s">
        <v>39</v>
      </c>
      <c r="T1226" t="s">
        <v>30</v>
      </c>
    </row>
    <row r="1227" spans="1:20" x14ac:dyDescent="0.3">
      <c r="A1227">
        <v>10750</v>
      </c>
      <c r="B1227" s="2">
        <v>45931</v>
      </c>
      <c r="C1227" t="s">
        <v>20</v>
      </c>
      <c r="D1227" t="s">
        <v>21</v>
      </c>
      <c r="E1227" t="s">
        <v>33</v>
      </c>
      <c r="F1227" t="s">
        <v>41</v>
      </c>
      <c r="G1227" t="s">
        <v>89</v>
      </c>
      <c r="H1227" t="s">
        <v>78</v>
      </c>
      <c r="I1227" t="s">
        <v>249</v>
      </c>
      <c r="J1227">
        <v>955</v>
      </c>
      <c r="K1227">
        <v>12</v>
      </c>
      <c r="L1227" t="s">
        <v>45</v>
      </c>
      <c r="M1227">
        <v>97</v>
      </c>
      <c r="N1227">
        <v>40.799999999999997</v>
      </c>
      <c r="O1227">
        <v>75.7</v>
      </c>
      <c r="P1227">
        <v>6.87</v>
      </c>
      <c r="Q1227">
        <v>3.23</v>
      </c>
      <c r="R1227" t="s">
        <v>179</v>
      </c>
      <c r="S1227" t="s">
        <v>29</v>
      </c>
      <c r="T1227" t="s">
        <v>30</v>
      </c>
    </row>
    <row r="1228" spans="1:20" x14ac:dyDescent="0.3">
      <c r="A1228">
        <v>11046</v>
      </c>
      <c r="B1228" s="2">
        <v>45774</v>
      </c>
      <c r="C1228" t="s">
        <v>31</v>
      </c>
      <c r="D1228" t="s">
        <v>32</v>
      </c>
      <c r="E1228" t="s">
        <v>33</v>
      </c>
      <c r="F1228" t="s">
        <v>41</v>
      </c>
      <c r="G1228" t="s">
        <v>42</v>
      </c>
      <c r="H1228" t="s">
        <v>66</v>
      </c>
      <c r="I1228" t="s">
        <v>384</v>
      </c>
      <c r="J1228">
        <v>1548</v>
      </c>
      <c r="K1228">
        <v>47</v>
      </c>
      <c r="L1228" t="s">
        <v>27</v>
      </c>
      <c r="M1228">
        <v>180</v>
      </c>
      <c r="N1228">
        <v>37.700000000000003</v>
      </c>
      <c r="O1228">
        <v>49.5</v>
      </c>
      <c r="P1228">
        <v>5.03</v>
      </c>
      <c r="Q1228">
        <v>2.48</v>
      </c>
      <c r="R1228" t="s">
        <v>84</v>
      </c>
      <c r="S1228" t="s">
        <v>29</v>
      </c>
      <c r="T1228" t="s">
        <v>48</v>
      </c>
    </row>
    <row r="1229" spans="1:20" x14ac:dyDescent="0.3">
      <c r="A1229">
        <v>10470</v>
      </c>
      <c r="B1229" s="2">
        <v>45785</v>
      </c>
      <c r="C1229" t="s">
        <v>49</v>
      </c>
      <c r="D1229" t="s">
        <v>32</v>
      </c>
      <c r="E1229" t="s">
        <v>40</v>
      </c>
      <c r="F1229" t="s">
        <v>81</v>
      </c>
      <c r="G1229" t="s">
        <v>74</v>
      </c>
      <c r="H1229" t="s">
        <v>200</v>
      </c>
      <c r="I1229" t="s">
        <v>255</v>
      </c>
      <c r="J1229">
        <v>1270</v>
      </c>
      <c r="K1229">
        <v>16</v>
      </c>
      <c r="L1229" t="s">
        <v>68</v>
      </c>
      <c r="M1229">
        <v>28</v>
      </c>
      <c r="N1229">
        <v>39.4</v>
      </c>
      <c r="O1229">
        <v>68</v>
      </c>
      <c r="P1229">
        <v>6.04</v>
      </c>
      <c r="Q1229">
        <v>0.34</v>
      </c>
      <c r="R1229" t="s">
        <v>147</v>
      </c>
      <c r="S1229" t="s">
        <v>47</v>
      </c>
      <c r="T1229" t="s">
        <v>30</v>
      </c>
    </row>
    <row r="1230" spans="1:20" x14ac:dyDescent="0.3">
      <c r="A1230">
        <v>11291</v>
      </c>
      <c r="B1230" s="2">
        <v>45894</v>
      </c>
      <c r="C1230" t="s">
        <v>31</v>
      </c>
      <c r="D1230" t="s">
        <v>59</v>
      </c>
      <c r="E1230" t="s">
        <v>40</v>
      </c>
      <c r="F1230" t="s">
        <v>81</v>
      </c>
      <c r="G1230" t="s">
        <v>95</v>
      </c>
      <c r="H1230" t="s">
        <v>351</v>
      </c>
      <c r="I1230" t="s">
        <v>358</v>
      </c>
      <c r="J1230">
        <v>1291</v>
      </c>
      <c r="K1230">
        <v>44</v>
      </c>
      <c r="L1230" t="s">
        <v>57</v>
      </c>
      <c r="M1230">
        <v>17</v>
      </c>
      <c r="N1230">
        <v>45.4</v>
      </c>
      <c r="O1230">
        <v>70.599999999999994</v>
      </c>
      <c r="P1230">
        <v>4.8</v>
      </c>
      <c r="Q1230">
        <v>3.63</v>
      </c>
      <c r="R1230" t="s">
        <v>105</v>
      </c>
      <c r="S1230" t="s">
        <v>47</v>
      </c>
      <c r="T1230" t="s">
        <v>48</v>
      </c>
    </row>
    <row r="1231" spans="1:20" x14ac:dyDescent="0.3">
      <c r="A1231">
        <v>11485</v>
      </c>
      <c r="B1231" s="2">
        <v>45958</v>
      </c>
      <c r="C1231" t="s">
        <v>20</v>
      </c>
      <c r="D1231" t="s">
        <v>21</v>
      </c>
      <c r="E1231" t="s">
        <v>107</v>
      </c>
      <c r="F1231" t="s">
        <v>41</v>
      </c>
      <c r="G1231" t="s">
        <v>109</v>
      </c>
      <c r="H1231" t="s">
        <v>223</v>
      </c>
      <c r="I1231" t="s">
        <v>388</v>
      </c>
      <c r="J1231">
        <v>1353</v>
      </c>
      <c r="K1231">
        <v>7</v>
      </c>
      <c r="L1231" t="s">
        <v>45</v>
      </c>
      <c r="M1231">
        <v>143</v>
      </c>
      <c r="N1231">
        <v>34</v>
      </c>
      <c r="O1231">
        <v>76.099999999999994</v>
      </c>
      <c r="P1231">
        <v>4.13</v>
      </c>
      <c r="Q1231">
        <v>2.48</v>
      </c>
      <c r="R1231" t="s">
        <v>84</v>
      </c>
      <c r="S1231" t="s">
        <v>39</v>
      </c>
      <c r="T1231" t="s">
        <v>30</v>
      </c>
    </row>
    <row r="1232" spans="1:20" x14ac:dyDescent="0.3">
      <c r="A1232">
        <v>10688</v>
      </c>
      <c r="B1232" s="2">
        <v>45732</v>
      </c>
      <c r="C1232" t="s">
        <v>31</v>
      </c>
      <c r="D1232" t="s">
        <v>21</v>
      </c>
      <c r="E1232" t="s">
        <v>40</v>
      </c>
      <c r="F1232" t="s">
        <v>23</v>
      </c>
      <c r="G1232" t="s">
        <v>95</v>
      </c>
      <c r="H1232" t="s">
        <v>120</v>
      </c>
      <c r="I1232" t="s">
        <v>110</v>
      </c>
      <c r="J1232">
        <v>1366</v>
      </c>
      <c r="K1232">
        <v>22</v>
      </c>
      <c r="L1232" t="s">
        <v>45</v>
      </c>
      <c r="M1232">
        <v>171</v>
      </c>
      <c r="N1232">
        <v>45.2</v>
      </c>
      <c r="O1232">
        <v>61.3</v>
      </c>
      <c r="P1232">
        <v>4.67</v>
      </c>
      <c r="Q1232">
        <v>4.0599999999999996</v>
      </c>
      <c r="R1232" t="s">
        <v>243</v>
      </c>
      <c r="S1232" t="s">
        <v>39</v>
      </c>
      <c r="T1232" t="s">
        <v>30</v>
      </c>
    </row>
    <row r="1233" spans="1:20" x14ac:dyDescent="0.3">
      <c r="A1233">
        <v>11450</v>
      </c>
      <c r="B1233" s="2">
        <v>45877</v>
      </c>
      <c r="C1233" t="s">
        <v>20</v>
      </c>
      <c r="D1233" t="s">
        <v>21</v>
      </c>
      <c r="E1233" t="s">
        <v>33</v>
      </c>
      <c r="F1233" t="s">
        <v>41</v>
      </c>
      <c r="G1233" t="s">
        <v>24</v>
      </c>
      <c r="H1233" t="s">
        <v>252</v>
      </c>
      <c r="I1233" t="s">
        <v>366</v>
      </c>
      <c r="J1233">
        <v>1443</v>
      </c>
      <c r="K1233">
        <v>47</v>
      </c>
      <c r="L1233" t="s">
        <v>71</v>
      </c>
      <c r="M1233">
        <v>154</v>
      </c>
      <c r="N1233">
        <v>49.4</v>
      </c>
      <c r="O1233">
        <v>65.900000000000006</v>
      </c>
      <c r="P1233">
        <v>5.08</v>
      </c>
      <c r="Q1233">
        <v>3.01</v>
      </c>
      <c r="R1233" t="s">
        <v>140</v>
      </c>
      <c r="S1233" t="s">
        <v>47</v>
      </c>
      <c r="T1233" t="s">
        <v>48</v>
      </c>
    </row>
    <row r="1234" spans="1:20" x14ac:dyDescent="0.3">
      <c r="A1234">
        <v>10640</v>
      </c>
      <c r="B1234" s="2">
        <v>45766</v>
      </c>
      <c r="C1234" t="s">
        <v>31</v>
      </c>
      <c r="D1234" t="s">
        <v>32</v>
      </c>
      <c r="E1234" t="s">
        <v>22</v>
      </c>
      <c r="F1234" t="s">
        <v>23</v>
      </c>
      <c r="G1234" t="s">
        <v>60</v>
      </c>
      <c r="H1234" t="s">
        <v>265</v>
      </c>
      <c r="I1234" t="s">
        <v>185</v>
      </c>
      <c r="J1234">
        <v>459</v>
      </c>
      <c r="K1234">
        <v>2</v>
      </c>
      <c r="L1234" t="s">
        <v>45</v>
      </c>
      <c r="M1234">
        <v>7</v>
      </c>
      <c r="N1234">
        <v>34.799999999999997</v>
      </c>
      <c r="O1234">
        <v>79</v>
      </c>
      <c r="P1234">
        <v>5.24</v>
      </c>
      <c r="Q1234">
        <v>3.56</v>
      </c>
      <c r="R1234" t="s">
        <v>137</v>
      </c>
      <c r="S1234" t="s">
        <v>73</v>
      </c>
      <c r="T1234" t="s">
        <v>30</v>
      </c>
    </row>
    <row r="1235" spans="1:20" x14ac:dyDescent="0.3">
      <c r="A1235">
        <v>11343</v>
      </c>
      <c r="B1235" s="2">
        <v>45851</v>
      </c>
      <c r="C1235" t="s">
        <v>31</v>
      </c>
      <c r="D1235" t="s">
        <v>64</v>
      </c>
      <c r="E1235" t="s">
        <v>33</v>
      </c>
      <c r="F1235" t="s">
        <v>81</v>
      </c>
      <c r="G1235" t="s">
        <v>60</v>
      </c>
      <c r="H1235" t="s">
        <v>55</v>
      </c>
      <c r="I1235" t="s">
        <v>171</v>
      </c>
      <c r="J1235">
        <v>622</v>
      </c>
      <c r="K1235">
        <v>4</v>
      </c>
      <c r="L1235" t="s">
        <v>37</v>
      </c>
      <c r="M1235">
        <v>25</v>
      </c>
      <c r="N1235">
        <v>41.8</v>
      </c>
      <c r="O1235">
        <v>71.3</v>
      </c>
      <c r="P1235">
        <v>3.7</v>
      </c>
      <c r="Q1235">
        <v>4.47</v>
      </c>
      <c r="R1235" t="s">
        <v>84</v>
      </c>
      <c r="S1235" t="s">
        <v>73</v>
      </c>
      <c r="T1235" t="s">
        <v>30</v>
      </c>
    </row>
    <row r="1236" spans="1:20" x14ac:dyDescent="0.3">
      <c r="A1236">
        <v>11219</v>
      </c>
      <c r="B1236" s="2">
        <v>45846</v>
      </c>
      <c r="C1236" t="s">
        <v>31</v>
      </c>
      <c r="D1236" t="s">
        <v>59</v>
      </c>
      <c r="E1236" t="s">
        <v>22</v>
      </c>
      <c r="F1236" t="s">
        <v>23</v>
      </c>
      <c r="G1236" t="s">
        <v>74</v>
      </c>
      <c r="H1236" t="s">
        <v>88</v>
      </c>
      <c r="I1236" t="s">
        <v>86</v>
      </c>
      <c r="J1236">
        <v>1386</v>
      </c>
      <c r="K1236">
        <v>16</v>
      </c>
      <c r="L1236" t="s">
        <v>37</v>
      </c>
      <c r="M1236">
        <v>131</v>
      </c>
      <c r="N1236">
        <v>43.6</v>
      </c>
      <c r="O1236">
        <v>64.8</v>
      </c>
      <c r="P1236">
        <v>4.5999999999999996</v>
      </c>
      <c r="Q1236">
        <v>3.56</v>
      </c>
      <c r="R1236" t="s">
        <v>72</v>
      </c>
      <c r="S1236" t="s">
        <v>73</v>
      </c>
      <c r="T1236" t="s">
        <v>30</v>
      </c>
    </row>
    <row r="1237" spans="1:20" x14ac:dyDescent="0.3">
      <c r="A1237">
        <v>11159</v>
      </c>
      <c r="B1237" s="2">
        <v>45666</v>
      </c>
      <c r="C1237" t="s">
        <v>31</v>
      </c>
      <c r="D1237" t="s">
        <v>64</v>
      </c>
      <c r="E1237" t="s">
        <v>22</v>
      </c>
      <c r="F1237" t="s">
        <v>108</v>
      </c>
      <c r="G1237" t="s">
        <v>113</v>
      </c>
      <c r="H1237" t="s">
        <v>126</v>
      </c>
      <c r="I1237" t="s">
        <v>372</v>
      </c>
      <c r="J1237">
        <v>1243</v>
      </c>
      <c r="K1237">
        <v>21</v>
      </c>
      <c r="L1237" t="s">
        <v>68</v>
      </c>
      <c r="M1237">
        <v>145</v>
      </c>
      <c r="N1237">
        <v>44.5</v>
      </c>
      <c r="O1237">
        <v>71.3</v>
      </c>
      <c r="P1237">
        <v>5.91</v>
      </c>
      <c r="Q1237">
        <v>2.4</v>
      </c>
      <c r="R1237" t="s">
        <v>143</v>
      </c>
      <c r="S1237" t="s">
        <v>39</v>
      </c>
      <c r="T1237" t="s">
        <v>30</v>
      </c>
    </row>
    <row r="1238" spans="1:20" x14ac:dyDescent="0.3">
      <c r="A1238">
        <v>11262</v>
      </c>
      <c r="B1238" s="2">
        <v>45902</v>
      </c>
      <c r="C1238" t="s">
        <v>20</v>
      </c>
      <c r="D1238" t="s">
        <v>32</v>
      </c>
      <c r="E1238" t="s">
        <v>40</v>
      </c>
      <c r="F1238" t="s">
        <v>23</v>
      </c>
      <c r="G1238" t="s">
        <v>109</v>
      </c>
      <c r="H1238" t="s">
        <v>278</v>
      </c>
      <c r="I1238" t="s">
        <v>204</v>
      </c>
      <c r="J1238">
        <v>1426</v>
      </c>
      <c r="K1238">
        <v>86</v>
      </c>
      <c r="L1238" t="s">
        <v>37</v>
      </c>
      <c r="M1238">
        <v>25</v>
      </c>
      <c r="N1238">
        <v>41.6</v>
      </c>
      <c r="O1238">
        <v>81.599999999999994</v>
      </c>
      <c r="P1238">
        <v>6.02</v>
      </c>
      <c r="Q1238">
        <v>3.41</v>
      </c>
      <c r="R1238" t="s">
        <v>125</v>
      </c>
      <c r="S1238" t="s">
        <v>73</v>
      </c>
      <c r="T1238" t="s">
        <v>48</v>
      </c>
    </row>
    <row r="1239" spans="1:20" x14ac:dyDescent="0.3">
      <c r="A1239">
        <v>11376</v>
      </c>
      <c r="B1239" s="2">
        <v>45811</v>
      </c>
      <c r="C1239" t="s">
        <v>49</v>
      </c>
      <c r="D1239" t="s">
        <v>64</v>
      </c>
      <c r="E1239" t="s">
        <v>107</v>
      </c>
      <c r="F1239" t="s">
        <v>23</v>
      </c>
      <c r="G1239" t="s">
        <v>54</v>
      </c>
      <c r="H1239" t="s">
        <v>265</v>
      </c>
      <c r="I1239" t="s">
        <v>370</v>
      </c>
      <c r="J1239">
        <v>1028</v>
      </c>
      <c r="K1239">
        <v>7</v>
      </c>
      <c r="L1239" t="s">
        <v>37</v>
      </c>
      <c r="M1239">
        <v>64</v>
      </c>
      <c r="N1239">
        <v>42.9</v>
      </c>
      <c r="O1239">
        <v>75.3</v>
      </c>
      <c r="P1239">
        <v>6.15</v>
      </c>
      <c r="Q1239">
        <v>1.95</v>
      </c>
      <c r="R1239" t="s">
        <v>202</v>
      </c>
      <c r="S1239" t="s">
        <v>47</v>
      </c>
      <c r="T1239" t="s">
        <v>30</v>
      </c>
    </row>
    <row r="1240" spans="1:20" x14ac:dyDescent="0.3">
      <c r="A1240">
        <v>10801</v>
      </c>
      <c r="B1240" s="2">
        <v>45952</v>
      </c>
      <c r="C1240" t="s">
        <v>20</v>
      </c>
      <c r="D1240" t="s">
        <v>64</v>
      </c>
      <c r="E1240" t="s">
        <v>22</v>
      </c>
      <c r="F1240" t="s">
        <v>108</v>
      </c>
      <c r="G1240" t="s">
        <v>42</v>
      </c>
      <c r="H1240" t="s">
        <v>180</v>
      </c>
      <c r="I1240" t="s">
        <v>343</v>
      </c>
      <c r="J1240">
        <v>1328</v>
      </c>
      <c r="K1240">
        <v>46</v>
      </c>
      <c r="M1240">
        <v>145</v>
      </c>
      <c r="N1240">
        <v>37</v>
      </c>
      <c r="O1240">
        <v>78.3</v>
      </c>
      <c r="P1240">
        <v>5.77</v>
      </c>
      <c r="Q1240">
        <v>3.65</v>
      </c>
      <c r="R1240" t="s">
        <v>179</v>
      </c>
      <c r="S1240" t="s">
        <v>73</v>
      </c>
      <c r="T1240" t="s">
        <v>48</v>
      </c>
    </row>
    <row r="1241" spans="1:20" x14ac:dyDescent="0.3">
      <c r="A1241">
        <v>10161</v>
      </c>
      <c r="B1241" s="2">
        <v>45981</v>
      </c>
      <c r="C1241" t="s">
        <v>20</v>
      </c>
      <c r="D1241" t="s">
        <v>59</v>
      </c>
      <c r="E1241" t="s">
        <v>22</v>
      </c>
      <c r="F1241" t="s">
        <v>23</v>
      </c>
      <c r="G1241" t="s">
        <v>34</v>
      </c>
      <c r="H1241" t="s">
        <v>78</v>
      </c>
      <c r="I1241" t="s">
        <v>358</v>
      </c>
      <c r="J1241">
        <v>1167</v>
      </c>
      <c r="K1241">
        <v>12</v>
      </c>
      <c r="L1241" t="s">
        <v>37</v>
      </c>
      <c r="M1241">
        <v>63</v>
      </c>
      <c r="N1241">
        <v>39.200000000000003</v>
      </c>
      <c r="O1241">
        <v>77.5</v>
      </c>
      <c r="P1241">
        <v>5.28</v>
      </c>
      <c r="Q1241">
        <v>3.44</v>
      </c>
      <c r="R1241" t="s">
        <v>280</v>
      </c>
      <c r="S1241" t="s">
        <v>47</v>
      </c>
      <c r="T1241" t="s">
        <v>30</v>
      </c>
    </row>
    <row r="1242" spans="1:20" x14ac:dyDescent="0.3">
      <c r="A1242">
        <v>10957</v>
      </c>
      <c r="B1242" s="2">
        <v>45726</v>
      </c>
      <c r="C1242" t="s">
        <v>31</v>
      </c>
      <c r="D1242" t="s">
        <v>59</v>
      </c>
      <c r="E1242" t="s">
        <v>40</v>
      </c>
      <c r="F1242" t="s">
        <v>274</v>
      </c>
      <c r="G1242" t="s">
        <v>74</v>
      </c>
      <c r="H1242" t="s">
        <v>190</v>
      </c>
      <c r="I1242" t="s">
        <v>302</v>
      </c>
      <c r="J1242">
        <v>759</v>
      </c>
      <c r="K1242">
        <v>3</v>
      </c>
      <c r="L1242" t="s">
        <v>37</v>
      </c>
      <c r="M1242">
        <v>113</v>
      </c>
      <c r="N1242">
        <v>47.8</v>
      </c>
      <c r="O1242">
        <v>73.099999999999994</v>
      </c>
      <c r="P1242">
        <v>4.3</v>
      </c>
      <c r="Q1242">
        <v>2.89</v>
      </c>
      <c r="R1242" t="s">
        <v>232</v>
      </c>
      <c r="S1242" t="s">
        <v>47</v>
      </c>
      <c r="T1242" t="s">
        <v>30</v>
      </c>
    </row>
    <row r="1243" spans="1:20" x14ac:dyDescent="0.3">
      <c r="A1243">
        <v>11187</v>
      </c>
      <c r="B1243" s="2">
        <v>45685</v>
      </c>
      <c r="C1243" t="s">
        <v>49</v>
      </c>
      <c r="D1243" t="s">
        <v>32</v>
      </c>
      <c r="E1243" t="s">
        <v>22</v>
      </c>
      <c r="F1243" t="s">
        <v>23</v>
      </c>
      <c r="G1243" t="s">
        <v>113</v>
      </c>
      <c r="H1243" t="s">
        <v>278</v>
      </c>
      <c r="I1243" t="s">
        <v>337</v>
      </c>
      <c r="J1243">
        <v>776</v>
      </c>
      <c r="K1243">
        <v>16</v>
      </c>
      <c r="L1243" t="s">
        <v>71</v>
      </c>
      <c r="M1243">
        <v>131</v>
      </c>
      <c r="N1243">
        <v>44.9</v>
      </c>
      <c r="O1243">
        <v>71.2</v>
      </c>
      <c r="P1243">
        <v>4.51</v>
      </c>
      <c r="Q1243">
        <v>1.45</v>
      </c>
      <c r="R1243" t="s">
        <v>77</v>
      </c>
      <c r="S1243" t="s">
        <v>39</v>
      </c>
      <c r="T1243" t="s">
        <v>30</v>
      </c>
    </row>
    <row r="1244" spans="1:20" x14ac:dyDescent="0.3">
      <c r="A1244">
        <v>10822</v>
      </c>
      <c r="B1244" s="2">
        <v>45875</v>
      </c>
      <c r="C1244" t="s">
        <v>20</v>
      </c>
      <c r="D1244" t="s">
        <v>64</v>
      </c>
      <c r="E1244" t="s">
        <v>40</v>
      </c>
      <c r="F1244" t="s">
        <v>23</v>
      </c>
      <c r="G1244" t="s">
        <v>50</v>
      </c>
      <c r="H1244" t="s">
        <v>213</v>
      </c>
      <c r="I1244" t="s">
        <v>160</v>
      </c>
      <c r="J1244">
        <v>1454</v>
      </c>
      <c r="K1244">
        <v>19</v>
      </c>
      <c r="L1244" t="s">
        <v>68</v>
      </c>
      <c r="M1244">
        <v>127</v>
      </c>
      <c r="N1244">
        <v>39.700000000000003</v>
      </c>
      <c r="O1244">
        <v>75.2</v>
      </c>
      <c r="P1244">
        <v>4.9800000000000004</v>
      </c>
      <c r="Q1244">
        <v>3.19</v>
      </c>
      <c r="R1244" t="s">
        <v>38</v>
      </c>
      <c r="S1244" t="s">
        <v>39</v>
      </c>
      <c r="T1244" t="s">
        <v>30</v>
      </c>
    </row>
    <row r="1245" spans="1:20" x14ac:dyDescent="0.3">
      <c r="A1245">
        <v>11339</v>
      </c>
      <c r="B1245" s="2">
        <v>45874</v>
      </c>
      <c r="C1245" t="s">
        <v>31</v>
      </c>
      <c r="D1245" t="s">
        <v>32</v>
      </c>
      <c r="E1245" t="s">
        <v>107</v>
      </c>
      <c r="F1245" t="s">
        <v>81</v>
      </c>
      <c r="G1245" t="s">
        <v>42</v>
      </c>
      <c r="H1245" t="s">
        <v>88</v>
      </c>
      <c r="I1245" t="s">
        <v>97</v>
      </c>
      <c r="J1245">
        <v>1572</v>
      </c>
      <c r="K1245">
        <v>7</v>
      </c>
      <c r="L1245" t="s">
        <v>57</v>
      </c>
      <c r="M1245">
        <v>161</v>
      </c>
      <c r="N1245">
        <v>43</v>
      </c>
      <c r="O1245">
        <v>66</v>
      </c>
      <c r="P1245">
        <v>5.83</v>
      </c>
      <c r="Q1245">
        <v>1.53</v>
      </c>
      <c r="R1245" t="s">
        <v>46</v>
      </c>
      <c r="S1245" t="s">
        <v>39</v>
      </c>
      <c r="T1245" t="s">
        <v>30</v>
      </c>
    </row>
    <row r="1246" spans="1:20" x14ac:dyDescent="0.3">
      <c r="A1246">
        <v>10878</v>
      </c>
      <c r="B1246" s="2">
        <v>45842</v>
      </c>
      <c r="C1246" t="s">
        <v>49</v>
      </c>
      <c r="D1246" t="s">
        <v>64</v>
      </c>
      <c r="E1246" t="s">
        <v>40</v>
      </c>
      <c r="F1246" t="s">
        <v>41</v>
      </c>
      <c r="G1246" t="s">
        <v>54</v>
      </c>
      <c r="H1246" t="s">
        <v>120</v>
      </c>
      <c r="I1246" t="s">
        <v>356</v>
      </c>
      <c r="J1246">
        <v>1164</v>
      </c>
      <c r="K1246">
        <v>7</v>
      </c>
      <c r="L1246" t="s">
        <v>68</v>
      </c>
      <c r="M1246">
        <v>106</v>
      </c>
      <c r="N1246">
        <v>39.700000000000003</v>
      </c>
      <c r="O1246">
        <v>62.7</v>
      </c>
      <c r="P1246">
        <v>4.32</v>
      </c>
      <c r="Q1246">
        <v>3.47</v>
      </c>
      <c r="R1246" t="s">
        <v>240</v>
      </c>
      <c r="S1246" t="s">
        <v>39</v>
      </c>
      <c r="T1246" t="s">
        <v>30</v>
      </c>
    </row>
    <row r="1247" spans="1:20" x14ac:dyDescent="0.3">
      <c r="A1247">
        <v>10914</v>
      </c>
      <c r="B1247" s="2">
        <v>45759</v>
      </c>
      <c r="C1247" t="s">
        <v>49</v>
      </c>
      <c r="D1247" t="s">
        <v>59</v>
      </c>
      <c r="E1247" t="s">
        <v>107</v>
      </c>
      <c r="F1247" t="s">
        <v>41</v>
      </c>
      <c r="G1247" t="s">
        <v>113</v>
      </c>
      <c r="H1247" t="s">
        <v>180</v>
      </c>
      <c r="I1247" t="s">
        <v>237</v>
      </c>
      <c r="J1247">
        <v>1083</v>
      </c>
      <c r="K1247" t="s">
        <v>401</v>
      </c>
      <c r="L1247" t="s">
        <v>57</v>
      </c>
      <c r="M1247" t="s">
        <v>402</v>
      </c>
      <c r="N1247">
        <v>43.9</v>
      </c>
      <c r="O1247">
        <v>76</v>
      </c>
      <c r="P1247">
        <v>5.79</v>
      </c>
      <c r="Q1247">
        <v>4.6500000000000004</v>
      </c>
      <c r="R1247" t="s">
        <v>222</v>
      </c>
      <c r="S1247" t="s">
        <v>73</v>
      </c>
      <c r="T1247" t="s">
        <v>30</v>
      </c>
    </row>
    <row r="1248" spans="1:20" x14ac:dyDescent="0.3">
      <c r="A1248">
        <v>10153</v>
      </c>
      <c r="B1248" s="2">
        <v>45838</v>
      </c>
      <c r="C1248" t="s">
        <v>49</v>
      </c>
      <c r="D1248" t="s">
        <v>32</v>
      </c>
      <c r="E1248" t="s">
        <v>40</v>
      </c>
      <c r="F1248" t="s">
        <v>81</v>
      </c>
      <c r="G1248" t="s">
        <v>42</v>
      </c>
      <c r="H1248" t="s">
        <v>193</v>
      </c>
      <c r="I1248" t="s">
        <v>118</v>
      </c>
      <c r="J1248">
        <v>568</v>
      </c>
      <c r="K1248">
        <v>40</v>
      </c>
      <c r="L1248" t="s">
        <v>71</v>
      </c>
      <c r="M1248">
        <v>139</v>
      </c>
      <c r="N1248">
        <v>42.7</v>
      </c>
      <c r="O1248">
        <v>84.4</v>
      </c>
      <c r="P1248">
        <v>4.21</v>
      </c>
      <c r="Q1248">
        <v>1.19</v>
      </c>
      <c r="R1248" t="s">
        <v>227</v>
      </c>
      <c r="S1248" t="s">
        <v>47</v>
      </c>
      <c r="T1248" t="s">
        <v>48</v>
      </c>
    </row>
    <row r="1249" spans="1:20" x14ac:dyDescent="0.3">
      <c r="A1249">
        <v>11386</v>
      </c>
      <c r="B1249" s="2">
        <v>45816</v>
      </c>
      <c r="C1249" t="s">
        <v>49</v>
      </c>
      <c r="D1249" t="s">
        <v>21</v>
      </c>
      <c r="E1249" t="s">
        <v>107</v>
      </c>
      <c r="F1249" t="s">
        <v>41</v>
      </c>
      <c r="G1249" t="s">
        <v>24</v>
      </c>
      <c r="H1249" t="s">
        <v>66</v>
      </c>
      <c r="I1249" t="s">
        <v>178</v>
      </c>
      <c r="J1249">
        <v>1280</v>
      </c>
      <c r="K1249">
        <v>7</v>
      </c>
      <c r="L1249" t="s">
        <v>37</v>
      </c>
      <c r="M1249">
        <v>109</v>
      </c>
      <c r="N1249">
        <v>38.6</v>
      </c>
      <c r="O1249">
        <v>56.8</v>
      </c>
      <c r="P1249">
        <v>5.53</v>
      </c>
      <c r="Q1249">
        <v>3.37</v>
      </c>
      <c r="R1249" t="s">
        <v>227</v>
      </c>
      <c r="S1249" t="s">
        <v>39</v>
      </c>
      <c r="T1249" t="s">
        <v>30</v>
      </c>
    </row>
    <row r="1250" spans="1:20" x14ac:dyDescent="0.3">
      <c r="A1250">
        <v>10510</v>
      </c>
      <c r="B1250" s="2">
        <v>45851</v>
      </c>
      <c r="C1250" t="s">
        <v>49</v>
      </c>
      <c r="D1250" t="s">
        <v>64</v>
      </c>
      <c r="E1250" t="s">
        <v>107</v>
      </c>
      <c r="F1250" t="s">
        <v>23</v>
      </c>
      <c r="G1250" t="s">
        <v>24</v>
      </c>
      <c r="H1250" t="s">
        <v>172</v>
      </c>
      <c r="I1250" t="s">
        <v>194</v>
      </c>
      <c r="J1250">
        <v>1256</v>
      </c>
      <c r="K1250">
        <v>44</v>
      </c>
      <c r="L1250" t="s">
        <v>57</v>
      </c>
      <c r="M1250">
        <v>169</v>
      </c>
      <c r="N1250">
        <v>44.1</v>
      </c>
      <c r="O1250">
        <v>66</v>
      </c>
      <c r="P1250">
        <v>5.61</v>
      </c>
      <c r="Q1250">
        <v>3.67</v>
      </c>
      <c r="R1250" t="s">
        <v>28</v>
      </c>
      <c r="S1250" t="s">
        <v>39</v>
      </c>
      <c r="T1250" t="s">
        <v>48</v>
      </c>
    </row>
    <row r="1251" spans="1:20" x14ac:dyDescent="0.3">
      <c r="A1251">
        <v>11136</v>
      </c>
      <c r="B1251" s="2">
        <v>45727</v>
      </c>
      <c r="C1251" t="s">
        <v>31</v>
      </c>
      <c r="D1251" t="s">
        <v>21</v>
      </c>
      <c r="E1251" t="s">
        <v>107</v>
      </c>
      <c r="F1251" t="s">
        <v>41</v>
      </c>
      <c r="G1251" t="s">
        <v>54</v>
      </c>
      <c r="H1251" t="s">
        <v>51</v>
      </c>
      <c r="I1251" t="s">
        <v>370</v>
      </c>
      <c r="J1251">
        <v>763</v>
      </c>
      <c r="K1251">
        <v>14</v>
      </c>
      <c r="L1251" t="s">
        <v>57</v>
      </c>
      <c r="M1251">
        <v>87</v>
      </c>
      <c r="N1251">
        <v>39.1</v>
      </c>
      <c r="O1251">
        <v>62.6</v>
      </c>
      <c r="P1251">
        <v>5.7</v>
      </c>
      <c r="Q1251">
        <v>2.27</v>
      </c>
      <c r="R1251" t="s">
        <v>179</v>
      </c>
      <c r="S1251" t="s">
        <v>39</v>
      </c>
      <c r="T1251" t="s">
        <v>30</v>
      </c>
    </row>
    <row r="1252" spans="1:20" x14ac:dyDescent="0.3">
      <c r="A1252">
        <v>11251</v>
      </c>
      <c r="B1252" s="2">
        <v>45977</v>
      </c>
      <c r="C1252" t="s">
        <v>20</v>
      </c>
      <c r="D1252" t="s">
        <v>21</v>
      </c>
      <c r="E1252" t="s">
        <v>40</v>
      </c>
      <c r="F1252" t="s">
        <v>23</v>
      </c>
      <c r="G1252" t="s">
        <v>113</v>
      </c>
      <c r="H1252" t="s">
        <v>90</v>
      </c>
      <c r="I1252" t="s">
        <v>340</v>
      </c>
      <c r="J1252">
        <v>989</v>
      </c>
      <c r="K1252">
        <v>4</v>
      </c>
      <c r="L1252" t="s">
        <v>45</v>
      </c>
      <c r="M1252">
        <v>49</v>
      </c>
      <c r="N1252">
        <v>50.4</v>
      </c>
      <c r="O1252">
        <v>67.5</v>
      </c>
      <c r="P1252">
        <v>4.3099999999999996</v>
      </c>
      <c r="Q1252">
        <v>1.89</v>
      </c>
      <c r="R1252" t="s">
        <v>63</v>
      </c>
      <c r="S1252" t="s">
        <v>47</v>
      </c>
      <c r="T1252" t="s">
        <v>30</v>
      </c>
    </row>
    <row r="1253" spans="1:20" x14ac:dyDescent="0.3">
      <c r="A1253">
        <v>11270</v>
      </c>
      <c r="B1253" s="2">
        <v>46002</v>
      </c>
      <c r="C1253" t="s">
        <v>31</v>
      </c>
      <c r="D1253" t="s">
        <v>64</v>
      </c>
      <c r="E1253" t="s">
        <v>33</v>
      </c>
      <c r="F1253" t="s">
        <v>108</v>
      </c>
      <c r="G1253" t="s">
        <v>134</v>
      </c>
      <c r="H1253" t="s">
        <v>66</v>
      </c>
      <c r="I1253" t="s">
        <v>220</v>
      </c>
      <c r="J1253">
        <v>474</v>
      </c>
      <c r="K1253">
        <v>4</v>
      </c>
      <c r="L1253" t="s">
        <v>45</v>
      </c>
      <c r="M1253">
        <v>151</v>
      </c>
      <c r="N1253">
        <v>39.4</v>
      </c>
      <c r="O1253">
        <v>71.400000000000006</v>
      </c>
      <c r="P1253">
        <v>5.3</v>
      </c>
      <c r="Q1253">
        <v>2.12</v>
      </c>
      <c r="R1253" t="s">
        <v>189</v>
      </c>
      <c r="S1253" t="s">
        <v>73</v>
      </c>
      <c r="T1253" t="s">
        <v>30</v>
      </c>
    </row>
    <row r="1254" spans="1:20" x14ac:dyDescent="0.3">
      <c r="A1254">
        <v>10104</v>
      </c>
      <c r="B1254" s="2">
        <v>45935</v>
      </c>
      <c r="C1254" t="s">
        <v>49</v>
      </c>
      <c r="D1254" t="s">
        <v>21</v>
      </c>
      <c r="E1254" t="s">
        <v>22</v>
      </c>
      <c r="F1254" t="s">
        <v>41</v>
      </c>
      <c r="G1254" t="s">
        <v>95</v>
      </c>
      <c r="H1254" t="s">
        <v>215</v>
      </c>
      <c r="I1254" t="s">
        <v>322</v>
      </c>
      <c r="J1254">
        <v>632</v>
      </c>
      <c r="K1254">
        <v>2</v>
      </c>
      <c r="L1254" t="s">
        <v>37</v>
      </c>
      <c r="M1254">
        <v>124</v>
      </c>
      <c r="N1254">
        <v>47.2</v>
      </c>
      <c r="O1254">
        <v>69.099999999999994</v>
      </c>
      <c r="P1254">
        <v>5.44</v>
      </c>
      <c r="Q1254">
        <v>0.97</v>
      </c>
      <c r="R1254" t="s">
        <v>105</v>
      </c>
      <c r="S1254" t="s">
        <v>73</v>
      </c>
      <c r="T1254" t="s">
        <v>30</v>
      </c>
    </row>
    <row r="1255" spans="1:20" x14ac:dyDescent="0.3">
      <c r="A1255">
        <v>10587</v>
      </c>
      <c r="B1255" s="2">
        <v>45916</v>
      </c>
      <c r="C1255" t="s">
        <v>31</v>
      </c>
      <c r="D1255" t="s">
        <v>21</v>
      </c>
      <c r="E1255" t="s">
        <v>40</v>
      </c>
      <c r="F1255" t="s">
        <v>23</v>
      </c>
      <c r="G1255" t="s">
        <v>50</v>
      </c>
      <c r="H1255" t="s">
        <v>114</v>
      </c>
      <c r="I1255" t="s">
        <v>317</v>
      </c>
      <c r="J1255">
        <v>1386</v>
      </c>
      <c r="K1255">
        <v>6</v>
      </c>
      <c r="L1255" t="s">
        <v>57</v>
      </c>
      <c r="M1255">
        <v>54</v>
      </c>
      <c r="N1255">
        <v>49.5</v>
      </c>
      <c r="O1255">
        <v>75.099999999999994</v>
      </c>
      <c r="P1255">
        <v>4.37</v>
      </c>
      <c r="Q1255">
        <v>3.51</v>
      </c>
      <c r="R1255" t="s">
        <v>103</v>
      </c>
      <c r="S1255" t="s">
        <v>73</v>
      </c>
      <c r="T1255" t="s">
        <v>30</v>
      </c>
    </row>
    <row r="1256" spans="1:20" x14ac:dyDescent="0.3">
      <c r="A1256">
        <v>11341</v>
      </c>
      <c r="B1256" s="2">
        <v>45771</v>
      </c>
      <c r="C1256" t="s">
        <v>20</v>
      </c>
      <c r="D1256" t="s">
        <v>64</v>
      </c>
      <c r="E1256" t="s">
        <v>40</v>
      </c>
      <c r="F1256" t="s">
        <v>41</v>
      </c>
      <c r="G1256" t="s">
        <v>50</v>
      </c>
      <c r="H1256" t="s">
        <v>51</v>
      </c>
      <c r="I1256" t="s">
        <v>357</v>
      </c>
      <c r="J1256">
        <v>1024</v>
      </c>
      <c r="K1256">
        <v>11</v>
      </c>
      <c r="L1256" t="s">
        <v>27</v>
      </c>
      <c r="M1256">
        <v>95</v>
      </c>
      <c r="N1256">
        <v>38.5</v>
      </c>
      <c r="O1256">
        <v>61.7</v>
      </c>
      <c r="P1256">
        <v>6.5</v>
      </c>
      <c r="Q1256">
        <v>4.0199999999999996</v>
      </c>
      <c r="R1256" t="s">
        <v>167</v>
      </c>
      <c r="S1256" t="s">
        <v>29</v>
      </c>
      <c r="T1256" t="s">
        <v>30</v>
      </c>
    </row>
    <row r="1257" spans="1:20" x14ac:dyDescent="0.3">
      <c r="A1257">
        <v>11144</v>
      </c>
      <c r="B1257" s="2">
        <v>45863</v>
      </c>
      <c r="C1257" t="s">
        <v>49</v>
      </c>
      <c r="D1257" t="s">
        <v>59</v>
      </c>
      <c r="E1257" t="s">
        <v>33</v>
      </c>
      <c r="F1257" t="s">
        <v>23</v>
      </c>
      <c r="G1257" t="s">
        <v>95</v>
      </c>
      <c r="H1257" t="s">
        <v>213</v>
      </c>
      <c r="I1257" t="s">
        <v>124</v>
      </c>
      <c r="J1257">
        <v>1308</v>
      </c>
      <c r="K1257">
        <v>45</v>
      </c>
      <c r="L1257" t="s">
        <v>37</v>
      </c>
      <c r="M1257">
        <v>69</v>
      </c>
      <c r="N1257">
        <v>37.9</v>
      </c>
      <c r="O1257">
        <v>56</v>
      </c>
      <c r="P1257">
        <v>6.66</v>
      </c>
      <c r="Q1257">
        <v>3.52</v>
      </c>
      <c r="R1257" t="s">
        <v>92</v>
      </c>
      <c r="S1257" t="s">
        <v>73</v>
      </c>
      <c r="T1257" t="s">
        <v>48</v>
      </c>
    </row>
    <row r="1258" spans="1:20" x14ac:dyDescent="0.3">
      <c r="A1258">
        <v>10054</v>
      </c>
      <c r="B1258" s="2">
        <v>45684</v>
      </c>
      <c r="C1258" t="s">
        <v>20</v>
      </c>
      <c r="D1258" t="s">
        <v>32</v>
      </c>
      <c r="E1258" t="s">
        <v>33</v>
      </c>
      <c r="F1258" t="s">
        <v>41</v>
      </c>
      <c r="G1258" t="s">
        <v>42</v>
      </c>
      <c r="H1258" t="s">
        <v>265</v>
      </c>
      <c r="I1258" t="s">
        <v>173</v>
      </c>
      <c r="J1258">
        <v>1490</v>
      </c>
      <c r="K1258">
        <v>11</v>
      </c>
      <c r="L1258" t="s">
        <v>57</v>
      </c>
      <c r="M1258">
        <v>142</v>
      </c>
      <c r="N1258">
        <v>40.9</v>
      </c>
      <c r="O1258">
        <v>78.5</v>
      </c>
      <c r="P1258">
        <v>5.51</v>
      </c>
      <c r="Q1258">
        <v>0.19</v>
      </c>
      <c r="R1258" t="s">
        <v>137</v>
      </c>
      <c r="S1258" t="s">
        <v>47</v>
      </c>
      <c r="T1258" t="s">
        <v>30</v>
      </c>
    </row>
    <row r="1259" spans="1:20" x14ac:dyDescent="0.3">
      <c r="A1259">
        <v>10152</v>
      </c>
      <c r="B1259" s="2">
        <v>45994</v>
      </c>
      <c r="C1259" t="s">
        <v>49</v>
      </c>
      <c r="D1259" t="s">
        <v>59</v>
      </c>
      <c r="E1259" t="s">
        <v>40</v>
      </c>
      <c r="F1259" t="s">
        <v>41</v>
      </c>
      <c r="G1259" t="s">
        <v>74</v>
      </c>
      <c r="H1259" t="s">
        <v>51</v>
      </c>
      <c r="I1259" t="s">
        <v>129</v>
      </c>
      <c r="J1259">
        <v>1517</v>
      </c>
      <c r="K1259">
        <v>49</v>
      </c>
      <c r="L1259" t="s">
        <v>37</v>
      </c>
      <c r="M1259">
        <v>120</v>
      </c>
      <c r="N1259">
        <v>41.9</v>
      </c>
      <c r="O1259">
        <v>69.900000000000006</v>
      </c>
      <c r="P1259">
        <v>5.22</v>
      </c>
      <c r="Q1259">
        <v>3.4</v>
      </c>
      <c r="R1259" t="s">
        <v>84</v>
      </c>
      <c r="S1259" t="s">
        <v>73</v>
      </c>
      <c r="T1259" t="s">
        <v>48</v>
      </c>
    </row>
    <row r="1260" spans="1:20" x14ac:dyDescent="0.3">
      <c r="A1260">
        <v>10404</v>
      </c>
      <c r="B1260" s="2">
        <v>45730</v>
      </c>
      <c r="C1260" t="s">
        <v>31</v>
      </c>
      <c r="D1260" t="s">
        <v>64</v>
      </c>
      <c r="E1260" t="s">
        <v>107</v>
      </c>
      <c r="F1260" t="s">
        <v>23</v>
      </c>
      <c r="G1260" t="s">
        <v>54</v>
      </c>
      <c r="H1260" t="s">
        <v>180</v>
      </c>
      <c r="I1260" t="s">
        <v>197</v>
      </c>
      <c r="J1260">
        <v>693</v>
      </c>
      <c r="K1260">
        <v>23</v>
      </c>
      <c r="L1260" t="s">
        <v>27</v>
      </c>
      <c r="M1260">
        <v>47</v>
      </c>
      <c r="N1260">
        <v>40.1</v>
      </c>
      <c r="O1260">
        <v>79</v>
      </c>
      <c r="P1260">
        <v>4.8899999999999997</v>
      </c>
      <c r="Q1260">
        <v>3.07</v>
      </c>
      <c r="R1260" t="s">
        <v>103</v>
      </c>
      <c r="S1260" t="s">
        <v>73</v>
      </c>
      <c r="T1260" t="s">
        <v>48</v>
      </c>
    </row>
    <row r="1261" spans="1:20" x14ac:dyDescent="0.3">
      <c r="A1261">
        <v>11467</v>
      </c>
      <c r="B1261" s="2">
        <v>45740</v>
      </c>
      <c r="C1261" t="s">
        <v>20</v>
      </c>
      <c r="D1261" t="s">
        <v>21</v>
      </c>
      <c r="E1261" t="s">
        <v>40</v>
      </c>
      <c r="F1261" t="s">
        <v>81</v>
      </c>
      <c r="G1261" t="s">
        <v>54</v>
      </c>
      <c r="H1261" t="s">
        <v>131</v>
      </c>
      <c r="I1261" t="s">
        <v>132</v>
      </c>
      <c r="J1261">
        <v>866</v>
      </c>
      <c r="K1261">
        <v>33</v>
      </c>
      <c r="L1261" t="s">
        <v>68</v>
      </c>
      <c r="M1261">
        <v>133</v>
      </c>
      <c r="N1261">
        <v>57.5</v>
      </c>
      <c r="O1261">
        <v>72.099999999999994</v>
      </c>
      <c r="P1261">
        <v>6.46</v>
      </c>
      <c r="Q1261">
        <v>3.61</v>
      </c>
      <c r="R1261" t="s">
        <v>195</v>
      </c>
      <c r="S1261" t="s">
        <v>29</v>
      </c>
      <c r="T1261" t="s">
        <v>48</v>
      </c>
    </row>
    <row r="1262" spans="1:20" x14ac:dyDescent="0.3">
      <c r="A1262">
        <v>10208</v>
      </c>
      <c r="B1262" s="2">
        <v>45878</v>
      </c>
      <c r="C1262" t="s">
        <v>20</v>
      </c>
      <c r="D1262" t="s">
        <v>64</v>
      </c>
      <c r="E1262" t="s">
        <v>107</v>
      </c>
      <c r="F1262" t="s">
        <v>81</v>
      </c>
      <c r="G1262" t="s">
        <v>74</v>
      </c>
      <c r="H1262" t="s">
        <v>96</v>
      </c>
      <c r="I1262" t="s">
        <v>296</v>
      </c>
      <c r="J1262">
        <v>556</v>
      </c>
      <c r="K1262">
        <v>7</v>
      </c>
      <c r="L1262" t="s">
        <v>45</v>
      </c>
      <c r="M1262">
        <v>106</v>
      </c>
      <c r="N1262">
        <v>52.7</v>
      </c>
      <c r="O1262">
        <v>73.099999999999994</v>
      </c>
      <c r="P1262">
        <v>4.6399999999999997</v>
      </c>
      <c r="Q1262">
        <v>1.47</v>
      </c>
      <c r="R1262" t="s">
        <v>240</v>
      </c>
      <c r="S1262" t="s">
        <v>73</v>
      </c>
      <c r="T1262" t="s">
        <v>30</v>
      </c>
    </row>
    <row r="1263" spans="1:20" x14ac:dyDescent="0.3">
      <c r="A1263">
        <v>11430</v>
      </c>
      <c r="B1263" s="2">
        <v>45883</v>
      </c>
      <c r="C1263" t="s">
        <v>291</v>
      </c>
      <c r="D1263" t="s">
        <v>32</v>
      </c>
      <c r="E1263" t="s">
        <v>33</v>
      </c>
      <c r="F1263" t="s">
        <v>81</v>
      </c>
      <c r="G1263" t="s">
        <v>24</v>
      </c>
      <c r="H1263" t="s">
        <v>85</v>
      </c>
      <c r="I1263" t="s">
        <v>290</v>
      </c>
      <c r="J1263">
        <v>564</v>
      </c>
      <c r="K1263">
        <v>6</v>
      </c>
      <c r="L1263" t="s">
        <v>71</v>
      </c>
      <c r="M1263">
        <v>121</v>
      </c>
      <c r="N1263">
        <v>32.6</v>
      </c>
      <c r="O1263">
        <v>74.5</v>
      </c>
      <c r="P1263">
        <v>6.71</v>
      </c>
      <c r="Q1263">
        <v>2.09</v>
      </c>
      <c r="R1263" t="s">
        <v>147</v>
      </c>
      <c r="S1263" t="s">
        <v>47</v>
      </c>
      <c r="T1263" t="s">
        <v>30</v>
      </c>
    </row>
    <row r="1264" spans="1:20" x14ac:dyDescent="0.3">
      <c r="A1264">
        <v>11123</v>
      </c>
      <c r="B1264" s="2">
        <v>45716</v>
      </c>
      <c r="C1264" t="s">
        <v>49</v>
      </c>
      <c r="D1264" t="s">
        <v>21</v>
      </c>
      <c r="E1264" t="s">
        <v>22</v>
      </c>
      <c r="F1264" t="s">
        <v>81</v>
      </c>
      <c r="G1264" t="s">
        <v>89</v>
      </c>
      <c r="H1264" t="s">
        <v>196</v>
      </c>
      <c r="I1264" t="s">
        <v>244</v>
      </c>
      <c r="J1264">
        <v>1312</v>
      </c>
      <c r="K1264">
        <v>45</v>
      </c>
      <c r="L1264" t="s">
        <v>68</v>
      </c>
      <c r="M1264">
        <v>21</v>
      </c>
      <c r="N1264">
        <v>41.9</v>
      </c>
      <c r="O1264">
        <v>64.900000000000006</v>
      </c>
      <c r="P1264">
        <v>5.13</v>
      </c>
      <c r="Q1264">
        <v>2.58</v>
      </c>
      <c r="R1264" t="s">
        <v>28</v>
      </c>
      <c r="S1264" t="s">
        <v>39</v>
      </c>
      <c r="T1264" t="s">
        <v>48</v>
      </c>
    </row>
    <row r="1265" spans="1:20" x14ac:dyDescent="0.3">
      <c r="A1265">
        <v>11331</v>
      </c>
      <c r="B1265" s="2">
        <v>45779</v>
      </c>
      <c r="C1265" t="s">
        <v>20</v>
      </c>
      <c r="D1265" t="s">
        <v>59</v>
      </c>
      <c r="E1265" t="s">
        <v>22</v>
      </c>
      <c r="F1265" t="s">
        <v>81</v>
      </c>
      <c r="G1265" t="s">
        <v>95</v>
      </c>
      <c r="H1265" t="s">
        <v>90</v>
      </c>
      <c r="I1265" t="s">
        <v>361</v>
      </c>
      <c r="J1265">
        <v>998</v>
      </c>
      <c r="K1265">
        <v>13</v>
      </c>
      <c r="L1265" t="s">
        <v>45</v>
      </c>
      <c r="M1265">
        <v>67</v>
      </c>
      <c r="N1265">
        <v>43.8</v>
      </c>
      <c r="O1265">
        <v>72.7</v>
      </c>
      <c r="P1265">
        <v>3.87</v>
      </c>
      <c r="Q1265">
        <v>2.34</v>
      </c>
      <c r="R1265" t="s">
        <v>130</v>
      </c>
      <c r="S1265" t="s">
        <v>39</v>
      </c>
      <c r="T1265" t="s">
        <v>30</v>
      </c>
    </row>
    <row r="1266" spans="1:20" x14ac:dyDescent="0.3">
      <c r="A1266">
        <v>10009</v>
      </c>
      <c r="B1266" s="2">
        <v>45860</v>
      </c>
      <c r="C1266" t="s">
        <v>31</v>
      </c>
      <c r="D1266" t="s">
        <v>64</v>
      </c>
      <c r="E1266" t="s">
        <v>40</v>
      </c>
      <c r="F1266" t="s">
        <v>81</v>
      </c>
      <c r="G1266" t="s">
        <v>109</v>
      </c>
      <c r="H1266" t="s">
        <v>172</v>
      </c>
      <c r="I1266" t="s">
        <v>256</v>
      </c>
      <c r="J1266">
        <v>834</v>
      </c>
      <c r="K1266">
        <v>58</v>
      </c>
      <c r="L1266" t="s">
        <v>68</v>
      </c>
      <c r="M1266">
        <v>143</v>
      </c>
      <c r="N1266">
        <v>45.6</v>
      </c>
      <c r="O1266">
        <v>76.3</v>
      </c>
      <c r="P1266">
        <v>5.22</v>
      </c>
      <c r="Q1266">
        <v>1.48</v>
      </c>
      <c r="R1266" t="s">
        <v>227</v>
      </c>
      <c r="S1266" t="s">
        <v>73</v>
      </c>
      <c r="T1266" t="s">
        <v>48</v>
      </c>
    </row>
    <row r="1267" spans="1:20" x14ac:dyDescent="0.3">
      <c r="A1267">
        <v>11015</v>
      </c>
      <c r="B1267" s="2">
        <v>45988</v>
      </c>
      <c r="C1267" t="s">
        <v>20</v>
      </c>
      <c r="D1267" t="s">
        <v>59</v>
      </c>
      <c r="E1267" t="s">
        <v>40</v>
      </c>
      <c r="F1267" t="s">
        <v>23</v>
      </c>
      <c r="G1267" t="s">
        <v>134</v>
      </c>
      <c r="H1267" t="s">
        <v>265</v>
      </c>
      <c r="I1267" t="s">
        <v>185</v>
      </c>
      <c r="J1267">
        <v>629</v>
      </c>
      <c r="K1267">
        <v>7</v>
      </c>
      <c r="L1267" t="s">
        <v>37</v>
      </c>
      <c r="M1267">
        <v>20</v>
      </c>
      <c r="N1267">
        <v>46.2</v>
      </c>
      <c r="O1267">
        <v>63.4</v>
      </c>
      <c r="P1267">
        <v>5.79</v>
      </c>
      <c r="Q1267">
        <v>3.1</v>
      </c>
      <c r="R1267" t="s">
        <v>58</v>
      </c>
      <c r="S1267" t="s">
        <v>39</v>
      </c>
      <c r="T1267" t="s">
        <v>30</v>
      </c>
    </row>
    <row r="1268" spans="1:20" x14ac:dyDescent="0.3">
      <c r="A1268">
        <v>11356</v>
      </c>
      <c r="B1268" s="2">
        <v>45771</v>
      </c>
      <c r="C1268" t="s">
        <v>49</v>
      </c>
      <c r="D1268" t="s">
        <v>21</v>
      </c>
      <c r="E1268" t="s">
        <v>22</v>
      </c>
      <c r="F1268" t="s">
        <v>23</v>
      </c>
      <c r="G1268" t="s">
        <v>24</v>
      </c>
      <c r="H1268" t="s">
        <v>193</v>
      </c>
      <c r="I1268" t="s">
        <v>208</v>
      </c>
      <c r="J1268">
        <v>1031</v>
      </c>
      <c r="K1268">
        <v>12</v>
      </c>
      <c r="L1268" t="s">
        <v>37</v>
      </c>
      <c r="M1268">
        <v>45</v>
      </c>
      <c r="N1268">
        <v>42.9</v>
      </c>
      <c r="O1268">
        <v>70.5</v>
      </c>
      <c r="P1268">
        <v>5.68</v>
      </c>
      <c r="Q1268">
        <v>1.89</v>
      </c>
      <c r="R1268" t="s">
        <v>133</v>
      </c>
      <c r="S1268" t="s">
        <v>73</v>
      </c>
      <c r="T1268" t="s">
        <v>30</v>
      </c>
    </row>
    <row r="1269" spans="1:20" x14ac:dyDescent="0.3">
      <c r="A1269">
        <v>11061</v>
      </c>
      <c r="B1269" s="2">
        <v>45782</v>
      </c>
      <c r="C1269" t="s">
        <v>49</v>
      </c>
      <c r="D1269" t="s">
        <v>32</v>
      </c>
      <c r="E1269" t="s">
        <v>22</v>
      </c>
      <c r="F1269" t="s">
        <v>41</v>
      </c>
      <c r="G1269" t="s">
        <v>24</v>
      </c>
      <c r="H1269" t="s">
        <v>93</v>
      </c>
      <c r="I1269" t="s">
        <v>219</v>
      </c>
      <c r="J1269">
        <v>1056</v>
      </c>
      <c r="K1269">
        <v>11</v>
      </c>
      <c r="L1269" t="s">
        <v>68</v>
      </c>
      <c r="M1269">
        <v>61</v>
      </c>
      <c r="N1269">
        <v>45.7</v>
      </c>
      <c r="O1269">
        <v>76.8</v>
      </c>
      <c r="P1269">
        <v>3.87</v>
      </c>
      <c r="Q1269">
        <v>2.9</v>
      </c>
      <c r="R1269" t="s">
        <v>38</v>
      </c>
      <c r="S1269" t="s">
        <v>29</v>
      </c>
      <c r="T1269" t="s">
        <v>30</v>
      </c>
    </row>
    <row r="1270" spans="1:20" x14ac:dyDescent="0.3">
      <c r="A1270">
        <v>10453</v>
      </c>
      <c r="B1270" s="2">
        <v>45669</v>
      </c>
      <c r="C1270" t="s">
        <v>31</v>
      </c>
      <c r="D1270" t="s">
        <v>64</v>
      </c>
      <c r="E1270" t="s">
        <v>22</v>
      </c>
      <c r="F1270" t="s">
        <v>23</v>
      </c>
      <c r="G1270" t="s">
        <v>42</v>
      </c>
      <c r="H1270" t="s">
        <v>93</v>
      </c>
      <c r="I1270" t="s">
        <v>163</v>
      </c>
      <c r="J1270">
        <v>1408</v>
      </c>
      <c r="K1270">
        <v>48</v>
      </c>
      <c r="L1270" t="s">
        <v>71</v>
      </c>
      <c r="M1270" t="s">
        <v>403</v>
      </c>
      <c r="N1270">
        <v>44.1</v>
      </c>
      <c r="O1270">
        <v>67.400000000000006</v>
      </c>
      <c r="P1270">
        <v>5.98</v>
      </c>
      <c r="Q1270">
        <v>3.49</v>
      </c>
      <c r="R1270" t="s">
        <v>38</v>
      </c>
      <c r="S1270" t="s">
        <v>39</v>
      </c>
      <c r="T1270" t="s">
        <v>48</v>
      </c>
    </row>
    <row r="1271" spans="1:20" x14ac:dyDescent="0.3">
      <c r="A1271">
        <v>10254</v>
      </c>
      <c r="B1271" s="2">
        <v>45827</v>
      </c>
      <c r="C1271" t="s">
        <v>31</v>
      </c>
      <c r="D1271" t="s">
        <v>59</v>
      </c>
      <c r="E1271" t="s">
        <v>107</v>
      </c>
      <c r="F1271" t="s">
        <v>41</v>
      </c>
      <c r="G1271" t="s">
        <v>74</v>
      </c>
      <c r="H1271" t="s">
        <v>287</v>
      </c>
      <c r="I1271" t="s">
        <v>132</v>
      </c>
      <c r="J1271">
        <v>762</v>
      </c>
      <c r="K1271">
        <v>3</v>
      </c>
      <c r="L1271" t="s">
        <v>71</v>
      </c>
      <c r="M1271">
        <v>113</v>
      </c>
      <c r="N1271">
        <v>32.9</v>
      </c>
      <c r="O1271">
        <v>69</v>
      </c>
      <c r="P1271">
        <v>4.32</v>
      </c>
      <c r="Q1271">
        <v>2.84</v>
      </c>
      <c r="R1271" t="s">
        <v>240</v>
      </c>
      <c r="S1271" t="s">
        <v>39</v>
      </c>
      <c r="T1271" t="s">
        <v>30</v>
      </c>
    </row>
    <row r="1272" spans="1:20" x14ac:dyDescent="0.3">
      <c r="A1272">
        <v>10897</v>
      </c>
      <c r="B1272" s="2">
        <v>45915</v>
      </c>
      <c r="C1272" t="s">
        <v>31</v>
      </c>
      <c r="D1272" t="s">
        <v>21</v>
      </c>
      <c r="E1272" t="s">
        <v>40</v>
      </c>
      <c r="F1272" t="s">
        <v>23</v>
      </c>
      <c r="G1272" t="s">
        <v>34</v>
      </c>
      <c r="H1272" t="s">
        <v>93</v>
      </c>
      <c r="I1272" t="s">
        <v>329</v>
      </c>
      <c r="J1272">
        <v>1379</v>
      </c>
      <c r="K1272">
        <v>8</v>
      </c>
      <c r="L1272" t="s">
        <v>68</v>
      </c>
      <c r="M1272">
        <v>112</v>
      </c>
      <c r="N1272">
        <v>47.5</v>
      </c>
      <c r="O1272">
        <v>75.5</v>
      </c>
      <c r="P1272">
        <v>6.2</v>
      </c>
      <c r="Q1272">
        <v>2.66</v>
      </c>
      <c r="R1272" t="s">
        <v>92</v>
      </c>
      <c r="S1272" t="s">
        <v>29</v>
      </c>
      <c r="T1272" t="s">
        <v>30</v>
      </c>
    </row>
    <row r="1273" spans="1:20" x14ac:dyDescent="0.3">
      <c r="A1273">
        <v>11321</v>
      </c>
      <c r="B1273" s="2">
        <v>45903</v>
      </c>
      <c r="C1273" t="s">
        <v>49</v>
      </c>
      <c r="D1273" t="s">
        <v>59</v>
      </c>
      <c r="E1273" t="s">
        <v>22</v>
      </c>
      <c r="F1273" t="s">
        <v>81</v>
      </c>
      <c r="G1273" t="s">
        <v>42</v>
      </c>
      <c r="H1273" t="s">
        <v>141</v>
      </c>
      <c r="I1273" t="s">
        <v>166</v>
      </c>
      <c r="J1273">
        <v>800</v>
      </c>
      <c r="K1273">
        <v>7</v>
      </c>
      <c r="L1273" t="s">
        <v>68</v>
      </c>
      <c r="M1273">
        <v>170</v>
      </c>
      <c r="N1273">
        <v>36.6</v>
      </c>
      <c r="O1273">
        <v>65.900000000000006</v>
      </c>
      <c r="P1273">
        <v>5.93</v>
      </c>
      <c r="Q1273">
        <v>3.18</v>
      </c>
      <c r="R1273" t="s">
        <v>152</v>
      </c>
      <c r="S1273" t="s">
        <v>29</v>
      </c>
      <c r="T1273" t="s">
        <v>30</v>
      </c>
    </row>
    <row r="1274" spans="1:20" x14ac:dyDescent="0.3">
      <c r="A1274">
        <v>10881</v>
      </c>
      <c r="B1274" s="2">
        <v>45994</v>
      </c>
      <c r="C1274" t="s">
        <v>31</v>
      </c>
      <c r="D1274" t="s">
        <v>59</v>
      </c>
      <c r="E1274" t="s">
        <v>107</v>
      </c>
      <c r="F1274" t="s">
        <v>41</v>
      </c>
      <c r="G1274" t="s">
        <v>60</v>
      </c>
      <c r="H1274" t="s">
        <v>351</v>
      </c>
      <c r="I1274" t="s">
        <v>160</v>
      </c>
      <c r="J1274">
        <v>625</v>
      </c>
      <c r="K1274">
        <v>6</v>
      </c>
      <c r="L1274" t="s">
        <v>57</v>
      </c>
      <c r="M1274">
        <v>31</v>
      </c>
      <c r="N1274">
        <v>35.4</v>
      </c>
      <c r="O1274">
        <v>74.099999999999994</v>
      </c>
      <c r="P1274">
        <v>4.9800000000000004</v>
      </c>
      <c r="Q1274">
        <v>2.83</v>
      </c>
      <c r="R1274" t="s">
        <v>105</v>
      </c>
      <c r="S1274" t="s">
        <v>39</v>
      </c>
      <c r="T1274" t="s">
        <v>30</v>
      </c>
    </row>
    <row r="1275" spans="1:20" x14ac:dyDescent="0.3">
      <c r="A1275">
        <v>11426</v>
      </c>
      <c r="B1275" s="2">
        <v>45994</v>
      </c>
      <c r="C1275" t="s">
        <v>49</v>
      </c>
      <c r="D1275" t="s">
        <v>59</v>
      </c>
      <c r="E1275" t="s">
        <v>33</v>
      </c>
      <c r="F1275" t="s">
        <v>41</v>
      </c>
      <c r="G1275" t="s">
        <v>60</v>
      </c>
      <c r="H1275" t="s">
        <v>101</v>
      </c>
      <c r="I1275" t="s">
        <v>139</v>
      </c>
      <c r="J1275">
        <v>885</v>
      </c>
      <c r="K1275">
        <v>27</v>
      </c>
      <c r="L1275" t="s">
        <v>57</v>
      </c>
      <c r="M1275">
        <v>67</v>
      </c>
      <c r="N1275">
        <v>41</v>
      </c>
      <c r="O1275">
        <v>78.5</v>
      </c>
      <c r="P1275">
        <v>5</v>
      </c>
      <c r="Q1275">
        <v>2.89</v>
      </c>
      <c r="R1275" t="s">
        <v>202</v>
      </c>
      <c r="S1275" t="s">
        <v>29</v>
      </c>
      <c r="T1275" t="s">
        <v>48</v>
      </c>
    </row>
    <row r="1276" spans="1:20" x14ac:dyDescent="0.3">
      <c r="A1276">
        <v>10624</v>
      </c>
      <c r="B1276" s="2">
        <v>45663</v>
      </c>
      <c r="C1276" t="s">
        <v>49</v>
      </c>
      <c r="D1276" t="s">
        <v>32</v>
      </c>
      <c r="E1276" t="s">
        <v>107</v>
      </c>
      <c r="F1276" t="s">
        <v>41</v>
      </c>
      <c r="G1276" t="s">
        <v>60</v>
      </c>
      <c r="H1276" t="s">
        <v>85</v>
      </c>
      <c r="I1276" t="s">
        <v>293</v>
      </c>
      <c r="J1276">
        <v>1039</v>
      </c>
      <c r="K1276">
        <v>14</v>
      </c>
      <c r="L1276" t="s">
        <v>57</v>
      </c>
      <c r="M1276">
        <v>60</v>
      </c>
      <c r="N1276">
        <v>50.6</v>
      </c>
      <c r="O1276">
        <v>67.400000000000006</v>
      </c>
      <c r="P1276">
        <v>4.38</v>
      </c>
      <c r="Q1276">
        <v>3.18</v>
      </c>
      <c r="R1276" t="s">
        <v>232</v>
      </c>
      <c r="S1276" t="s">
        <v>47</v>
      </c>
      <c r="T1276" t="s">
        <v>30</v>
      </c>
    </row>
    <row r="1277" spans="1:20" x14ac:dyDescent="0.3">
      <c r="A1277">
        <v>10346</v>
      </c>
      <c r="B1277" s="2">
        <v>45771</v>
      </c>
      <c r="C1277" t="s">
        <v>31</v>
      </c>
      <c r="D1277" t="s">
        <v>59</v>
      </c>
      <c r="E1277" t="s">
        <v>107</v>
      </c>
      <c r="F1277" t="s">
        <v>23</v>
      </c>
      <c r="G1277" t="s">
        <v>34</v>
      </c>
      <c r="H1277" t="s">
        <v>190</v>
      </c>
      <c r="I1277" t="s">
        <v>283</v>
      </c>
      <c r="J1277">
        <v>1048</v>
      </c>
      <c r="K1277">
        <v>4</v>
      </c>
      <c r="L1277" t="s">
        <v>27</v>
      </c>
      <c r="M1277">
        <v>170</v>
      </c>
      <c r="N1277">
        <v>50.2</v>
      </c>
      <c r="O1277">
        <v>76.2</v>
      </c>
      <c r="P1277">
        <v>3.46</v>
      </c>
      <c r="Q1277">
        <v>2.2200000000000002</v>
      </c>
      <c r="R1277" t="s">
        <v>152</v>
      </c>
      <c r="S1277" t="s">
        <v>73</v>
      </c>
      <c r="T1277" t="s">
        <v>30</v>
      </c>
    </row>
    <row r="1278" spans="1:20" x14ac:dyDescent="0.3">
      <c r="A1278">
        <v>11299</v>
      </c>
      <c r="B1278" s="2">
        <v>45883</v>
      </c>
      <c r="C1278" t="s">
        <v>31</v>
      </c>
      <c r="D1278" t="s">
        <v>21</v>
      </c>
      <c r="E1278" t="s">
        <v>40</v>
      </c>
      <c r="F1278" t="s">
        <v>41</v>
      </c>
      <c r="G1278" t="s">
        <v>109</v>
      </c>
      <c r="H1278" t="s">
        <v>278</v>
      </c>
      <c r="I1278" t="s">
        <v>254</v>
      </c>
      <c r="J1278">
        <v>504</v>
      </c>
      <c r="K1278">
        <v>7</v>
      </c>
      <c r="L1278" t="s">
        <v>71</v>
      </c>
      <c r="M1278">
        <v>79</v>
      </c>
      <c r="N1278">
        <v>46.6</v>
      </c>
      <c r="O1278">
        <v>64.400000000000006</v>
      </c>
      <c r="P1278">
        <v>5.17</v>
      </c>
      <c r="Q1278">
        <v>1.97</v>
      </c>
      <c r="R1278" t="s">
        <v>164</v>
      </c>
      <c r="S1278" t="s">
        <v>39</v>
      </c>
      <c r="T1278" t="s">
        <v>30</v>
      </c>
    </row>
    <row r="1279" spans="1:20" x14ac:dyDescent="0.3">
      <c r="A1279">
        <v>10263</v>
      </c>
      <c r="B1279" s="2">
        <v>45894</v>
      </c>
      <c r="C1279" t="s">
        <v>31</v>
      </c>
      <c r="D1279" t="s">
        <v>32</v>
      </c>
      <c r="E1279" t="s">
        <v>22</v>
      </c>
      <c r="F1279" t="s">
        <v>41</v>
      </c>
      <c r="G1279" t="s">
        <v>74</v>
      </c>
      <c r="H1279" t="s">
        <v>116</v>
      </c>
      <c r="I1279" t="s">
        <v>356</v>
      </c>
      <c r="J1279">
        <v>1118</v>
      </c>
      <c r="K1279">
        <v>36</v>
      </c>
      <c r="L1279" t="s">
        <v>57</v>
      </c>
      <c r="M1279">
        <v>91</v>
      </c>
      <c r="N1279">
        <v>44.4</v>
      </c>
      <c r="O1279">
        <v>69.3</v>
      </c>
      <c r="P1279">
        <v>4.12</v>
      </c>
      <c r="Q1279">
        <v>3.03</v>
      </c>
      <c r="R1279" t="s">
        <v>77</v>
      </c>
      <c r="S1279" t="s">
        <v>73</v>
      </c>
      <c r="T1279" t="s">
        <v>48</v>
      </c>
    </row>
    <row r="1280" spans="1:20" x14ac:dyDescent="0.3">
      <c r="A1280">
        <v>10151</v>
      </c>
      <c r="B1280" s="2">
        <v>45931</v>
      </c>
      <c r="C1280" t="s">
        <v>31</v>
      </c>
      <c r="D1280" t="s">
        <v>21</v>
      </c>
      <c r="E1280" t="s">
        <v>33</v>
      </c>
      <c r="F1280" t="s">
        <v>41</v>
      </c>
      <c r="G1280" t="s">
        <v>109</v>
      </c>
      <c r="H1280" t="s">
        <v>25</v>
      </c>
      <c r="I1280" t="s">
        <v>284</v>
      </c>
      <c r="J1280">
        <v>1573</v>
      </c>
      <c r="K1280">
        <v>17</v>
      </c>
      <c r="L1280" t="s">
        <v>68</v>
      </c>
      <c r="M1280">
        <v>69</v>
      </c>
      <c r="N1280">
        <v>39.700000000000003</v>
      </c>
      <c r="O1280">
        <v>76.8</v>
      </c>
      <c r="P1280">
        <v>4.76</v>
      </c>
      <c r="Q1280">
        <v>2.62</v>
      </c>
      <c r="R1280" t="s">
        <v>179</v>
      </c>
      <c r="T1280" t="s">
        <v>30</v>
      </c>
    </row>
    <row r="1281" spans="1:20" x14ac:dyDescent="0.3">
      <c r="A1281">
        <v>10473</v>
      </c>
      <c r="B1281" s="2">
        <v>45791</v>
      </c>
      <c r="C1281" t="s">
        <v>31</v>
      </c>
      <c r="D1281" t="s">
        <v>64</v>
      </c>
      <c r="E1281" t="s">
        <v>22</v>
      </c>
      <c r="F1281" t="s">
        <v>23</v>
      </c>
      <c r="G1281" t="s">
        <v>54</v>
      </c>
      <c r="H1281" t="s">
        <v>165</v>
      </c>
      <c r="I1281" t="s">
        <v>204</v>
      </c>
      <c r="J1281">
        <v>887</v>
      </c>
      <c r="K1281">
        <v>13</v>
      </c>
      <c r="L1281" t="s">
        <v>68</v>
      </c>
      <c r="M1281">
        <v>133</v>
      </c>
      <c r="N1281">
        <v>47.1</v>
      </c>
      <c r="O1281">
        <v>78.099999999999994</v>
      </c>
      <c r="P1281">
        <v>4.46</v>
      </c>
      <c r="Q1281">
        <v>2.25</v>
      </c>
      <c r="R1281" t="s">
        <v>232</v>
      </c>
      <c r="S1281" t="s">
        <v>39</v>
      </c>
      <c r="T1281" t="s">
        <v>30</v>
      </c>
    </row>
    <row r="1282" spans="1:20" x14ac:dyDescent="0.3">
      <c r="A1282">
        <v>10641</v>
      </c>
      <c r="B1282" s="2">
        <v>45973</v>
      </c>
      <c r="C1282" t="s">
        <v>20</v>
      </c>
      <c r="D1282" t="s">
        <v>32</v>
      </c>
      <c r="E1282" t="s">
        <v>22</v>
      </c>
      <c r="F1282" t="s">
        <v>41</v>
      </c>
      <c r="G1282" t="s">
        <v>24</v>
      </c>
      <c r="H1282" t="s">
        <v>99</v>
      </c>
      <c r="I1282" t="s">
        <v>255</v>
      </c>
      <c r="J1282">
        <v>1080</v>
      </c>
      <c r="K1282">
        <v>11</v>
      </c>
      <c r="L1282" t="s">
        <v>57</v>
      </c>
      <c r="M1282">
        <v>83</v>
      </c>
      <c r="N1282">
        <v>29.2</v>
      </c>
      <c r="O1282">
        <v>65.5</v>
      </c>
      <c r="P1282">
        <v>4.92</v>
      </c>
      <c r="Q1282">
        <v>2.06</v>
      </c>
      <c r="R1282" t="s">
        <v>209</v>
      </c>
      <c r="S1282" t="s">
        <v>39</v>
      </c>
      <c r="T1282" t="s">
        <v>30</v>
      </c>
    </row>
    <row r="1283" spans="1:20" x14ac:dyDescent="0.3">
      <c r="A1283">
        <v>11497</v>
      </c>
      <c r="B1283" s="2">
        <v>45690</v>
      </c>
      <c r="C1283" t="s">
        <v>49</v>
      </c>
      <c r="D1283" t="s">
        <v>64</v>
      </c>
      <c r="E1283" t="s">
        <v>107</v>
      </c>
      <c r="F1283" t="s">
        <v>41</v>
      </c>
      <c r="G1283" t="s">
        <v>34</v>
      </c>
      <c r="H1283" t="s">
        <v>172</v>
      </c>
      <c r="I1283" t="s">
        <v>117</v>
      </c>
      <c r="J1283">
        <v>812</v>
      </c>
      <c r="K1283">
        <v>9</v>
      </c>
      <c r="L1283" t="s">
        <v>68</v>
      </c>
      <c r="M1283">
        <v>29</v>
      </c>
      <c r="N1283">
        <v>34.4</v>
      </c>
      <c r="O1283">
        <v>71.900000000000006</v>
      </c>
      <c r="P1283">
        <v>4.99</v>
      </c>
      <c r="Q1283">
        <v>2.91</v>
      </c>
      <c r="R1283" t="s">
        <v>155</v>
      </c>
      <c r="S1283" t="s">
        <v>73</v>
      </c>
      <c r="T1283" t="s">
        <v>30</v>
      </c>
    </row>
    <row r="1284" spans="1:20" x14ac:dyDescent="0.3">
      <c r="A1284">
        <v>11423</v>
      </c>
      <c r="B1284" s="2">
        <v>45882</v>
      </c>
      <c r="C1284" t="s">
        <v>199</v>
      </c>
      <c r="D1284" t="s">
        <v>32</v>
      </c>
      <c r="E1284" t="s">
        <v>33</v>
      </c>
      <c r="F1284" t="s">
        <v>23</v>
      </c>
      <c r="G1284" t="s">
        <v>24</v>
      </c>
      <c r="H1284" t="s">
        <v>265</v>
      </c>
      <c r="I1284" t="s">
        <v>366</v>
      </c>
      <c r="J1284">
        <v>726</v>
      </c>
      <c r="K1284">
        <v>4</v>
      </c>
      <c r="L1284" t="s">
        <v>27</v>
      </c>
      <c r="M1284">
        <v>81</v>
      </c>
      <c r="N1284">
        <v>42.9</v>
      </c>
      <c r="O1284">
        <v>64.599999999999994</v>
      </c>
      <c r="P1284">
        <v>4.32</v>
      </c>
      <c r="Q1284">
        <v>2.0499999999999998</v>
      </c>
      <c r="R1284" t="s">
        <v>128</v>
      </c>
      <c r="S1284" t="s">
        <v>73</v>
      </c>
      <c r="T1284" t="s">
        <v>30</v>
      </c>
    </row>
    <row r="1285" spans="1:20" x14ac:dyDescent="0.3">
      <c r="A1285">
        <v>10551</v>
      </c>
      <c r="B1285" s="2">
        <v>45792</v>
      </c>
      <c r="C1285" t="s">
        <v>49</v>
      </c>
      <c r="D1285" t="s">
        <v>64</v>
      </c>
      <c r="E1285" t="s">
        <v>107</v>
      </c>
      <c r="F1285" t="s">
        <v>98</v>
      </c>
      <c r="G1285" t="s">
        <v>24</v>
      </c>
      <c r="H1285" t="s">
        <v>120</v>
      </c>
      <c r="I1285" t="s">
        <v>344</v>
      </c>
      <c r="J1285">
        <v>671</v>
      </c>
      <c r="K1285">
        <v>10</v>
      </c>
      <c r="L1285" t="s">
        <v>71</v>
      </c>
      <c r="M1285">
        <v>76</v>
      </c>
      <c r="N1285">
        <v>40.299999999999997</v>
      </c>
      <c r="O1285">
        <v>68.099999999999994</v>
      </c>
      <c r="Q1285">
        <v>3.31</v>
      </c>
      <c r="R1285" t="s">
        <v>195</v>
      </c>
      <c r="S1285" t="s">
        <v>39</v>
      </c>
      <c r="T1285" t="s">
        <v>30</v>
      </c>
    </row>
    <row r="1286" spans="1:20" x14ac:dyDescent="0.3">
      <c r="A1286">
        <v>10929</v>
      </c>
      <c r="B1286" s="2">
        <v>45905</v>
      </c>
      <c r="C1286" t="s">
        <v>49</v>
      </c>
      <c r="D1286" t="s">
        <v>21</v>
      </c>
      <c r="E1286" t="s">
        <v>33</v>
      </c>
      <c r="F1286" t="s">
        <v>23</v>
      </c>
      <c r="G1286" t="s">
        <v>60</v>
      </c>
      <c r="H1286" t="s">
        <v>200</v>
      </c>
      <c r="I1286" t="s">
        <v>282</v>
      </c>
      <c r="J1286">
        <v>979</v>
      </c>
      <c r="K1286">
        <v>10</v>
      </c>
      <c r="L1286" t="s">
        <v>45</v>
      </c>
      <c r="M1286">
        <v>9</v>
      </c>
      <c r="N1286">
        <v>43.9</v>
      </c>
      <c r="O1286">
        <v>55.8</v>
      </c>
      <c r="P1286">
        <v>5.62</v>
      </c>
      <c r="Q1286">
        <v>3.07</v>
      </c>
      <c r="R1286" t="s">
        <v>122</v>
      </c>
      <c r="S1286" t="s">
        <v>39</v>
      </c>
      <c r="T1286" t="s">
        <v>30</v>
      </c>
    </row>
    <row r="1287" spans="1:20" x14ac:dyDescent="0.3">
      <c r="A1287">
        <v>10489</v>
      </c>
      <c r="B1287" s="2">
        <v>45871</v>
      </c>
      <c r="C1287" t="s">
        <v>20</v>
      </c>
      <c r="D1287" t="s">
        <v>64</v>
      </c>
      <c r="E1287" t="s">
        <v>40</v>
      </c>
      <c r="F1287" t="s">
        <v>65</v>
      </c>
      <c r="G1287" t="s">
        <v>74</v>
      </c>
      <c r="H1287" t="s">
        <v>55</v>
      </c>
      <c r="I1287" t="s">
        <v>379</v>
      </c>
      <c r="J1287">
        <v>1161</v>
      </c>
      <c r="K1287">
        <v>34</v>
      </c>
      <c r="L1287" t="s">
        <v>57</v>
      </c>
      <c r="M1287">
        <v>172</v>
      </c>
      <c r="N1287">
        <v>42.7</v>
      </c>
      <c r="O1287">
        <v>90.1</v>
      </c>
      <c r="P1287">
        <v>5.84</v>
      </c>
      <c r="Q1287">
        <v>3.38</v>
      </c>
      <c r="R1287" t="s">
        <v>130</v>
      </c>
      <c r="S1287" t="s">
        <v>29</v>
      </c>
      <c r="T1287" t="s">
        <v>30</v>
      </c>
    </row>
    <row r="1288" spans="1:20" x14ac:dyDescent="0.3">
      <c r="A1288">
        <v>11369</v>
      </c>
      <c r="B1288" s="2">
        <v>45730</v>
      </c>
      <c r="C1288" t="s">
        <v>31</v>
      </c>
      <c r="D1288" t="s">
        <v>64</v>
      </c>
      <c r="E1288" t="s">
        <v>22</v>
      </c>
      <c r="F1288" t="s">
        <v>41</v>
      </c>
      <c r="G1288" t="s">
        <v>42</v>
      </c>
      <c r="H1288" t="s">
        <v>85</v>
      </c>
      <c r="I1288" t="s">
        <v>70</v>
      </c>
      <c r="J1288">
        <v>476</v>
      </c>
      <c r="K1288">
        <v>2</v>
      </c>
      <c r="L1288" t="s">
        <v>57</v>
      </c>
      <c r="M1288">
        <v>138</v>
      </c>
      <c r="N1288">
        <v>45.9</v>
      </c>
      <c r="O1288">
        <v>78.900000000000006</v>
      </c>
      <c r="P1288">
        <v>4.62</v>
      </c>
      <c r="Q1288">
        <v>3.13</v>
      </c>
      <c r="R1288" t="s">
        <v>125</v>
      </c>
      <c r="S1288" t="s">
        <v>39</v>
      </c>
      <c r="T1288" t="s">
        <v>30</v>
      </c>
    </row>
    <row r="1289" spans="1:20" x14ac:dyDescent="0.3">
      <c r="A1289">
        <v>11172</v>
      </c>
      <c r="B1289" s="2">
        <v>45771</v>
      </c>
      <c r="C1289" t="s">
        <v>49</v>
      </c>
      <c r="D1289" t="s">
        <v>21</v>
      </c>
      <c r="E1289" t="s">
        <v>107</v>
      </c>
      <c r="F1289" t="s">
        <v>81</v>
      </c>
      <c r="G1289" t="s">
        <v>24</v>
      </c>
      <c r="H1289" t="s">
        <v>172</v>
      </c>
      <c r="I1289" t="s">
        <v>334</v>
      </c>
      <c r="J1289">
        <v>1006</v>
      </c>
      <c r="K1289">
        <v>15</v>
      </c>
      <c r="L1289" t="s">
        <v>68</v>
      </c>
      <c r="M1289">
        <v>161</v>
      </c>
      <c r="N1289">
        <v>49</v>
      </c>
      <c r="O1289">
        <v>71.5</v>
      </c>
      <c r="P1289">
        <v>5.8</v>
      </c>
      <c r="Q1289">
        <v>2.06</v>
      </c>
      <c r="R1289" t="s">
        <v>240</v>
      </c>
      <c r="S1289" t="s">
        <v>39</v>
      </c>
      <c r="T1289" t="s">
        <v>30</v>
      </c>
    </row>
    <row r="1290" spans="1:20" x14ac:dyDescent="0.3">
      <c r="A1290">
        <v>10147</v>
      </c>
      <c r="B1290" s="2">
        <v>45947</v>
      </c>
      <c r="C1290" t="s">
        <v>49</v>
      </c>
      <c r="D1290" t="s">
        <v>21</v>
      </c>
      <c r="E1290" t="s">
        <v>33</v>
      </c>
      <c r="F1290" t="s">
        <v>41</v>
      </c>
      <c r="G1290" t="s">
        <v>24</v>
      </c>
      <c r="H1290" t="s">
        <v>265</v>
      </c>
      <c r="I1290" t="s">
        <v>117</v>
      </c>
      <c r="J1290">
        <v>709</v>
      </c>
      <c r="K1290">
        <v>3</v>
      </c>
      <c r="L1290" t="s">
        <v>57</v>
      </c>
      <c r="M1290">
        <v>83</v>
      </c>
      <c r="N1290">
        <v>46.9</v>
      </c>
      <c r="O1290">
        <v>79.400000000000006</v>
      </c>
      <c r="P1290">
        <v>5.91</v>
      </c>
      <c r="Q1290">
        <v>3.03</v>
      </c>
      <c r="R1290" t="s">
        <v>119</v>
      </c>
      <c r="S1290" t="s">
        <v>29</v>
      </c>
      <c r="T1290" t="s">
        <v>30</v>
      </c>
    </row>
    <row r="1291" spans="1:20" x14ac:dyDescent="0.3">
      <c r="A1291">
        <v>10403</v>
      </c>
      <c r="B1291" s="2">
        <v>45820</v>
      </c>
      <c r="C1291" t="s">
        <v>31</v>
      </c>
      <c r="D1291" t="s">
        <v>21</v>
      </c>
      <c r="E1291" t="s">
        <v>107</v>
      </c>
      <c r="F1291" t="s">
        <v>23</v>
      </c>
      <c r="G1291" t="s">
        <v>109</v>
      </c>
      <c r="H1291" t="s">
        <v>175</v>
      </c>
      <c r="I1291" t="s">
        <v>302</v>
      </c>
      <c r="J1291">
        <v>1147</v>
      </c>
      <c r="K1291">
        <v>16</v>
      </c>
      <c r="L1291" t="s">
        <v>45</v>
      </c>
      <c r="M1291">
        <v>87</v>
      </c>
      <c r="N1291">
        <v>39.799999999999997</v>
      </c>
      <c r="O1291">
        <v>76.3</v>
      </c>
      <c r="P1291">
        <v>5.26</v>
      </c>
      <c r="Q1291">
        <v>4.25</v>
      </c>
      <c r="R1291" t="s">
        <v>122</v>
      </c>
      <c r="S1291" t="s">
        <v>29</v>
      </c>
      <c r="T1291" t="s">
        <v>30</v>
      </c>
    </row>
    <row r="1292" spans="1:20" x14ac:dyDescent="0.3">
      <c r="A1292">
        <v>10955</v>
      </c>
      <c r="B1292" s="2">
        <v>45688</v>
      </c>
      <c r="C1292" t="s">
        <v>49</v>
      </c>
      <c r="D1292" t="s">
        <v>64</v>
      </c>
      <c r="E1292" t="s">
        <v>33</v>
      </c>
      <c r="F1292" t="s">
        <v>81</v>
      </c>
      <c r="G1292" t="s">
        <v>34</v>
      </c>
      <c r="H1292" t="s">
        <v>351</v>
      </c>
      <c r="I1292" t="s">
        <v>362</v>
      </c>
      <c r="J1292">
        <v>1473</v>
      </c>
      <c r="K1292">
        <v>19</v>
      </c>
      <c r="L1292" t="s">
        <v>68</v>
      </c>
      <c r="M1292">
        <v>82</v>
      </c>
      <c r="N1292">
        <v>45.3</v>
      </c>
      <c r="O1292">
        <v>82.2</v>
      </c>
      <c r="P1292">
        <v>4.92</v>
      </c>
      <c r="Q1292">
        <v>2.09</v>
      </c>
      <c r="R1292" t="s">
        <v>179</v>
      </c>
      <c r="S1292" t="s">
        <v>39</v>
      </c>
      <c r="T1292" t="s">
        <v>30</v>
      </c>
    </row>
    <row r="1293" spans="1:20" x14ac:dyDescent="0.3">
      <c r="A1293">
        <v>11418</v>
      </c>
      <c r="B1293" s="2">
        <v>45797</v>
      </c>
      <c r="C1293" t="s">
        <v>20</v>
      </c>
      <c r="D1293" t="s">
        <v>64</v>
      </c>
      <c r="E1293" t="s">
        <v>40</v>
      </c>
      <c r="F1293" t="s">
        <v>41</v>
      </c>
      <c r="G1293" t="s">
        <v>74</v>
      </c>
      <c r="H1293" t="s">
        <v>51</v>
      </c>
      <c r="I1293" t="s">
        <v>319</v>
      </c>
      <c r="J1293">
        <v>461</v>
      </c>
      <c r="K1293">
        <v>5</v>
      </c>
      <c r="L1293" t="s">
        <v>45</v>
      </c>
      <c r="M1293">
        <v>179</v>
      </c>
      <c r="N1293">
        <v>40.4</v>
      </c>
      <c r="O1293">
        <v>70.3</v>
      </c>
      <c r="P1293">
        <v>4</v>
      </c>
      <c r="Q1293">
        <v>3.87</v>
      </c>
      <c r="R1293" t="s">
        <v>147</v>
      </c>
      <c r="S1293" t="s">
        <v>73</v>
      </c>
      <c r="T1293" t="s">
        <v>30</v>
      </c>
    </row>
    <row r="1294" spans="1:20" x14ac:dyDescent="0.3">
      <c r="A1294">
        <v>10660</v>
      </c>
      <c r="B1294" s="2">
        <v>45802</v>
      </c>
      <c r="C1294" t="s">
        <v>49</v>
      </c>
      <c r="D1294" t="s">
        <v>21</v>
      </c>
      <c r="E1294" t="s">
        <v>40</v>
      </c>
      <c r="F1294" t="s">
        <v>23</v>
      </c>
      <c r="G1294" t="s">
        <v>89</v>
      </c>
      <c r="H1294" t="s">
        <v>69</v>
      </c>
      <c r="I1294" t="s">
        <v>208</v>
      </c>
      <c r="J1294">
        <v>1207</v>
      </c>
      <c r="K1294">
        <v>15</v>
      </c>
      <c r="L1294" t="s">
        <v>71</v>
      </c>
      <c r="M1294">
        <v>84</v>
      </c>
      <c r="N1294">
        <v>40</v>
      </c>
      <c r="O1294">
        <v>68.599999999999994</v>
      </c>
      <c r="P1294">
        <v>4.6100000000000003</v>
      </c>
      <c r="Q1294">
        <v>2.38</v>
      </c>
      <c r="R1294" t="s">
        <v>128</v>
      </c>
      <c r="S1294" t="s">
        <v>73</v>
      </c>
      <c r="T1294" t="s">
        <v>30</v>
      </c>
    </row>
    <row r="1295" spans="1:20" x14ac:dyDescent="0.3">
      <c r="A1295">
        <v>10464</v>
      </c>
      <c r="B1295" s="2">
        <v>45879</v>
      </c>
      <c r="C1295" t="s">
        <v>49</v>
      </c>
      <c r="D1295" t="s">
        <v>59</v>
      </c>
      <c r="E1295" t="s">
        <v>107</v>
      </c>
      <c r="F1295" t="s">
        <v>98</v>
      </c>
      <c r="G1295" t="s">
        <v>60</v>
      </c>
      <c r="H1295" t="s">
        <v>192</v>
      </c>
      <c r="I1295" t="s">
        <v>104</v>
      </c>
      <c r="J1295">
        <v>1348</v>
      </c>
      <c r="K1295">
        <v>40</v>
      </c>
      <c r="L1295" t="s">
        <v>68</v>
      </c>
      <c r="M1295">
        <v>21</v>
      </c>
      <c r="N1295">
        <v>42.3</v>
      </c>
      <c r="O1295">
        <v>73.7</v>
      </c>
      <c r="P1295">
        <v>5.65</v>
      </c>
      <c r="Q1295">
        <v>2.0299999999999998</v>
      </c>
      <c r="R1295" t="s">
        <v>128</v>
      </c>
      <c r="S1295" t="s">
        <v>39</v>
      </c>
      <c r="T1295" t="s">
        <v>30</v>
      </c>
    </row>
    <row r="1296" spans="1:20" x14ac:dyDescent="0.3">
      <c r="A1296">
        <v>10187</v>
      </c>
      <c r="B1296" s="2">
        <v>45719</v>
      </c>
      <c r="C1296" t="s">
        <v>31</v>
      </c>
      <c r="D1296" t="s">
        <v>21</v>
      </c>
      <c r="E1296" t="s">
        <v>107</v>
      </c>
      <c r="F1296" t="s">
        <v>23</v>
      </c>
      <c r="G1296" t="s">
        <v>113</v>
      </c>
      <c r="H1296" t="s">
        <v>177</v>
      </c>
      <c r="I1296" t="s">
        <v>233</v>
      </c>
      <c r="J1296">
        <v>670</v>
      </c>
      <c r="K1296">
        <v>6</v>
      </c>
      <c r="L1296" t="s">
        <v>71</v>
      </c>
      <c r="M1296">
        <v>162</v>
      </c>
      <c r="N1296">
        <v>46.6</v>
      </c>
      <c r="O1296">
        <v>62.9</v>
      </c>
      <c r="P1296">
        <v>5.04</v>
      </c>
      <c r="Q1296">
        <v>2.79</v>
      </c>
      <c r="R1296" t="s">
        <v>147</v>
      </c>
      <c r="S1296" t="s">
        <v>73</v>
      </c>
      <c r="T1296" t="s">
        <v>30</v>
      </c>
    </row>
    <row r="1297" spans="1:20" x14ac:dyDescent="0.3">
      <c r="A1297">
        <v>11148</v>
      </c>
      <c r="B1297" s="2">
        <v>45693</v>
      </c>
      <c r="C1297" t="s">
        <v>31</v>
      </c>
      <c r="D1297" t="s">
        <v>64</v>
      </c>
      <c r="E1297" t="s">
        <v>40</v>
      </c>
      <c r="F1297" t="s">
        <v>23</v>
      </c>
      <c r="G1297" t="s">
        <v>60</v>
      </c>
      <c r="H1297" t="s">
        <v>69</v>
      </c>
      <c r="I1297" t="s">
        <v>388</v>
      </c>
      <c r="J1297">
        <v>698</v>
      </c>
      <c r="K1297">
        <v>7</v>
      </c>
      <c r="L1297" t="s">
        <v>71</v>
      </c>
      <c r="M1297">
        <v>40</v>
      </c>
      <c r="N1297">
        <v>37.1</v>
      </c>
      <c r="O1297">
        <v>65.3</v>
      </c>
      <c r="P1297">
        <v>5.56</v>
      </c>
      <c r="Q1297">
        <v>2.4700000000000002</v>
      </c>
      <c r="R1297" t="s">
        <v>184</v>
      </c>
      <c r="S1297" t="s">
        <v>47</v>
      </c>
      <c r="T1297" t="s">
        <v>30</v>
      </c>
    </row>
    <row r="1298" spans="1:20" x14ac:dyDescent="0.3">
      <c r="A1298">
        <v>11225</v>
      </c>
      <c r="B1298" s="2">
        <v>45819</v>
      </c>
      <c r="C1298" t="s">
        <v>49</v>
      </c>
      <c r="D1298" t="s">
        <v>21</v>
      </c>
      <c r="E1298" t="s">
        <v>40</v>
      </c>
      <c r="F1298" t="s">
        <v>23</v>
      </c>
      <c r="G1298" t="s">
        <v>60</v>
      </c>
      <c r="H1298" t="s">
        <v>265</v>
      </c>
      <c r="I1298" t="s">
        <v>356</v>
      </c>
      <c r="J1298">
        <v>870</v>
      </c>
      <c r="K1298">
        <v>7</v>
      </c>
      <c r="L1298" t="s">
        <v>27</v>
      </c>
      <c r="M1298">
        <v>152</v>
      </c>
      <c r="N1298">
        <v>51.3</v>
      </c>
      <c r="O1298">
        <v>59.1</v>
      </c>
      <c r="P1298">
        <v>4.3099999999999996</v>
      </c>
      <c r="Q1298">
        <v>4.6900000000000004</v>
      </c>
      <c r="R1298" t="s">
        <v>72</v>
      </c>
      <c r="S1298" t="s">
        <v>29</v>
      </c>
      <c r="T1298" t="s">
        <v>30</v>
      </c>
    </row>
    <row r="1299" spans="1:20" x14ac:dyDescent="0.3">
      <c r="A1299">
        <v>10609</v>
      </c>
      <c r="B1299" s="2">
        <v>46009</v>
      </c>
      <c r="C1299" t="s">
        <v>31</v>
      </c>
      <c r="D1299" t="s">
        <v>32</v>
      </c>
      <c r="E1299" t="s">
        <v>107</v>
      </c>
      <c r="F1299" t="s">
        <v>23</v>
      </c>
      <c r="G1299" t="s">
        <v>134</v>
      </c>
      <c r="H1299" t="s">
        <v>51</v>
      </c>
      <c r="I1299" t="s">
        <v>258</v>
      </c>
      <c r="J1299">
        <v>838</v>
      </c>
      <c r="K1299">
        <v>3</v>
      </c>
      <c r="L1299" t="s">
        <v>57</v>
      </c>
      <c r="M1299">
        <v>21</v>
      </c>
      <c r="N1299">
        <v>51</v>
      </c>
      <c r="O1299">
        <v>69.8</v>
      </c>
      <c r="P1299">
        <v>4.75</v>
      </c>
      <c r="Q1299">
        <v>2.16</v>
      </c>
      <c r="R1299" t="s">
        <v>202</v>
      </c>
      <c r="S1299" t="s">
        <v>29</v>
      </c>
      <c r="T1299" t="s">
        <v>30</v>
      </c>
    </row>
    <row r="1300" spans="1:20" x14ac:dyDescent="0.3">
      <c r="A1300">
        <v>10144</v>
      </c>
      <c r="B1300" s="2">
        <v>45947</v>
      </c>
      <c r="C1300" t="s">
        <v>49</v>
      </c>
      <c r="D1300" t="s">
        <v>59</v>
      </c>
      <c r="E1300" t="s">
        <v>107</v>
      </c>
      <c r="F1300" t="s">
        <v>41</v>
      </c>
      <c r="G1300" t="s">
        <v>74</v>
      </c>
      <c r="H1300" t="s">
        <v>351</v>
      </c>
      <c r="I1300" t="s">
        <v>248</v>
      </c>
      <c r="J1300">
        <v>637</v>
      </c>
      <c r="K1300">
        <v>7</v>
      </c>
      <c r="L1300" t="s">
        <v>45</v>
      </c>
      <c r="M1300">
        <v>76</v>
      </c>
      <c r="N1300">
        <v>42.7</v>
      </c>
      <c r="O1300">
        <v>70.900000000000006</v>
      </c>
      <c r="P1300">
        <v>5.22</v>
      </c>
      <c r="Q1300">
        <v>3.47</v>
      </c>
      <c r="R1300" t="s">
        <v>227</v>
      </c>
      <c r="S1300" t="s">
        <v>29</v>
      </c>
      <c r="T1300" t="s">
        <v>30</v>
      </c>
    </row>
    <row r="1301" spans="1:20" x14ac:dyDescent="0.3">
      <c r="A1301">
        <v>10752</v>
      </c>
      <c r="B1301" s="2">
        <v>45907</v>
      </c>
      <c r="C1301" t="s">
        <v>20</v>
      </c>
      <c r="D1301" t="s">
        <v>59</v>
      </c>
      <c r="E1301" t="s">
        <v>40</v>
      </c>
      <c r="F1301" t="s">
        <v>41</v>
      </c>
      <c r="G1301" t="s">
        <v>74</v>
      </c>
      <c r="H1301" t="s">
        <v>169</v>
      </c>
      <c r="I1301" t="s">
        <v>268</v>
      </c>
      <c r="J1301">
        <v>1355</v>
      </c>
      <c r="K1301">
        <v>10</v>
      </c>
      <c r="L1301" t="s">
        <v>45</v>
      </c>
      <c r="M1301">
        <v>101</v>
      </c>
      <c r="N1301">
        <v>43</v>
      </c>
      <c r="O1301">
        <v>75.7</v>
      </c>
      <c r="P1301">
        <v>5.74</v>
      </c>
      <c r="Q1301">
        <v>3.88</v>
      </c>
      <c r="R1301" t="s">
        <v>92</v>
      </c>
      <c r="S1301" t="s">
        <v>73</v>
      </c>
      <c r="T1301" t="s">
        <v>30</v>
      </c>
    </row>
    <row r="1302" spans="1:20" x14ac:dyDescent="0.3">
      <c r="A1302">
        <v>10982</v>
      </c>
      <c r="B1302" s="2">
        <v>45709</v>
      </c>
      <c r="C1302" t="s">
        <v>20</v>
      </c>
      <c r="D1302" t="s">
        <v>64</v>
      </c>
      <c r="E1302" t="s">
        <v>33</v>
      </c>
      <c r="F1302" t="s">
        <v>41</v>
      </c>
      <c r="G1302" t="s">
        <v>89</v>
      </c>
      <c r="H1302" t="s">
        <v>141</v>
      </c>
      <c r="I1302" t="s">
        <v>225</v>
      </c>
      <c r="J1302">
        <v>1070</v>
      </c>
      <c r="K1302">
        <v>9</v>
      </c>
      <c r="L1302" t="s">
        <v>57</v>
      </c>
      <c r="M1302">
        <v>38</v>
      </c>
      <c r="N1302">
        <v>35.4</v>
      </c>
      <c r="O1302">
        <v>56.7</v>
      </c>
      <c r="P1302">
        <v>4.5999999999999996</v>
      </c>
      <c r="Q1302">
        <v>2.57</v>
      </c>
      <c r="R1302" t="s">
        <v>152</v>
      </c>
      <c r="S1302" t="s">
        <v>39</v>
      </c>
      <c r="T1302" t="s">
        <v>30</v>
      </c>
    </row>
    <row r="1303" spans="1:20" x14ac:dyDescent="0.3">
      <c r="A1303">
        <v>10198</v>
      </c>
      <c r="B1303" s="2">
        <v>45838</v>
      </c>
      <c r="C1303" t="s">
        <v>31</v>
      </c>
      <c r="D1303" t="s">
        <v>21</v>
      </c>
      <c r="E1303" t="s">
        <v>107</v>
      </c>
      <c r="F1303" t="s">
        <v>81</v>
      </c>
      <c r="G1303" t="s">
        <v>95</v>
      </c>
      <c r="H1303" t="s">
        <v>278</v>
      </c>
      <c r="I1303" t="s">
        <v>307</v>
      </c>
      <c r="J1303">
        <v>1279</v>
      </c>
      <c r="K1303">
        <v>12</v>
      </c>
      <c r="L1303" t="s">
        <v>71</v>
      </c>
      <c r="M1303">
        <v>123</v>
      </c>
      <c r="N1303">
        <v>46.1</v>
      </c>
      <c r="O1303">
        <v>73.3</v>
      </c>
      <c r="P1303">
        <v>4.84</v>
      </c>
      <c r="Q1303">
        <v>3.16</v>
      </c>
      <c r="R1303" t="s">
        <v>209</v>
      </c>
      <c r="S1303" t="s">
        <v>73</v>
      </c>
      <c r="T1303" t="s">
        <v>30</v>
      </c>
    </row>
    <row r="1304" spans="1:20" x14ac:dyDescent="0.3">
      <c r="A1304">
        <v>10884</v>
      </c>
      <c r="B1304" s="2">
        <v>45816</v>
      </c>
      <c r="C1304" t="s">
        <v>20</v>
      </c>
      <c r="D1304" t="s">
        <v>32</v>
      </c>
      <c r="E1304" t="s">
        <v>22</v>
      </c>
      <c r="F1304" t="s">
        <v>81</v>
      </c>
      <c r="G1304" t="s">
        <v>95</v>
      </c>
      <c r="H1304" t="s">
        <v>141</v>
      </c>
      <c r="I1304" t="s">
        <v>269</v>
      </c>
      <c r="J1304">
        <v>1568</v>
      </c>
      <c r="K1304">
        <v>22</v>
      </c>
      <c r="L1304" t="s">
        <v>57</v>
      </c>
      <c r="M1304">
        <v>61</v>
      </c>
      <c r="N1304">
        <v>54.7</v>
      </c>
      <c r="O1304">
        <v>61.7</v>
      </c>
      <c r="P1304">
        <v>5.4</v>
      </c>
      <c r="Q1304">
        <v>2.9</v>
      </c>
      <c r="R1304" t="s">
        <v>232</v>
      </c>
      <c r="S1304" t="s">
        <v>39</v>
      </c>
      <c r="T1304" t="s">
        <v>30</v>
      </c>
    </row>
    <row r="1305" spans="1:20" x14ac:dyDescent="0.3">
      <c r="A1305">
        <v>10280</v>
      </c>
      <c r="B1305" s="2">
        <v>45993</v>
      </c>
      <c r="C1305" t="s">
        <v>31</v>
      </c>
      <c r="D1305" t="s">
        <v>64</v>
      </c>
      <c r="E1305" t="s">
        <v>33</v>
      </c>
      <c r="F1305" t="s">
        <v>41</v>
      </c>
      <c r="G1305" t="s">
        <v>60</v>
      </c>
      <c r="H1305" t="s">
        <v>82</v>
      </c>
      <c r="I1305" t="s">
        <v>326</v>
      </c>
      <c r="J1305">
        <v>1591</v>
      </c>
      <c r="K1305">
        <v>17</v>
      </c>
      <c r="L1305" t="s">
        <v>68</v>
      </c>
      <c r="M1305">
        <v>165</v>
      </c>
      <c r="N1305">
        <v>41.2</v>
      </c>
      <c r="O1305">
        <v>85.3</v>
      </c>
      <c r="P1305">
        <v>4.49</v>
      </c>
      <c r="Q1305">
        <v>0.05</v>
      </c>
      <c r="R1305" t="s">
        <v>28</v>
      </c>
      <c r="S1305" t="s">
        <v>29</v>
      </c>
      <c r="T1305" t="s">
        <v>30</v>
      </c>
    </row>
    <row r="1306" spans="1:20" x14ac:dyDescent="0.3">
      <c r="A1306">
        <v>10294</v>
      </c>
      <c r="B1306" s="2">
        <v>45762</v>
      </c>
      <c r="C1306" t="s">
        <v>49</v>
      </c>
      <c r="D1306" t="s">
        <v>21</v>
      </c>
      <c r="E1306" t="s">
        <v>22</v>
      </c>
      <c r="F1306" t="s">
        <v>41</v>
      </c>
      <c r="G1306" t="s">
        <v>42</v>
      </c>
      <c r="H1306" t="s">
        <v>141</v>
      </c>
      <c r="I1306" t="s">
        <v>404</v>
      </c>
      <c r="J1306" t="s">
        <v>405</v>
      </c>
      <c r="K1306">
        <v>13</v>
      </c>
      <c r="L1306" t="s">
        <v>37</v>
      </c>
      <c r="M1306">
        <v>174</v>
      </c>
      <c r="N1306">
        <v>35.799999999999997</v>
      </c>
      <c r="O1306">
        <v>60.6</v>
      </c>
      <c r="P1306">
        <v>4.57</v>
      </c>
      <c r="Q1306">
        <v>3.17</v>
      </c>
      <c r="R1306" t="s">
        <v>140</v>
      </c>
      <c r="S1306" t="s">
        <v>47</v>
      </c>
      <c r="T1306" t="s">
        <v>30</v>
      </c>
    </row>
    <row r="1307" spans="1:20" x14ac:dyDescent="0.3">
      <c r="A1307">
        <v>11377</v>
      </c>
      <c r="B1307" s="2">
        <v>45746</v>
      </c>
      <c r="C1307" t="s">
        <v>20</v>
      </c>
      <c r="D1307" t="s">
        <v>32</v>
      </c>
      <c r="E1307" t="s">
        <v>107</v>
      </c>
      <c r="F1307" t="s">
        <v>41</v>
      </c>
      <c r="G1307" t="s">
        <v>89</v>
      </c>
      <c r="H1307" t="s">
        <v>120</v>
      </c>
      <c r="I1307" t="s">
        <v>241</v>
      </c>
      <c r="J1307">
        <v>1245</v>
      </c>
      <c r="K1307">
        <v>30</v>
      </c>
      <c r="M1307">
        <v>11</v>
      </c>
      <c r="N1307">
        <v>41.2</v>
      </c>
      <c r="O1307">
        <v>81.3</v>
      </c>
      <c r="P1307">
        <v>4.88</v>
      </c>
      <c r="Q1307">
        <v>1.07</v>
      </c>
      <c r="R1307" t="s">
        <v>122</v>
      </c>
      <c r="S1307" t="s">
        <v>73</v>
      </c>
      <c r="T1307" t="s">
        <v>30</v>
      </c>
    </row>
    <row r="1308" spans="1:20" x14ac:dyDescent="0.3">
      <c r="A1308">
        <v>10401</v>
      </c>
      <c r="B1308" s="2">
        <v>45965</v>
      </c>
      <c r="C1308" t="s">
        <v>291</v>
      </c>
      <c r="D1308" t="s">
        <v>21</v>
      </c>
      <c r="E1308" t="s">
        <v>107</v>
      </c>
      <c r="F1308" t="s">
        <v>81</v>
      </c>
      <c r="G1308" t="s">
        <v>24</v>
      </c>
      <c r="H1308" t="s">
        <v>75</v>
      </c>
      <c r="I1308" t="s">
        <v>331</v>
      </c>
      <c r="J1308">
        <v>702</v>
      </c>
      <c r="K1308">
        <v>5</v>
      </c>
      <c r="L1308" t="s">
        <v>27</v>
      </c>
      <c r="M1308">
        <v>129</v>
      </c>
      <c r="N1308">
        <v>48</v>
      </c>
      <c r="O1308">
        <v>73.2</v>
      </c>
      <c r="P1308">
        <v>5.28</v>
      </c>
      <c r="Q1308">
        <v>1.65</v>
      </c>
      <c r="R1308" t="s">
        <v>119</v>
      </c>
      <c r="S1308" t="s">
        <v>39</v>
      </c>
      <c r="T1308" t="s">
        <v>30</v>
      </c>
    </row>
    <row r="1309" spans="1:20" x14ac:dyDescent="0.3">
      <c r="A1309">
        <v>10123</v>
      </c>
      <c r="B1309" s="2">
        <v>45858</v>
      </c>
      <c r="C1309" t="s">
        <v>20</v>
      </c>
      <c r="D1309" t="s">
        <v>21</v>
      </c>
      <c r="E1309" t="s">
        <v>40</v>
      </c>
      <c r="F1309" t="s">
        <v>23</v>
      </c>
      <c r="G1309" t="s">
        <v>95</v>
      </c>
      <c r="H1309" t="s">
        <v>190</v>
      </c>
      <c r="I1309" t="s">
        <v>218</v>
      </c>
      <c r="J1309">
        <v>1342</v>
      </c>
      <c r="K1309">
        <v>14</v>
      </c>
      <c r="M1309">
        <v>157</v>
      </c>
      <c r="N1309">
        <v>37.799999999999997</v>
      </c>
      <c r="O1309">
        <v>62.3</v>
      </c>
      <c r="P1309">
        <v>6.37</v>
      </c>
      <c r="Q1309">
        <v>2.23</v>
      </c>
      <c r="R1309" t="s">
        <v>77</v>
      </c>
      <c r="S1309" t="s">
        <v>47</v>
      </c>
      <c r="T1309" t="s">
        <v>30</v>
      </c>
    </row>
    <row r="1310" spans="1:20" x14ac:dyDescent="0.3">
      <c r="A1310">
        <v>11208</v>
      </c>
      <c r="B1310" s="2">
        <v>46011</v>
      </c>
      <c r="C1310" t="s">
        <v>49</v>
      </c>
      <c r="D1310" t="s">
        <v>21</v>
      </c>
      <c r="E1310" t="s">
        <v>33</v>
      </c>
      <c r="F1310" t="s">
        <v>41</v>
      </c>
      <c r="G1310" t="s">
        <v>34</v>
      </c>
      <c r="H1310" t="s">
        <v>126</v>
      </c>
      <c r="I1310" t="s">
        <v>270</v>
      </c>
      <c r="J1310">
        <v>806</v>
      </c>
      <c r="K1310">
        <v>18</v>
      </c>
      <c r="L1310" t="s">
        <v>45</v>
      </c>
      <c r="M1310">
        <v>167</v>
      </c>
      <c r="N1310">
        <v>51.1</v>
      </c>
      <c r="O1310">
        <v>66.7</v>
      </c>
      <c r="P1310">
        <v>4.7300000000000004</v>
      </c>
      <c r="Q1310">
        <v>1.72</v>
      </c>
      <c r="R1310" t="s">
        <v>125</v>
      </c>
      <c r="S1310" t="s">
        <v>47</v>
      </c>
      <c r="T1310" t="s">
        <v>30</v>
      </c>
    </row>
    <row r="1311" spans="1:20" x14ac:dyDescent="0.3">
      <c r="A1311">
        <v>10203</v>
      </c>
      <c r="B1311" s="2">
        <v>45734</v>
      </c>
      <c r="C1311" t="s">
        <v>20</v>
      </c>
      <c r="D1311" t="s">
        <v>21</v>
      </c>
      <c r="E1311" t="s">
        <v>33</v>
      </c>
      <c r="F1311" t="s">
        <v>65</v>
      </c>
      <c r="G1311" t="s">
        <v>74</v>
      </c>
      <c r="H1311" t="s">
        <v>190</v>
      </c>
      <c r="I1311" t="s">
        <v>308</v>
      </c>
      <c r="J1311">
        <v>636</v>
      </c>
      <c r="K1311">
        <v>33</v>
      </c>
      <c r="L1311" t="s">
        <v>27</v>
      </c>
      <c r="M1311">
        <v>76</v>
      </c>
      <c r="N1311">
        <v>52.3</v>
      </c>
      <c r="O1311">
        <v>62.7</v>
      </c>
      <c r="P1311">
        <v>5.37</v>
      </c>
      <c r="Q1311">
        <v>1.59</v>
      </c>
      <c r="R1311" t="s">
        <v>72</v>
      </c>
      <c r="S1311" t="s">
        <v>73</v>
      </c>
      <c r="T1311" t="s">
        <v>48</v>
      </c>
    </row>
    <row r="1312" spans="1:20" x14ac:dyDescent="0.3">
      <c r="A1312">
        <v>10836</v>
      </c>
      <c r="B1312" s="2">
        <v>45691</v>
      </c>
      <c r="C1312" t="s">
        <v>20</v>
      </c>
      <c r="D1312" t="s">
        <v>21</v>
      </c>
      <c r="E1312" t="s">
        <v>33</v>
      </c>
      <c r="F1312" t="s">
        <v>23</v>
      </c>
      <c r="G1312" t="s">
        <v>34</v>
      </c>
      <c r="H1312" t="s">
        <v>215</v>
      </c>
      <c r="I1312" t="s">
        <v>225</v>
      </c>
      <c r="J1312">
        <v>1277</v>
      </c>
      <c r="K1312">
        <v>4</v>
      </c>
      <c r="L1312" t="s">
        <v>37</v>
      </c>
      <c r="M1312">
        <v>94</v>
      </c>
      <c r="N1312">
        <v>53.7</v>
      </c>
      <c r="O1312">
        <v>74.400000000000006</v>
      </c>
      <c r="P1312">
        <v>3.94</v>
      </c>
      <c r="Q1312">
        <v>4.4800000000000004</v>
      </c>
      <c r="R1312" t="s">
        <v>122</v>
      </c>
      <c r="S1312" t="s">
        <v>73</v>
      </c>
      <c r="T1312" t="s">
        <v>30</v>
      </c>
    </row>
    <row r="1313" spans="1:20" x14ac:dyDescent="0.3">
      <c r="A1313">
        <v>10247</v>
      </c>
      <c r="B1313" s="2">
        <v>45780</v>
      </c>
      <c r="C1313" t="s">
        <v>31</v>
      </c>
      <c r="D1313" t="s">
        <v>32</v>
      </c>
      <c r="E1313" t="s">
        <v>40</v>
      </c>
      <c r="F1313" t="s">
        <v>41</v>
      </c>
      <c r="G1313" t="s">
        <v>95</v>
      </c>
      <c r="H1313" t="s">
        <v>213</v>
      </c>
      <c r="I1313" t="s">
        <v>374</v>
      </c>
      <c r="J1313" t="s">
        <v>406</v>
      </c>
      <c r="K1313">
        <v>13</v>
      </c>
      <c r="L1313" t="s">
        <v>27</v>
      </c>
      <c r="M1313">
        <v>115</v>
      </c>
      <c r="N1313">
        <v>39.6</v>
      </c>
      <c r="O1313">
        <v>76.599999999999994</v>
      </c>
      <c r="P1313">
        <v>5.1100000000000003</v>
      </c>
      <c r="Q1313">
        <v>1.27</v>
      </c>
      <c r="R1313" t="s">
        <v>186</v>
      </c>
      <c r="S1313" t="s">
        <v>73</v>
      </c>
      <c r="T1313" t="s">
        <v>30</v>
      </c>
    </row>
    <row r="1314" spans="1:20" x14ac:dyDescent="0.3">
      <c r="A1314">
        <v>11435</v>
      </c>
      <c r="B1314" s="2">
        <v>45684</v>
      </c>
      <c r="C1314" t="s">
        <v>31</v>
      </c>
      <c r="D1314" t="s">
        <v>59</v>
      </c>
      <c r="E1314" t="s">
        <v>40</v>
      </c>
      <c r="F1314" t="s">
        <v>41</v>
      </c>
      <c r="G1314" t="s">
        <v>24</v>
      </c>
      <c r="H1314" t="s">
        <v>114</v>
      </c>
      <c r="I1314" t="s">
        <v>371</v>
      </c>
      <c r="J1314">
        <v>995</v>
      </c>
      <c r="K1314">
        <v>37</v>
      </c>
      <c r="L1314" t="s">
        <v>57</v>
      </c>
      <c r="M1314">
        <v>96</v>
      </c>
      <c r="N1314">
        <v>44.3</v>
      </c>
      <c r="O1314">
        <v>69.599999999999994</v>
      </c>
      <c r="P1314">
        <v>5.47</v>
      </c>
      <c r="Q1314">
        <v>3.78</v>
      </c>
      <c r="R1314" t="s">
        <v>38</v>
      </c>
      <c r="S1314" t="s">
        <v>73</v>
      </c>
      <c r="T1314" t="s">
        <v>48</v>
      </c>
    </row>
    <row r="1315" spans="1:20" x14ac:dyDescent="0.3">
      <c r="A1315">
        <v>11421</v>
      </c>
      <c r="B1315" s="2">
        <v>45936</v>
      </c>
      <c r="C1315" t="s">
        <v>31</v>
      </c>
      <c r="D1315" t="s">
        <v>32</v>
      </c>
      <c r="E1315" t="s">
        <v>40</v>
      </c>
      <c r="F1315" t="s">
        <v>23</v>
      </c>
      <c r="G1315" t="s">
        <v>74</v>
      </c>
      <c r="H1315" t="s">
        <v>43</v>
      </c>
      <c r="I1315" t="s">
        <v>201</v>
      </c>
      <c r="J1315">
        <v>1277</v>
      </c>
      <c r="K1315">
        <v>23</v>
      </c>
      <c r="L1315" t="s">
        <v>71</v>
      </c>
      <c r="M1315">
        <v>77</v>
      </c>
      <c r="N1315">
        <v>39.799999999999997</v>
      </c>
      <c r="O1315">
        <v>60.2</v>
      </c>
      <c r="P1315">
        <v>7.28</v>
      </c>
      <c r="Q1315">
        <v>1.66</v>
      </c>
      <c r="R1315" t="s">
        <v>128</v>
      </c>
      <c r="S1315" t="s">
        <v>47</v>
      </c>
      <c r="T1315" t="s">
        <v>30</v>
      </c>
    </row>
    <row r="1316" spans="1:20" x14ac:dyDescent="0.3">
      <c r="A1316">
        <v>11154</v>
      </c>
      <c r="B1316" s="2">
        <v>45777</v>
      </c>
      <c r="C1316" t="s">
        <v>20</v>
      </c>
      <c r="D1316" t="s">
        <v>32</v>
      </c>
      <c r="E1316" t="s">
        <v>33</v>
      </c>
      <c r="F1316" t="s">
        <v>23</v>
      </c>
      <c r="G1316" t="s">
        <v>134</v>
      </c>
      <c r="H1316" t="s">
        <v>144</v>
      </c>
      <c r="I1316" t="s">
        <v>127</v>
      </c>
      <c r="J1316">
        <v>524</v>
      </c>
      <c r="K1316">
        <v>12</v>
      </c>
      <c r="L1316" t="s">
        <v>71</v>
      </c>
      <c r="M1316">
        <v>175</v>
      </c>
      <c r="N1316">
        <v>48.4</v>
      </c>
      <c r="O1316">
        <v>81.099999999999994</v>
      </c>
      <c r="P1316">
        <v>6.57</v>
      </c>
      <c r="Q1316">
        <v>1.7</v>
      </c>
      <c r="R1316" t="s">
        <v>28</v>
      </c>
      <c r="S1316" t="s">
        <v>29</v>
      </c>
      <c r="T1316" t="s">
        <v>30</v>
      </c>
    </row>
    <row r="1317" spans="1:20" x14ac:dyDescent="0.3">
      <c r="A1317">
        <v>10385</v>
      </c>
      <c r="B1317" s="2">
        <v>45796</v>
      </c>
      <c r="C1317" t="s">
        <v>20</v>
      </c>
      <c r="D1317" t="s">
        <v>32</v>
      </c>
      <c r="E1317" t="s">
        <v>107</v>
      </c>
      <c r="F1317" t="s">
        <v>41</v>
      </c>
      <c r="G1317" t="s">
        <v>42</v>
      </c>
      <c r="H1317" t="s">
        <v>138</v>
      </c>
      <c r="I1317" t="s">
        <v>221</v>
      </c>
      <c r="J1317">
        <v>502</v>
      </c>
      <c r="K1317">
        <v>3</v>
      </c>
      <c r="L1317" t="s">
        <v>57</v>
      </c>
      <c r="M1317">
        <v>102</v>
      </c>
      <c r="N1317">
        <v>39.5</v>
      </c>
      <c r="O1317">
        <v>61.6</v>
      </c>
      <c r="P1317">
        <v>6.94</v>
      </c>
      <c r="Q1317">
        <v>1.56</v>
      </c>
      <c r="R1317" t="s">
        <v>216</v>
      </c>
      <c r="T1317" t="s">
        <v>30</v>
      </c>
    </row>
    <row r="1318" spans="1:20" x14ac:dyDescent="0.3">
      <c r="A1318">
        <v>11335</v>
      </c>
      <c r="B1318" s="2">
        <v>45759</v>
      </c>
      <c r="C1318" t="s">
        <v>49</v>
      </c>
      <c r="D1318" t="s">
        <v>32</v>
      </c>
      <c r="E1318" t="s">
        <v>107</v>
      </c>
      <c r="F1318" t="s">
        <v>23</v>
      </c>
      <c r="G1318" t="s">
        <v>95</v>
      </c>
      <c r="H1318" t="s">
        <v>69</v>
      </c>
      <c r="I1318" t="s">
        <v>204</v>
      </c>
      <c r="J1318">
        <v>1332</v>
      </c>
      <c r="K1318">
        <v>6</v>
      </c>
      <c r="L1318" t="s">
        <v>27</v>
      </c>
      <c r="M1318">
        <v>20</v>
      </c>
      <c r="N1318">
        <v>38.799999999999997</v>
      </c>
      <c r="O1318">
        <v>80.7</v>
      </c>
      <c r="P1318">
        <v>5.68</v>
      </c>
      <c r="Q1318">
        <v>3.3</v>
      </c>
      <c r="R1318" t="s">
        <v>167</v>
      </c>
      <c r="S1318" t="s">
        <v>73</v>
      </c>
      <c r="T1318" t="s">
        <v>30</v>
      </c>
    </row>
    <row r="1319" spans="1:20" x14ac:dyDescent="0.3">
      <c r="A1319">
        <v>10855</v>
      </c>
      <c r="B1319" s="2">
        <v>45710</v>
      </c>
      <c r="C1319" t="s">
        <v>20</v>
      </c>
      <c r="D1319" t="s">
        <v>32</v>
      </c>
      <c r="E1319" t="s">
        <v>33</v>
      </c>
      <c r="F1319" t="s">
        <v>81</v>
      </c>
      <c r="G1319" t="s">
        <v>89</v>
      </c>
      <c r="H1319" t="s">
        <v>141</v>
      </c>
      <c r="I1319" t="s">
        <v>163</v>
      </c>
      <c r="J1319">
        <v>457</v>
      </c>
      <c r="K1319">
        <v>4</v>
      </c>
      <c r="L1319" t="s">
        <v>27</v>
      </c>
      <c r="M1319">
        <v>18</v>
      </c>
      <c r="N1319">
        <v>37.1</v>
      </c>
      <c r="O1319">
        <v>71</v>
      </c>
      <c r="P1319">
        <v>4.4000000000000004</v>
      </c>
      <c r="Q1319">
        <v>2.36</v>
      </c>
      <c r="R1319" t="s">
        <v>130</v>
      </c>
      <c r="S1319" t="s">
        <v>29</v>
      </c>
      <c r="T1319" t="s">
        <v>30</v>
      </c>
    </row>
    <row r="1320" spans="1:20" x14ac:dyDescent="0.3">
      <c r="A1320">
        <v>10220</v>
      </c>
      <c r="B1320" s="2">
        <v>45755</v>
      </c>
      <c r="C1320" t="s">
        <v>31</v>
      </c>
      <c r="D1320" t="s">
        <v>59</v>
      </c>
      <c r="E1320" t="s">
        <v>22</v>
      </c>
      <c r="F1320" t="s">
        <v>41</v>
      </c>
      <c r="G1320" t="s">
        <v>74</v>
      </c>
      <c r="H1320" t="s">
        <v>215</v>
      </c>
      <c r="I1320" t="s">
        <v>279</v>
      </c>
      <c r="J1320">
        <v>1247</v>
      </c>
      <c r="K1320">
        <v>15</v>
      </c>
      <c r="L1320" t="s">
        <v>68</v>
      </c>
      <c r="M1320">
        <v>8</v>
      </c>
      <c r="N1320">
        <v>42</v>
      </c>
      <c r="O1320">
        <v>84.6</v>
      </c>
      <c r="P1320">
        <v>3.95</v>
      </c>
      <c r="Q1320">
        <v>2.34</v>
      </c>
      <c r="R1320" t="s">
        <v>202</v>
      </c>
      <c r="S1320" t="s">
        <v>73</v>
      </c>
      <c r="T1320" t="s">
        <v>30</v>
      </c>
    </row>
    <row r="1321" spans="1:20" x14ac:dyDescent="0.3">
      <c r="A1321">
        <v>10642</v>
      </c>
      <c r="B1321" s="2">
        <v>45736</v>
      </c>
      <c r="C1321" t="s">
        <v>20</v>
      </c>
      <c r="D1321" t="s">
        <v>59</v>
      </c>
      <c r="E1321" t="s">
        <v>22</v>
      </c>
      <c r="F1321" t="s">
        <v>23</v>
      </c>
      <c r="G1321" t="s">
        <v>50</v>
      </c>
      <c r="H1321" t="s">
        <v>75</v>
      </c>
      <c r="I1321" t="s">
        <v>132</v>
      </c>
      <c r="J1321">
        <v>658</v>
      </c>
      <c r="K1321">
        <v>5</v>
      </c>
      <c r="L1321" t="s">
        <v>71</v>
      </c>
      <c r="M1321">
        <v>105</v>
      </c>
      <c r="N1321">
        <v>55.4</v>
      </c>
      <c r="O1321">
        <v>64.8</v>
      </c>
      <c r="P1321">
        <v>4.18</v>
      </c>
      <c r="Q1321">
        <v>2.1</v>
      </c>
      <c r="R1321" t="s">
        <v>133</v>
      </c>
      <c r="S1321" t="s">
        <v>29</v>
      </c>
      <c r="T1321" t="s">
        <v>30</v>
      </c>
    </row>
    <row r="1322" spans="1:20" x14ac:dyDescent="0.3">
      <c r="A1322">
        <v>10002</v>
      </c>
      <c r="B1322" s="2">
        <v>45977</v>
      </c>
      <c r="C1322" t="s">
        <v>20</v>
      </c>
      <c r="D1322" t="s">
        <v>32</v>
      </c>
      <c r="E1322" t="s">
        <v>22</v>
      </c>
      <c r="F1322" t="s">
        <v>41</v>
      </c>
      <c r="G1322" t="s">
        <v>109</v>
      </c>
      <c r="H1322" t="s">
        <v>126</v>
      </c>
      <c r="I1322" t="s">
        <v>264</v>
      </c>
      <c r="J1322">
        <v>1149</v>
      </c>
      <c r="K1322">
        <v>8</v>
      </c>
      <c r="L1322" t="s">
        <v>68</v>
      </c>
      <c r="M1322">
        <v>22</v>
      </c>
      <c r="N1322">
        <v>37.799999999999997</v>
      </c>
      <c r="O1322">
        <v>79.599999999999994</v>
      </c>
      <c r="P1322">
        <v>5.43</v>
      </c>
      <c r="Q1322">
        <v>2.1</v>
      </c>
      <c r="R1322" t="s">
        <v>229</v>
      </c>
      <c r="S1322" t="s">
        <v>47</v>
      </c>
      <c r="T1322" t="s">
        <v>30</v>
      </c>
    </row>
    <row r="1323" spans="1:20" x14ac:dyDescent="0.3">
      <c r="A1323">
        <v>10113</v>
      </c>
      <c r="B1323" s="2">
        <v>45874</v>
      </c>
      <c r="C1323" t="s">
        <v>20</v>
      </c>
      <c r="D1323" t="s">
        <v>59</v>
      </c>
      <c r="E1323" t="s">
        <v>107</v>
      </c>
      <c r="F1323" t="s">
        <v>23</v>
      </c>
      <c r="G1323" t="s">
        <v>34</v>
      </c>
      <c r="H1323" t="s">
        <v>69</v>
      </c>
      <c r="I1323" t="s">
        <v>225</v>
      </c>
      <c r="J1323">
        <v>612</v>
      </c>
      <c r="K1323">
        <v>3</v>
      </c>
      <c r="L1323" t="s">
        <v>37</v>
      </c>
      <c r="M1323">
        <v>86</v>
      </c>
      <c r="N1323">
        <v>25</v>
      </c>
      <c r="O1323">
        <v>79.099999999999994</v>
      </c>
      <c r="P1323">
        <v>5.79</v>
      </c>
      <c r="Q1323">
        <v>2.4900000000000002</v>
      </c>
      <c r="R1323" t="s">
        <v>184</v>
      </c>
      <c r="S1323" t="s">
        <v>47</v>
      </c>
      <c r="T1323" t="s">
        <v>30</v>
      </c>
    </row>
    <row r="1324" spans="1:20" x14ac:dyDescent="0.3">
      <c r="A1324">
        <v>10699</v>
      </c>
      <c r="B1324" s="2">
        <v>45788</v>
      </c>
      <c r="C1324" t="s">
        <v>20</v>
      </c>
      <c r="D1324" t="s">
        <v>32</v>
      </c>
      <c r="E1324" t="s">
        <v>40</v>
      </c>
      <c r="F1324" t="s">
        <v>41</v>
      </c>
      <c r="G1324" t="s">
        <v>134</v>
      </c>
      <c r="H1324" t="s">
        <v>85</v>
      </c>
      <c r="I1324" t="s">
        <v>289</v>
      </c>
      <c r="J1324">
        <v>1057</v>
      </c>
      <c r="K1324">
        <v>25</v>
      </c>
      <c r="L1324" t="s">
        <v>57</v>
      </c>
      <c r="M1324">
        <v>167</v>
      </c>
      <c r="N1324">
        <v>34.9</v>
      </c>
      <c r="O1324">
        <v>65.5</v>
      </c>
      <c r="P1324">
        <v>4.84</v>
      </c>
      <c r="Q1324">
        <v>2.41</v>
      </c>
      <c r="R1324" t="s">
        <v>77</v>
      </c>
      <c r="S1324" t="s">
        <v>47</v>
      </c>
      <c r="T1324" t="s">
        <v>30</v>
      </c>
    </row>
    <row r="1325" spans="1:20" x14ac:dyDescent="0.3">
      <c r="A1325">
        <v>11444</v>
      </c>
      <c r="B1325" s="2">
        <v>45719</v>
      </c>
      <c r="C1325" t="s">
        <v>49</v>
      </c>
      <c r="D1325" t="s">
        <v>59</v>
      </c>
      <c r="E1325" t="s">
        <v>33</v>
      </c>
      <c r="F1325" t="s">
        <v>81</v>
      </c>
      <c r="G1325" t="s">
        <v>24</v>
      </c>
      <c r="H1325" t="s">
        <v>190</v>
      </c>
      <c r="I1325" t="s">
        <v>329</v>
      </c>
      <c r="J1325">
        <v>955</v>
      </c>
      <c r="K1325">
        <v>13</v>
      </c>
      <c r="L1325" t="s">
        <v>71</v>
      </c>
      <c r="M1325">
        <v>78</v>
      </c>
      <c r="N1325">
        <v>42.1</v>
      </c>
      <c r="O1325">
        <v>73</v>
      </c>
      <c r="P1325">
        <v>4.8600000000000003</v>
      </c>
      <c r="Q1325">
        <v>2.06</v>
      </c>
      <c r="R1325" t="s">
        <v>46</v>
      </c>
      <c r="S1325" t="s">
        <v>73</v>
      </c>
      <c r="T1325" t="s">
        <v>30</v>
      </c>
    </row>
    <row r="1326" spans="1:20" x14ac:dyDescent="0.3">
      <c r="A1326">
        <v>10952</v>
      </c>
      <c r="B1326" s="2">
        <v>45947</v>
      </c>
      <c r="C1326" t="s">
        <v>31</v>
      </c>
      <c r="D1326" t="s">
        <v>32</v>
      </c>
      <c r="E1326" t="s">
        <v>33</v>
      </c>
      <c r="F1326" t="s">
        <v>81</v>
      </c>
      <c r="G1326" t="s">
        <v>113</v>
      </c>
      <c r="H1326" t="s">
        <v>131</v>
      </c>
      <c r="I1326" t="s">
        <v>354</v>
      </c>
      <c r="J1326">
        <v>699</v>
      </c>
      <c r="K1326">
        <v>69</v>
      </c>
      <c r="L1326" t="s">
        <v>45</v>
      </c>
      <c r="M1326">
        <v>136</v>
      </c>
      <c r="N1326">
        <v>47.4</v>
      </c>
      <c r="O1326">
        <v>78.900000000000006</v>
      </c>
      <c r="P1326">
        <v>6</v>
      </c>
      <c r="Q1326">
        <v>3.35</v>
      </c>
      <c r="R1326" t="s">
        <v>133</v>
      </c>
      <c r="S1326" t="s">
        <v>47</v>
      </c>
      <c r="T1326" t="s">
        <v>48</v>
      </c>
    </row>
    <row r="1327" spans="1:20" x14ac:dyDescent="0.3">
      <c r="A1327">
        <v>11330</v>
      </c>
      <c r="B1327" s="2">
        <v>45829</v>
      </c>
      <c r="C1327" t="s">
        <v>49</v>
      </c>
      <c r="D1327" t="s">
        <v>64</v>
      </c>
      <c r="E1327" t="s">
        <v>40</v>
      </c>
      <c r="F1327" t="s">
        <v>23</v>
      </c>
      <c r="G1327" t="s">
        <v>113</v>
      </c>
      <c r="H1327" t="s">
        <v>193</v>
      </c>
      <c r="I1327" t="s">
        <v>290</v>
      </c>
      <c r="J1327">
        <v>777</v>
      </c>
      <c r="K1327">
        <v>23</v>
      </c>
      <c r="L1327" t="s">
        <v>27</v>
      </c>
      <c r="M1327">
        <v>36</v>
      </c>
      <c r="N1327">
        <v>42.7</v>
      </c>
      <c r="O1327">
        <v>70.400000000000006</v>
      </c>
      <c r="P1327">
        <v>4.24</v>
      </c>
      <c r="Q1327">
        <v>2.2400000000000002</v>
      </c>
      <c r="R1327" t="s">
        <v>189</v>
      </c>
      <c r="S1327" t="s">
        <v>47</v>
      </c>
      <c r="T1327" t="s">
        <v>30</v>
      </c>
    </row>
    <row r="1328" spans="1:20" x14ac:dyDescent="0.3">
      <c r="A1328">
        <v>11292</v>
      </c>
      <c r="B1328" s="2">
        <v>45775</v>
      </c>
      <c r="C1328" t="s">
        <v>49</v>
      </c>
      <c r="D1328" t="s">
        <v>32</v>
      </c>
      <c r="E1328" t="s">
        <v>107</v>
      </c>
      <c r="F1328" t="s">
        <v>108</v>
      </c>
      <c r="G1328" t="s">
        <v>54</v>
      </c>
      <c r="H1328" t="s">
        <v>196</v>
      </c>
      <c r="I1328" t="s">
        <v>151</v>
      </c>
      <c r="J1328">
        <v>1399</v>
      </c>
      <c r="K1328">
        <v>19</v>
      </c>
      <c r="L1328" t="s">
        <v>37</v>
      </c>
      <c r="M1328">
        <v>134</v>
      </c>
      <c r="N1328">
        <v>43</v>
      </c>
      <c r="O1328">
        <v>85.5</v>
      </c>
      <c r="P1328">
        <v>4.6100000000000003</v>
      </c>
      <c r="Q1328">
        <v>1.74</v>
      </c>
      <c r="R1328" t="s">
        <v>125</v>
      </c>
      <c r="S1328" t="s">
        <v>73</v>
      </c>
      <c r="T1328" t="s">
        <v>30</v>
      </c>
    </row>
    <row r="1329" spans="1:20" x14ac:dyDescent="0.3">
      <c r="A1329">
        <v>11366</v>
      </c>
      <c r="B1329" s="2">
        <v>46012</v>
      </c>
      <c r="C1329" t="s">
        <v>49</v>
      </c>
      <c r="D1329" t="s">
        <v>64</v>
      </c>
      <c r="E1329" t="s">
        <v>107</v>
      </c>
      <c r="F1329" t="s">
        <v>23</v>
      </c>
      <c r="G1329" t="s">
        <v>134</v>
      </c>
      <c r="H1329" t="s">
        <v>131</v>
      </c>
      <c r="I1329" t="s">
        <v>365</v>
      </c>
      <c r="J1329">
        <v>879</v>
      </c>
      <c r="K1329">
        <v>20</v>
      </c>
      <c r="L1329" t="s">
        <v>68</v>
      </c>
      <c r="M1329">
        <v>159</v>
      </c>
      <c r="N1329">
        <v>37.299999999999997</v>
      </c>
      <c r="O1329">
        <v>79.400000000000006</v>
      </c>
      <c r="P1329">
        <v>4.93</v>
      </c>
      <c r="Q1329">
        <v>4.45</v>
      </c>
      <c r="R1329" t="s">
        <v>63</v>
      </c>
      <c r="S1329" t="s">
        <v>73</v>
      </c>
      <c r="T1329" t="s">
        <v>30</v>
      </c>
    </row>
    <row r="1330" spans="1:20" x14ac:dyDescent="0.3">
      <c r="A1330">
        <v>10442</v>
      </c>
      <c r="B1330" s="2">
        <v>45958</v>
      </c>
      <c r="C1330" t="s">
        <v>20</v>
      </c>
      <c r="D1330" t="s">
        <v>59</v>
      </c>
      <c r="E1330" t="s">
        <v>33</v>
      </c>
      <c r="F1330" t="s">
        <v>41</v>
      </c>
      <c r="G1330" t="s">
        <v>54</v>
      </c>
      <c r="H1330" t="s">
        <v>205</v>
      </c>
      <c r="I1330" t="s">
        <v>102</v>
      </c>
      <c r="J1330">
        <v>1347</v>
      </c>
      <c r="K1330">
        <v>49</v>
      </c>
      <c r="L1330" t="s">
        <v>37</v>
      </c>
      <c r="M1330">
        <v>116</v>
      </c>
      <c r="N1330">
        <v>54.1</v>
      </c>
      <c r="O1330">
        <v>64.099999999999994</v>
      </c>
      <c r="P1330">
        <v>5.0199999999999996</v>
      </c>
      <c r="Q1330">
        <v>3.85</v>
      </c>
      <c r="R1330" t="s">
        <v>125</v>
      </c>
      <c r="S1330" t="s">
        <v>47</v>
      </c>
      <c r="T1330" t="s">
        <v>48</v>
      </c>
    </row>
    <row r="1331" spans="1:20" x14ac:dyDescent="0.3">
      <c r="A1331">
        <v>11137</v>
      </c>
      <c r="B1331" s="2">
        <v>45960</v>
      </c>
      <c r="C1331" t="s">
        <v>20</v>
      </c>
      <c r="D1331" t="s">
        <v>21</v>
      </c>
      <c r="E1331" t="s">
        <v>33</v>
      </c>
      <c r="F1331" t="s">
        <v>112</v>
      </c>
      <c r="G1331" t="s">
        <v>50</v>
      </c>
      <c r="H1331" t="s">
        <v>180</v>
      </c>
      <c r="I1331" t="s">
        <v>249</v>
      </c>
      <c r="J1331">
        <v>735</v>
      </c>
      <c r="K1331">
        <v>11</v>
      </c>
      <c r="L1331" t="s">
        <v>27</v>
      </c>
      <c r="M1331">
        <v>100</v>
      </c>
      <c r="N1331">
        <v>38.6</v>
      </c>
      <c r="O1331">
        <v>65.599999999999994</v>
      </c>
      <c r="P1331">
        <v>4.3600000000000003</v>
      </c>
      <c r="Q1331">
        <v>2.89</v>
      </c>
      <c r="R1331" t="s">
        <v>105</v>
      </c>
      <c r="S1331" t="s">
        <v>47</v>
      </c>
      <c r="T1331" t="s">
        <v>30</v>
      </c>
    </row>
    <row r="1332" spans="1:20" x14ac:dyDescent="0.3">
      <c r="A1332">
        <v>11257</v>
      </c>
      <c r="B1332" s="2">
        <v>45749</v>
      </c>
      <c r="C1332" t="s">
        <v>31</v>
      </c>
      <c r="D1332" t="s">
        <v>21</v>
      </c>
      <c r="E1332" t="s">
        <v>22</v>
      </c>
      <c r="F1332" t="s">
        <v>23</v>
      </c>
      <c r="G1332" t="s">
        <v>95</v>
      </c>
      <c r="H1332" t="s">
        <v>196</v>
      </c>
      <c r="I1332" t="s">
        <v>253</v>
      </c>
      <c r="J1332">
        <v>958</v>
      </c>
      <c r="K1332">
        <v>9</v>
      </c>
      <c r="L1332" t="s">
        <v>57</v>
      </c>
      <c r="M1332">
        <v>57</v>
      </c>
      <c r="N1332">
        <v>33.299999999999997</v>
      </c>
      <c r="O1332">
        <v>68.3</v>
      </c>
      <c r="P1332">
        <v>6.37</v>
      </c>
      <c r="Q1332">
        <v>3.51</v>
      </c>
      <c r="R1332" t="s">
        <v>240</v>
      </c>
      <c r="S1332" t="s">
        <v>39</v>
      </c>
      <c r="T1332" t="s">
        <v>30</v>
      </c>
    </row>
    <row r="1333" spans="1:20" x14ac:dyDescent="0.3">
      <c r="A1333">
        <v>10664</v>
      </c>
      <c r="B1333" s="2">
        <v>45992</v>
      </c>
      <c r="C1333" t="s">
        <v>31</v>
      </c>
      <c r="D1333" t="s">
        <v>64</v>
      </c>
      <c r="E1333" t="s">
        <v>107</v>
      </c>
      <c r="F1333" t="s">
        <v>23</v>
      </c>
      <c r="G1333" t="s">
        <v>95</v>
      </c>
      <c r="H1333" t="s">
        <v>278</v>
      </c>
      <c r="I1333" t="s">
        <v>163</v>
      </c>
      <c r="J1333">
        <v>495</v>
      </c>
      <c r="K1333">
        <v>2</v>
      </c>
      <c r="L1333" t="s">
        <v>57</v>
      </c>
      <c r="M1333">
        <v>103</v>
      </c>
      <c r="N1333">
        <v>40.700000000000003</v>
      </c>
      <c r="O1333">
        <v>76.7</v>
      </c>
      <c r="P1333">
        <v>5.69</v>
      </c>
      <c r="Q1333">
        <v>2.85</v>
      </c>
      <c r="R1333" t="s">
        <v>122</v>
      </c>
      <c r="S1333" t="s">
        <v>29</v>
      </c>
      <c r="T1333" t="s">
        <v>30</v>
      </c>
    </row>
    <row r="1334" spans="1:20" x14ac:dyDescent="0.3">
      <c r="A1334">
        <v>11385</v>
      </c>
      <c r="B1334" s="2">
        <v>45971</v>
      </c>
      <c r="C1334" t="s">
        <v>31</v>
      </c>
      <c r="D1334" t="s">
        <v>59</v>
      </c>
      <c r="E1334" t="s">
        <v>22</v>
      </c>
      <c r="F1334" t="s">
        <v>41</v>
      </c>
      <c r="G1334" t="s">
        <v>109</v>
      </c>
      <c r="H1334" t="s">
        <v>169</v>
      </c>
      <c r="I1334" t="s">
        <v>118</v>
      </c>
      <c r="J1334">
        <v>489</v>
      </c>
      <c r="K1334">
        <v>4</v>
      </c>
      <c r="L1334" t="s">
        <v>68</v>
      </c>
      <c r="M1334">
        <v>30</v>
      </c>
      <c r="N1334">
        <v>48.7</v>
      </c>
      <c r="O1334">
        <v>69.2</v>
      </c>
      <c r="P1334">
        <v>5.15</v>
      </c>
      <c r="Q1334">
        <v>2.2999999999999998</v>
      </c>
      <c r="R1334" t="s">
        <v>240</v>
      </c>
      <c r="S1334" t="s">
        <v>73</v>
      </c>
      <c r="T1334" t="s">
        <v>30</v>
      </c>
    </row>
    <row r="1335" spans="1:20" x14ac:dyDescent="0.3">
      <c r="A1335">
        <v>11258</v>
      </c>
      <c r="B1335" s="2">
        <v>45939</v>
      </c>
      <c r="C1335" t="s">
        <v>49</v>
      </c>
      <c r="D1335" t="s">
        <v>32</v>
      </c>
      <c r="E1335" t="s">
        <v>22</v>
      </c>
      <c r="F1335" t="s">
        <v>41</v>
      </c>
      <c r="G1335" t="s">
        <v>74</v>
      </c>
      <c r="H1335" t="s">
        <v>61</v>
      </c>
      <c r="I1335" t="s">
        <v>367</v>
      </c>
      <c r="J1335">
        <v>791</v>
      </c>
      <c r="K1335">
        <v>7</v>
      </c>
      <c r="L1335" t="s">
        <v>45</v>
      </c>
      <c r="M1335">
        <v>63</v>
      </c>
      <c r="N1335">
        <v>36.6</v>
      </c>
      <c r="O1335">
        <v>63.8</v>
      </c>
      <c r="P1335">
        <v>5.79</v>
      </c>
      <c r="Q1335">
        <v>1.43</v>
      </c>
      <c r="R1335" t="s">
        <v>164</v>
      </c>
      <c r="S1335" t="s">
        <v>47</v>
      </c>
      <c r="T1335" t="s">
        <v>30</v>
      </c>
    </row>
    <row r="1336" spans="1:20" x14ac:dyDescent="0.3">
      <c r="A1336">
        <v>11344</v>
      </c>
      <c r="B1336" s="2">
        <v>45788</v>
      </c>
      <c r="C1336" t="s">
        <v>49</v>
      </c>
      <c r="D1336" t="s">
        <v>32</v>
      </c>
      <c r="E1336" t="s">
        <v>107</v>
      </c>
      <c r="F1336" t="s">
        <v>41</v>
      </c>
      <c r="G1336" t="s">
        <v>50</v>
      </c>
      <c r="H1336" t="s">
        <v>126</v>
      </c>
      <c r="I1336" t="s">
        <v>208</v>
      </c>
      <c r="J1336">
        <v>1111</v>
      </c>
      <c r="K1336">
        <v>25</v>
      </c>
      <c r="L1336" t="s">
        <v>27</v>
      </c>
      <c r="M1336">
        <v>32</v>
      </c>
      <c r="N1336">
        <v>50.6</v>
      </c>
      <c r="O1336">
        <v>65.900000000000006</v>
      </c>
      <c r="P1336">
        <v>5.14</v>
      </c>
      <c r="Q1336">
        <v>3.38</v>
      </c>
      <c r="R1336" t="s">
        <v>84</v>
      </c>
      <c r="S1336" t="s">
        <v>73</v>
      </c>
      <c r="T1336" t="s">
        <v>30</v>
      </c>
    </row>
    <row r="1337" spans="1:20" x14ac:dyDescent="0.3">
      <c r="A1337">
        <v>10318</v>
      </c>
      <c r="B1337" s="2">
        <v>45889</v>
      </c>
      <c r="C1337" t="s">
        <v>20</v>
      </c>
      <c r="D1337" t="s">
        <v>21</v>
      </c>
      <c r="E1337" t="s">
        <v>33</v>
      </c>
      <c r="F1337" t="s">
        <v>23</v>
      </c>
      <c r="G1337" t="s">
        <v>74</v>
      </c>
      <c r="H1337" t="s">
        <v>85</v>
      </c>
      <c r="I1337" t="s">
        <v>334</v>
      </c>
      <c r="J1337">
        <v>951</v>
      </c>
      <c r="K1337">
        <v>4</v>
      </c>
      <c r="L1337" t="s">
        <v>45</v>
      </c>
      <c r="M1337">
        <v>121</v>
      </c>
      <c r="N1337">
        <v>33.9</v>
      </c>
      <c r="O1337">
        <v>61.3</v>
      </c>
      <c r="P1337">
        <v>3.96</v>
      </c>
      <c r="Q1337">
        <v>3.53</v>
      </c>
      <c r="R1337" t="s">
        <v>103</v>
      </c>
      <c r="S1337" t="s">
        <v>73</v>
      </c>
      <c r="T1337" t="s">
        <v>30</v>
      </c>
    </row>
    <row r="1338" spans="1:20" x14ac:dyDescent="0.3">
      <c r="A1338">
        <v>10649</v>
      </c>
      <c r="B1338" s="2">
        <v>45715</v>
      </c>
      <c r="C1338" t="s">
        <v>31</v>
      </c>
      <c r="D1338" t="s">
        <v>32</v>
      </c>
      <c r="E1338" t="s">
        <v>22</v>
      </c>
      <c r="F1338" t="s">
        <v>23</v>
      </c>
      <c r="G1338" t="s">
        <v>50</v>
      </c>
      <c r="H1338" t="s">
        <v>263</v>
      </c>
      <c r="I1338" t="s">
        <v>321</v>
      </c>
      <c r="J1338">
        <v>1310</v>
      </c>
      <c r="K1338">
        <v>39</v>
      </c>
      <c r="L1338" t="s">
        <v>57</v>
      </c>
      <c r="M1338">
        <v>39</v>
      </c>
      <c r="N1338">
        <v>29.7</v>
      </c>
      <c r="O1338">
        <v>77.2</v>
      </c>
      <c r="P1338">
        <v>6.38</v>
      </c>
      <c r="Q1338">
        <v>1.66</v>
      </c>
      <c r="R1338" t="s">
        <v>103</v>
      </c>
      <c r="S1338" t="s">
        <v>39</v>
      </c>
      <c r="T1338" t="s">
        <v>30</v>
      </c>
    </row>
    <row r="1339" spans="1:20" x14ac:dyDescent="0.3">
      <c r="A1339">
        <v>10710</v>
      </c>
      <c r="B1339" s="2">
        <v>45915</v>
      </c>
      <c r="C1339" t="s">
        <v>20</v>
      </c>
      <c r="D1339" t="s">
        <v>59</v>
      </c>
      <c r="E1339" t="s">
        <v>22</v>
      </c>
      <c r="F1339" t="s">
        <v>23</v>
      </c>
      <c r="G1339" t="s">
        <v>109</v>
      </c>
      <c r="H1339" t="s">
        <v>180</v>
      </c>
      <c r="I1339" t="s">
        <v>296</v>
      </c>
      <c r="J1339">
        <v>672</v>
      </c>
      <c r="K1339">
        <v>9</v>
      </c>
      <c r="L1339" t="s">
        <v>37</v>
      </c>
      <c r="M1339">
        <v>177</v>
      </c>
      <c r="N1339">
        <v>45.7</v>
      </c>
      <c r="O1339">
        <v>74</v>
      </c>
      <c r="P1339">
        <v>4.25</v>
      </c>
      <c r="Q1339">
        <v>2.37</v>
      </c>
      <c r="R1339" t="s">
        <v>111</v>
      </c>
      <c r="S1339" t="s">
        <v>47</v>
      </c>
      <c r="T1339" t="s">
        <v>30</v>
      </c>
    </row>
    <row r="1340" spans="1:20" x14ac:dyDescent="0.3">
      <c r="A1340">
        <v>11283</v>
      </c>
      <c r="B1340" s="2">
        <v>45763</v>
      </c>
      <c r="C1340" t="s">
        <v>20</v>
      </c>
      <c r="D1340" t="s">
        <v>32</v>
      </c>
      <c r="E1340" t="s">
        <v>33</v>
      </c>
      <c r="F1340" t="s">
        <v>23</v>
      </c>
      <c r="G1340" t="s">
        <v>34</v>
      </c>
      <c r="H1340" t="s">
        <v>172</v>
      </c>
      <c r="I1340" t="s">
        <v>151</v>
      </c>
      <c r="J1340">
        <v>1394</v>
      </c>
      <c r="K1340">
        <v>14</v>
      </c>
      <c r="L1340" t="s">
        <v>57</v>
      </c>
      <c r="M1340">
        <v>52</v>
      </c>
      <c r="N1340">
        <v>49.7</v>
      </c>
      <c r="O1340">
        <v>67.599999999999994</v>
      </c>
      <c r="P1340">
        <v>7.44</v>
      </c>
      <c r="Q1340">
        <v>3.64</v>
      </c>
      <c r="R1340" t="s">
        <v>174</v>
      </c>
      <c r="S1340" t="s">
        <v>39</v>
      </c>
      <c r="T1340" t="s">
        <v>30</v>
      </c>
    </row>
    <row r="1341" spans="1:20" x14ac:dyDescent="0.3">
      <c r="A1341">
        <v>10973</v>
      </c>
      <c r="B1341" s="2">
        <v>45724</v>
      </c>
      <c r="C1341" t="s">
        <v>20</v>
      </c>
      <c r="D1341" t="s">
        <v>59</v>
      </c>
      <c r="E1341" t="s">
        <v>22</v>
      </c>
      <c r="F1341" t="s">
        <v>23</v>
      </c>
      <c r="G1341" t="s">
        <v>113</v>
      </c>
      <c r="H1341" t="s">
        <v>131</v>
      </c>
      <c r="I1341" t="s">
        <v>157</v>
      </c>
      <c r="J1341">
        <v>765</v>
      </c>
      <c r="K1341">
        <v>7</v>
      </c>
      <c r="L1341" t="s">
        <v>57</v>
      </c>
      <c r="M1341">
        <v>102</v>
      </c>
      <c r="N1341">
        <v>51.9</v>
      </c>
      <c r="O1341">
        <v>72.2</v>
      </c>
      <c r="P1341">
        <v>3.84</v>
      </c>
      <c r="Q1341">
        <v>3.2</v>
      </c>
      <c r="R1341" t="s">
        <v>222</v>
      </c>
      <c r="S1341" t="s">
        <v>39</v>
      </c>
      <c r="T1341" t="s">
        <v>30</v>
      </c>
    </row>
    <row r="1342" spans="1:20" x14ac:dyDescent="0.3">
      <c r="A1342">
        <v>10628</v>
      </c>
      <c r="B1342" s="2">
        <v>45995</v>
      </c>
      <c r="C1342" t="s">
        <v>49</v>
      </c>
      <c r="D1342" t="s">
        <v>64</v>
      </c>
      <c r="E1342" t="s">
        <v>40</v>
      </c>
      <c r="F1342" t="s">
        <v>41</v>
      </c>
      <c r="G1342" t="s">
        <v>134</v>
      </c>
      <c r="H1342" t="s">
        <v>200</v>
      </c>
      <c r="I1342" t="s">
        <v>187</v>
      </c>
      <c r="J1342">
        <v>1497</v>
      </c>
      <c r="K1342">
        <v>21</v>
      </c>
      <c r="L1342" t="s">
        <v>57</v>
      </c>
      <c r="M1342">
        <v>131</v>
      </c>
      <c r="N1342">
        <v>47.4</v>
      </c>
      <c r="O1342">
        <v>67.900000000000006</v>
      </c>
      <c r="P1342">
        <v>4.9800000000000004</v>
      </c>
      <c r="Q1342">
        <v>2.66</v>
      </c>
      <c r="R1342" t="s">
        <v>128</v>
      </c>
      <c r="S1342" t="s">
        <v>73</v>
      </c>
      <c r="T1342" t="s">
        <v>30</v>
      </c>
    </row>
    <row r="1343" spans="1:20" x14ac:dyDescent="0.3">
      <c r="A1343">
        <v>10633</v>
      </c>
      <c r="B1343" s="2">
        <v>45870</v>
      </c>
      <c r="C1343" t="s">
        <v>49</v>
      </c>
      <c r="D1343" t="s">
        <v>21</v>
      </c>
      <c r="E1343" t="s">
        <v>22</v>
      </c>
      <c r="F1343" t="s">
        <v>41</v>
      </c>
      <c r="G1343" t="s">
        <v>50</v>
      </c>
      <c r="H1343" t="s">
        <v>196</v>
      </c>
      <c r="I1343" t="s">
        <v>168</v>
      </c>
      <c r="J1343">
        <v>872</v>
      </c>
      <c r="K1343">
        <v>9</v>
      </c>
      <c r="L1343" t="s">
        <v>27</v>
      </c>
      <c r="M1343">
        <v>141</v>
      </c>
      <c r="N1343">
        <v>44.6</v>
      </c>
      <c r="O1343">
        <v>65.2</v>
      </c>
      <c r="P1343">
        <v>4.93</v>
      </c>
      <c r="Q1343">
        <v>1.24</v>
      </c>
      <c r="R1343" t="s">
        <v>202</v>
      </c>
      <c r="S1343" t="s">
        <v>47</v>
      </c>
      <c r="T1343" t="s">
        <v>30</v>
      </c>
    </row>
    <row r="1344" spans="1:20" x14ac:dyDescent="0.3">
      <c r="A1344">
        <v>11307</v>
      </c>
      <c r="B1344" s="2">
        <v>45817</v>
      </c>
      <c r="C1344" t="s">
        <v>49</v>
      </c>
      <c r="D1344" t="s">
        <v>59</v>
      </c>
      <c r="E1344" t="s">
        <v>107</v>
      </c>
      <c r="F1344" t="s">
        <v>23</v>
      </c>
      <c r="G1344" t="s">
        <v>134</v>
      </c>
      <c r="H1344" t="s">
        <v>190</v>
      </c>
      <c r="I1344" t="s">
        <v>157</v>
      </c>
      <c r="J1344">
        <v>1335</v>
      </c>
      <c r="K1344">
        <v>6</v>
      </c>
      <c r="L1344" t="s">
        <v>37</v>
      </c>
      <c r="M1344">
        <v>147</v>
      </c>
      <c r="N1344">
        <v>45.9</v>
      </c>
      <c r="O1344">
        <v>84</v>
      </c>
      <c r="P1344">
        <v>3.9</v>
      </c>
      <c r="Q1344">
        <v>3.09</v>
      </c>
      <c r="R1344" t="s">
        <v>245</v>
      </c>
      <c r="S1344" t="s">
        <v>39</v>
      </c>
      <c r="T1344" t="s">
        <v>30</v>
      </c>
    </row>
    <row r="1345" spans="1:20" x14ac:dyDescent="0.3">
      <c r="A1345">
        <v>11249</v>
      </c>
      <c r="B1345" s="2">
        <v>45952</v>
      </c>
      <c r="C1345" t="s">
        <v>49</v>
      </c>
      <c r="D1345" t="s">
        <v>64</v>
      </c>
      <c r="E1345" t="s">
        <v>40</v>
      </c>
      <c r="F1345" t="s">
        <v>23</v>
      </c>
      <c r="G1345" t="s">
        <v>134</v>
      </c>
      <c r="H1345" t="s">
        <v>120</v>
      </c>
      <c r="I1345" t="s">
        <v>253</v>
      </c>
      <c r="J1345">
        <v>1087</v>
      </c>
      <c r="K1345">
        <v>15</v>
      </c>
      <c r="L1345" t="s">
        <v>71</v>
      </c>
      <c r="M1345">
        <v>5</v>
      </c>
      <c r="N1345">
        <v>45.1</v>
      </c>
      <c r="O1345">
        <v>68.400000000000006</v>
      </c>
      <c r="P1345">
        <v>5.5</v>
      </c>
      <c r="Q1345">
        <v>2.58</v>
      </c>
      <c r="R1345" t="s">
        <v>53</v>
      </c>
      <c r="S1345" t="s">
        <v>29</v>
      </c>
      <c r="T1345" t="s">
        <v>30</v>
      </c>
    </row>
    <row r="1346" spans="1:20" x14ac:dyDescent="0.3">
      <c r="A1346">
        <v>11474</v>
      </c>
      <c r="B1346" s="2">
        <v>45938</v>
      </c>
      <c r="C1346" t="s">
        <v>20</v>
      </c>
      <c r="D1346" t="s">
        <v>21</v>
      </c>
      <c r="E1346" t="s">
        <v>40</v>
      </c>
      <c r="F1346" t="s">
        <v>81</v>
      </c>
      <c r="G1346" t="s">
        <v>42</v>
      </c>
      <c r="H1346" t="s">
        <v>196</v>
      </c>
      <c r="I1346" t="s">
        <v>313</v>
      </c>
      <c r="J1346">
        <v>1176</v>
      </c>
      <c r="K1346">
        <v>9</v>
      </c>
      <c r="L1346" t="s">
        <v>37</v>
      </c>
      <c r="M1346">
        <v>129</v>
      </c>
      <c r="N1346">
        <v>42.8</v>
      </c>
      <c r="O1346">
        <v>71.7</v>
      </c>
      <c r="P1346">
        <v>5.46</v>
      </c>
      <c r="Q1346">
        <v>1.18</v>
      </c>
      <c r="R1346" t="s">
        <v>174</v>
      </c>
      <c r="S1346" t="s">
        <v>47</v>
      </c>
      <c r="T1346" t="s">
        <v>30</v>
      </c>
    </row>
    <row r="1347" spans="1:20" x14ac:dyDescent="0.3">
      <c r="A1347">
        <v>11255</v>
      </c>
      <c r="B1347" s="2">
        <v>45893</v>
      </c>
      <c r="C1347" t="s">
        <v>20</v>
      </c>
      <c r="D1347" t="s">
        <v>32</v>
      </c>
      <c r="E1347" t="s">
        <v>33</v>
      </c>
      <c r="F1347" t="s">
        <v>23</v>
      </c>
      <c r="G1347" t="s">
        <v>134</v>
      </c>
      <c r="H1347" t="s">
        <v>177</v>
      </c>
      <c r="I1347" t="s">
        <v>102</v>
      </c>
      <c r="J1347">
        <v>858</v>
      </c>
      <c r="K1347">
        <v>74</v>
      </c>
      <c r="L1347" t="s">
        <v>37</v>
      </c>
      <c r="M1347">
        <v>90</v>
      </c>
      <c r="N1347">
        <v>29.8</v>
      </c>
      <c r="O1347">
        <v>81</v>
      </c>
      <c r="P1347">
        <v>5.41</v>
      </c>
      <c r="Q1347">
        <v>2.5</v>
      </c>
      <c r="R1347" t="s">
        <v>53</v>
      </c>
      <c r="S1347" t="s">
        <v>73</v>
      </c>
      <c r="T1347" t="s">
        <v>48</v>
      </c>
    </row>
    <row r="1348" spans="1:20" x14ac:dyDescent="0.3">
      <c r="A1348">
        <v>11396</v>
      </c>
      <c r="B1348" s="2">
        <v>45683</v>
      </c>
      <c r="C1348" t="s">
        <v>291</v>
      </c>
      <c r="D1348" t="s">
        <v>32</v>
      </c>
      <c r="E1348" t="s">
        <v>33</v>
      </c>
      <c r="F1348" t="s">
        <v>23</v>
      </c>
      <c r="G1348" t="s">
        <v>95</v>
      </c>
      <c r="H1348" t="s">
        <v>252</v>
      </c>
      <c r="I1348" t="s">
        <v>249</v>
      </c>
      <c r="J1348">
        <v>689</v>
      </c>
      <c r="K1348">
        <v>4</v>
      </c>
      <c r="L1348" t="s">
        <v>57</v>
      </c>
      <c r="M1348">
        <v>173</v>
      </c>
      <c r="N1348">
        <v>39.1</v>
      </c>
      <c r="O1348">
        <v>66.2</v>
      </c>
      <c r="P1348">
        <v>4.67</v>
      </c>
      <c r="Q1348">
        <v>2.54</v>
      </c>
      <c r="R1348" t="s">
        <v>87</v>
      </c>
      <c r="S1348" t="s">
        <v>39</v>
      </c>
      <c r="T1348" t="s">
        <v>30</v>
      </c>
    </row>
    <row r="1349" spans="1:20" x14ac:dyDescent="0.3">
      <c r="A1349">
        <v>10796</v>
      </c>
      <c r="B1349" s="2">
        <v>45783</v>
      </c>
      <c r="C1349" t="s">
        <v>277</v>
      </c>
      <c r="D1349" t="s">
        <v>32</v>
      </c>
      <c r="E1349" t="s">
        <v>40</v>
      </c>
      <c r="F1349" t="s">
        <v>41</v>
      </c>
      <c r="G1349" t="s">
        <v>34</v>
      </c>
      <c r="H1349" t="s">
        <v>82</v>
      </c>
      <c r="I1349" t="s">
        <v>253</v>
      </c>
      <c r="J1349">
        <v>725</v>
      </c>
      <c r="K1349">
        <v>7</v>
      </c>
      <c r="L1349" t="s">
        <v>71</v>
      </c>
      <c r="M1349">
        <v>177</v>
      </c>
      <c r="N1349">
        <v>33.5</v>
      </c>
      <c r="O1349">
        <v>92</v>
      </c>
      <c r="P1349">
        <v>5.42</v>
      </c>
      <c r="Q1349">
        <v>3.24</v>
      </c>
      <c r="R1349" t="s">
        <v>174</v>
      </c>
      <c r="S1349" t="s">
        <v>39</v>
      </c>
      <c r="T1349" t="s">
        <v>30</v>
      </c>
    </row>
    <row r="1350" spans="1:20" x14ac:dyDescent="0.3">
      <c r="A1350">
        <v>10646</v>
      </c>
      <c r="B1350" s="2">
        <v>45885</v>
      </c>
      <c r="C1350" t="s">
        <v>31</v>
      </c>
      <c r="D1350" t="s">
        <v>64</v>
      </c>
      <c r="E1350" t="s">
        <v>107</v>
      </c>
      <c r="F1350" t="s">
        <v>23</v>
      </c>
      <c r="G1350" t="s">
        <v>42</v>
      </c>
      <c r="H1350" t="s">
        <v>138</v>
      </c>
      <c r="I1350" t="s">
        <v>228</v>
      </c>
      <c r="J1350">
        <v>1583</v>
      </c>
      <c r="K1350">
        <v>16</v>
      </c>
      <c r="L1350" t="s">
        <v>45</v>
      </c>
      <c r="M1350">
        <v>126</v>
      </c>
      <c r="N1350">
        <v>33.6</v>
      </c>
      <c r="O1350">
        <v>65.599999999999994</v>
      </c>
      <c r="P1350">
        <v>5.59</v>
      </c>
      <c r="Q1350">
        <v>2.89</v>
      </c>
      <c r="R1350" t="s">
        <v>245</v>
      </c>
      <c r="S1350" t="s">
        <v>47</v>
      </c>
      <c r="T1350" t="s">
        <v>30</v>
      </c>
    </row>
    <row r="1351" spans="1:20" x14ac:dyDescent="0.3">
      <c r="A1351">
        <v>11013</v>
      </c>
      <c r="B1351" s="2">
        <v>45812</v>
      </c>
      <c r="C1351" t="s">
        <v>31</v>
      </c>
      <c r="D1351" t="s">
        <v>59</v>
      </c>
      <c r="E1351" t="s">
        <v>22</v>
      </c>
      <c r="F1351" t="s">
        <v>81</v>
      </c>
      <c r="G1351" t="s">
        <v>50</v>
      </c>
      <c r="H1351" t="s">
        <v>114</v>
      </c>
      <c r="I1351" t="s">
        <v>261</v>
      </c>
      <c r="J1351">
        <v>699</v>
      </c>
      <c r="K1351">
        <v>10</v>
      </c>
      <c r="L1351" t="s">
        <v>37</v>
      </c>
      <c r="M1351">
        <v>171</v>
      </c>
      <c r="N1351">
        <v>44</v>
      </c>
      <c r="O1351">
        <v>81.5</v>
      </c>
      <c r="P1351">
        <v>6.05</v>
      </c>
      <c r="Q1351">
        <v>4.45</v>
      </c>
      <c r="R1351" t="s">
        <v>77</v>
      </c>
      <c r="S1351" t="s">
        <v>47</v>
      </c>
      <c r="T1351" t="s">
        <v>30</v>
      </c>
    </row>
    <row r="1352" spans="1:20" x14ac:dyDescent="0.3">
      <c r="A1352">
        <v>10557</v>
      </c>
      <c r="B1352" s="2">
        <v>45770</v>
      </c>
      <c r="C1352" t="s">
        <v>360</v>
      </c>
      <c r="D1352" t="s">
        <v>64</v>
      </c>
      <c r="E1352" t="s">
        <v>22</v>
      </c>
      <c r="F1352" t="s">
        <v>41</v>
      </c>
      <c r="G1352" t="s">
        <v>95</v>
      </c>
      <c r="H1352" t="s">
        <v>144</v>
      </c>
      <c r="I1352" t="s">
        <v>295</v>
      </c>
      <c r="J1352">
        <v>983</v>
      </c>
      <c r="K1352">
        <v>14</v>
      </c>
      <c r="L1352" t="s">
        <v>27</v>
      </c>
      <c r="M1352">
        <v>102</v>
      </c>
      <c r="N1352">
        <v>40.5</v>
      </c>
      <c r="O1352">
        <v>69.400000000000006</v>
      </c>
      <c r="P1352">
        <v>5.15</v>
      </c>
      <c r="Q1352">
        <v>1.72</v>
      </c>
      <c r="R1352" t="s">
        <v>87</v>
      </c>
      <c r="S1352" t="s">
        <v>47</v>
      </c>
      <c r="T1352" t="s">
        <v>30</v>
      </c>
    </row>
    <row r="1353" spans="1:20" x14ac:dyDescent="0.3">
      <c r="A1353">
        <v>10682</v>
      </c>
      <c r="B1353" s="2">
        <v>45951</v>
      </c>
      <c r="C1353" t="s">
        <v>49</v>
      </c>
      <c r="D1353" t="s">
        <v>59</v>
      </c>
      <c r="E1353" t="s">
        <v>33</v>
      </c>
      <c r="F1353" t="s">
        <v>23</v>
      </c>
      <c r="G1353" t="s">
        <v>134</v>
      </c>
      <c r="H1353" t="s">
        <v>192</v>
      </c>
      <c r="I1353" t="s">
        <v>79</v>
      </c>
      <c r="J1353">
        <v>1263</v>
      </c>
      <c r="K1353">
        <v>38</v>
      </c>
      <c r="L1353" t="s">
        <v>45</v>
      </c>
      <c r="M1353">
        <v>63</v>
      </c>
      <c r="N1353">
        <v>40.9</v>
      </c>
      <c r="O1353">
        <v>72.5</v>
      </c>
      <c r="P1353">
        <v>4.92</v>
      </c>
      <c r="Q1353">
        <v>5.51</v>
      </c>
      <c r="R1353" t="s">
        <v>152</v>
      </c>
      <c r="S1353" t="s">
        <v>39</v>
      </c>
      <c r="T1353" t="s">
        <v>48</v>
      </c>
    </row>
    <row r="1354" spans="1:20" x14ac:dyDescent="0.3">
      <c r="A1354">
        <v>10578</v>
      </c>
      <c r="B1354" s="2">
        <v>45877</v>
      </c>
      <c r="C1354" t="s">
        <v>49</v>
      </c>
      <c r="D1354" t="s">
        <v>59</v>
      </c>
      <c r="E1354" t="s">
        <v>40</v>
      </c>
      <c r="F1354" t="s">
        <v>41</v>
      </c>
      <c r="G1354" t="s">
        <v>113</v>
      </c>
      <c r="H1354" t="s">
        <v>180</v>
      </c>
      <c r="I1354" t="s">
        <v>36</v>
      </c>
      <c r="J1354">
        <v>1472</v>
      </c>
      <c r="K1354">
        <v>40</v>
      </c>
      <c r="L1354" t="s">
        <v>68</v>
      </c>
      <c r="M1354">
        <v>34</v>
      </c>
      <c r="N1354">
        <v>45.3</v>
      </c>
      <c r="O1354">
        <v>74.099999999999994</v>
      </c>
      <c r="P1354">
        <v>5.42</v>
      </c>
      <c r="Q1354">
        <v>2.6</v>
      </c>
      <c r="R1354" t="s">
        <v>103</v>
      </c>
      <c r="S1354" t="s">
        <v>47</v>
      </c>
      <c r="T1354" t="s">
        <v>30</v>
      </c>
    </row>
    <row r="1355" spans="1:20" x14ac:dyDescent="0.3">
      <c r="A1355">
        <v>11110</v>
      </c>
      <c r="B1355" s="2">
        <v>45859</v>
      </c>
      <c r="C1355" t="s">
        <v>49</v>
      </c>
      <c r="D1355" t="s">
        <v>32</v>
      </c>
      <c r="E1355" t="s">
        <v>107</v>
      </c>
      <c r="F1355" t="s">
        <v>23</v>
      </c>
      <c r="G1355" t="s">
        <v>50</v>
      </c>
      <c r="H1355" t="s">
        <v>93</v>
      </c>
      <c r="I1355" t="s">
        <v>173</v>
      </c>
      <c r="J1355">
        <v>1124</v>
      </c>
      <c r="K1355">
        <v>7</v>
      </c>
      <c r="L1355" t="s">
        <v>71</v>
      </c>
      <c r="M1355">
        <v>70</v>
      </c>
      <c r="N1355">
        <v>48.1</v>
      </c>
      <c r="O1355">
        <v>69.5</v>
      </c>
      <c r="P1355">
        <v>3.28</v>
      </c>
      <c r="Q1355">
        <v>3.29</v>
      </c>
      <c r="R1355" t="s">
        <v>229</v>
      </c>
      <c r="S1355" t="s">
        <v>39</v>
      </c>
      <c r="T1355" t="s">
        <v>30</v>
      </c>
    </row>
    <row r="1356" spans="1:20" x14ac:dyDescent="0.3">
      <c r="A1356">
        <v>11267</v>
      </c>
      <c r="B1356" s="2">
        <v>45904</v>
      </c>
      <c r="C1356" t="s">
        <v>199</v>
      </c>
      <c r="D1356" t="s">
        <v>32</v>
      </c>
      <c r="E1356" t="s">
        <v>33</v>
      </c>
      <c r="F1356" t="s">
        <v>41</v>
      </c>
      <c r="G1356" t="s">
        <v>34</v>
      </c>
      <c r="H1356" t="s">
        <v>265</v>
      </c>
      <c r="I1356" t="s">
        <v>178</v>
      </c>
      <c r="J1356">
        <v>822</v>
      </c>
      <c r="K1356">
        <v>5</v>
      </c>
      <c r="L1356" t="s">
        <v>57</v>
      </c>
      <c r="M1356">
        <v>105</v>
      </c>
      <c r="N1356">
        <v>58.7</v>
      </c>
      <c r="O1356">
        <v>69.7</v>
      </c>
      <c r="P1356">
        <v>5.94</v>
      </c>
      <c r="Q1356">
        <v>2.0699999999999998</v>
      </c>
      <c r="R1356" t="s">
        <v>280</v>
      </c>
      <c r="S1356" t="s">
        <v>47</v>
      </c>
      <c r="T1356" t="s">
        <v>30</v>
      </c>
    </row>
    <row r="1357" spans="1:20" x14ac:dyDescent="0.3">
      <c r="A1357">
        <v>11184</v>
      </c>
      <c r="B1357" s="2">
        <v>45958</v>
      </c>
      <c r="C1357" t="s">
        <v>20</v>
      </c>
      <c r="D1357" t="s">
        <v>64</v>
      </c>
      <c r="E1357" t="s">
        <v>22</v>
      </c>
      <c r="F1357" t="s">
        <v>41</v>
      </c>
      <c r="G1357" t="s">
        <v>113</v>
      </c>
      <c r="H1357" t="s">
        <v>43</v>
      </c>
      <c r="I1357" t="s">
        <v>332</v>
      </c>
      <c r="J1357">
        <v>1001</v>
      </c>
      <c r="K1357">
        <v>4</v>
      </c>
      <c r="L1357" t="s">
        <v>45</v>
      </c>
      <c r="M1357">
        <v>107</v>
      </c>
      <c r="N1357">
        <v>45.3</v>
      </c>
      <c r="O1357">
        <v>70.3</v>
      </c>
      <c r="P1357">
        <v>4.7699999999999996</v>
      </c>
      <c r="Q1357">
        <v>2.57</v>
      </c>
      <c r="R1357" t="s">
        <v>152</v>
      </c>
      <c r="S1357" t="s">
        <v>73</v>
      </c>
      <c r="T1357" t="s">
        <v>30</v>
      </c>
    </row>
    <row r="1358" spans="1:20" x14ac:dyDescent="0.3">
      <c r="A1358">
        <v>10525</v>
      </c>
      <c r="B1358" s="2">
        <v>45713</v>
      </c>
      <c r="C1358" t="s">
        <v>20</v>
      </c>
      <c r="D1358" t="s">
        <v>32</v>
      </c>
      <c r="E1358" t="s">
        <v>22</v>
      </c>
      <c r="F1358" t="s">
        <v>41</v>
      </c>
      <c r="G1358" t="s">
        <v>95</v>
      </c>
      <c r="H1358" t="s">
        <v>93</v>
      </c>
      <c r="I1358" t="s">
        <v>212</v>
      </c>
      <c r="J1358">
        <v>670</v>
      </c>
      <c r="K1358">
        <v>7</v>
      </c>
      <c r="L1358" t="s">
        <v>68</v>
      </c>
      <c r="M1358">
        <v>175</v>
      </c>
      <c r="N1358">
        <v>48.6</v>
      </c>
      <c r="O1358">
        <v>74.099999999999994</v>
      </c>
      <c r="P1358">
        <v>4.43</v>
      </c>
      <c r="Q1358">
        <v>1.01</v>
      </c>
      <c r="R1358" t="s">
        <v>186</v>
      </c>
      <c r="S1358" t="s">
        <v>47</v>
      </c>
      <c r="T1358" t="s">
        <v>30</v>
      </c>
    </row>
    <row r="1359" spans="1:20" x14ac:dyDescent="0.3">
      <c r="A1359">
        <v>11060</v>
      </c>
      <c r="B1359" s="2">
        <v>45846</v>
      </c>
      <c r="C1359" t="s">
        <v>49</v>
      </c>
      <c r="D1359" t="s">
        <v>32</v>
      </c>
      <c r="E1359" t="s">
        <v>33</v>
      </c>
      <c r="F1359" t="s">
        <v>274</v>
      </c>
      <c r="G1359" t="s">
        <v>42</v>
      </c>
      <c r="H1359" t="s">
        <v>131</v>
      </c>
      <c r="I1359" t="s">
        <v>273</v>
      </c>
      <c r="J1359">
        <v>1379</v>
      </c>
      <c r="K1359">
        <v>21</v>
      </c>
      <c r="L1359" t="s">
        <v>57</v>
      </c>
      <c r="M1359">
        <v>90</v>
      </c>
      <c r="N1359">
        <v>40.1</v>
      </c>
      <c r="O1359">
        <v>67.3</v>
      </c>
      <c r="P1359">
        <v>5.0599999999999996</v>
      </c>
      <c r="Q1359">
        <v>0.75</v>
      </c>
      <c r="R1359" t="s">
        <v>240</v>
      </c>
      <c r="S1359" t="s">
        <v>73</v>
      </c>
      <c r="T1359" t="s">
        <v>30</v>
      </c>
    </row>
    <row r="1360" spans="1:20" x14ac:dyDescent="0.3">
      <c r="A1360">
        <v>10541</v>
      </c>
      <c r="B1360" s="2">
        <v>45721</v>
      </c>
      <c r="C1360" t="s">
        <v>20</v>
      </c>
      <c r="D1360" t="s">
        <v>59</v>
      </c>
      <c r="E1360" t="s">
        <v>40</v>
      </c>
      <c r="F1360" t="s">
        <v>23</v>
      </c>
      <c r="G1360" t="s">
        <v>50</v>
      </c>
      <c r="H1360" t="s">
        <v>101</v>
      </c>
      <c r="I1360" t="s">
        <v>373</v>
      </c>
      <c r="J1360">
        <v>1236</v>
      </c>
      <c r="K1360">
        <v>12</v>
      </c>
      <c r="L1360" t="s">
        <v>71</v>
      </c>
      <c r="M1360">
        <v>7</v>
      </c>
      <c r="N1360">
        <v>43.3</v>
      </c>
      <c r="O1360">
        <v>78</v>
      </c>
      <c r="P1360">
        <v>5.66</v>
      </c>
      <c r="Q1360">
        <v>3.46</v>
      </c>
      <c r="R1360" t="s">
        <v>119</v>
      </c>
      <c r="S1360" t="s">
        <v>73</v>
      </c>
      <c r="T1360" t="s">
        <v>30</v>
      </c>
    </row>
    <row r="1361" spans="1:20" x14ac:dyDescent="0.3">
      <c r="A1361">
        <v>11195</v>
      </c>
      <c r="B1361" s="2">
        <v>45782</v>
      </c>
      <c r="C1361" t="s">
        <v>31</v>
      </c>
      <c r="D1361" t="s">
        <v>32</v>
      </c>
      <c r="E1361" t="s">
        <v>22</v>
      </c>
      <c r="F1361" t="s">
        <v>23</v>
      </c>
      <c r="G1361" t="s">
        <v>54</v>
      </c>
      <c r="H1361" t="s">
        <v>252</v>
      </c>
      <c r="I1361" t="s">
        <v>94</v>
      </c>
      <c r="J1361">
        <v>972</v>
      </c>
      <c r="K1361">
        <v>14</v>
      </c>
      <c r="L1361" t="s">
        <v>68</v>
      </c>
      <c r="M1361" t="s">
        <v>407</v>
      </c>
      <c r="N1361">
        <v>40.200000000000003</v>
      </c>
      <c r="O1361">
        <v>66.400000000000006</v>
      </c>
      <c r="P1361">
        <v>5.17</v>
      </c>
      <c r="Q1361">
        <v>2.08</v>
      </c>
      <c r="R1361" t="s">
        <v>58</v>
      </c>
      <c r="S1361" t="s">
        <v>29</v>
      </c>
      <c r="T1361" t="s">
        <v>30</v>
      </c>
    </row>
    <row r="1362" spans="1:20" x14ac:dyDescent="0.3">
      <c r="A1362">
        <v>10749</v>
      </c>
      <c r="B1362" s="2">
        <v>45918</v>
      </c>
      <c r="C1362" t="s">
        <v>31</v>
      </c>
      <c r="D1362" t="s">
        <v>59</v>
      </c>
      <c r="E1362" t="s">
        <v>107</v>
      </c>
      <c r="F1362" t="s">
        <v>41</v>
      </c>
      <c r="G1362" t="s">
        <v>42</v>
      </c>
      <c r="H1362" t="s">
        <v>287</v>
      </c>
      <c r="I1362" t="s">
        <v>332</v>
      </c>
      <c r="J1362">
        <v>1308</v>
      </c>
      <c r="K1362">
        <v>41</v>
      </c>
      <c r="L1362" t="s">
        <v>68</v>
      </c>
      <c r="M1362">
        <v>177</v>
      </c>
      <c r="N1362">
        <v>32.9</v>
      </c>
      <c r="O1362">
        <v>60.3</v>
      </c>
      <c r="P1362">
        <v>6.01</v>
      </c>
      <c r="Q1362">
        <v>1.1299999999999999</v>
      </c>
      <c r="R1362" t="s">
        <v>128</v>
      </c>
      <c r="S1362" t="s">
        <v>29</v>
      </c>
      <c r="T1362" t="s">
        <v>48</v>
      </c>
    </row>
    <row r="1363" spans="1:20" x14ac:dyDescent="0.3">
      <c r="A1363">
        <v>11399</v>
      </c>
      <c r="B1363" s="2">
        <v>45760</v>
      </c>
      <c r="C1363" t="s">
        <v>150</v>
      </c>
      <c r="D1363" t="s">
        <v>59</v>
      </c>
      <c r="E1363" t="s">
        <v>40</v>
      </c>
      <c r="F1363" t="s">
        <v>23</v>
      </c>
      <c r="G1363" t="s">
        <v>109</v>
      </c>
      <c r="H1363" t="s">
        <v>114</v>
      </c>
      <c r="I1363" t="s">
        <v>282</v>
      </c>
      <c r="J1363">
        <v>881</v>
      </c>
      <c r="K1363">
        <v>28</v>
      </c>
      <c r="L1363" t="s">
        <v>37</v>
      </c>
      <c r="M1363">
        <v>73</v>
      </c>
      <c r="N1363">
        <v>38.700000000000003</v>
      </c>
      <c r="O1363">
        <v>81.400000000000006</v>
      </c>
      <c r="P1363">
        <v>4.45</v>
      </c>
      <c r="Q1363">
        <v>18</v>
      </c>
      <c r="R1363" t="s">
        <v>63</v>
      </c>
      <c r="S1363" t="s">
        <v>47</v>
      </c>
      <c r="T1363" t="s">
        <v>48</v>
      </c>
    </row>
    <row r="1364" spans="1:20" x14ac:dyDescent="0.3">
      <c r="A1364">
        <v>10485</v>
      </c>
      <c r="B1364" s="2">
        <v>45935</v>
      </c>
      <c r="C1364" t="s">
        <v>20</v>
      </c>
      <c r="D1364" t="s">
        <v>64</v>
      </c>
      <c r="E1364" t="s">
        <v>33</v>
      </c>
      <c r="F1364" t="s">
        <v>23</v>
      </c>
      <c r="G1364" t="s">
        <v>95</v>
      </c>
      <c r="H1364" t="s">
        <v>69</v>
      </c>
      <c r="I1364" t="s">
        <v>335</v>
      </c>
      <c r="J1364">
        <v>1438</v>
      </c>
      <c r="K1364">
        <v>9</v>
      </c>
      <c r="L1364" t="s">
        <v>37</v>
      </c>
      <c r="M1364">
        <v>87</v>
      </c>
      <c r="N1364">
        <v>57.7</v>
      </c>
      <c r="O1364">
        <v>64.7</v>
      </c>
      <c r="P1364">
        <v>6.13</v>
      </c>
      <c r="Q1364">
        <v>3.21</v>
      </c>
      <c r="R1364" t="s">
        <v>143</v>
      </c>
      <c r="S1364" t="s">
        <v>47</v>
      </c>
      <c r="T1364" t="s">
        <v>30</v>
      </c>
    </row>
    <row r="1365" spans="1:20" x14ac:dyDescent="0.3">
      <c r="A1365">
        <v>10096</v>
      </c>
      <c r="B1365" s="2">
        <v>45798</v>
      </c>
      <c r="C1365" t="s">
        <v>150</v>
      </c>
      <c r="D1365" t="s">
        <v>59</v>
      </c>
      <c r="E1365" t="s">
        <v>107</v>
      </c>
      <c r="F1365" t="s">
        <v>41</v>
      </c>
      <c r="G1365" t="s">
        <v>54</v>
      </c>
      <c r="H1365" t="s">
        <v>213</v>
      </c>
      <c r="I1365" t="s">
        <v>238</v>
      </c>
      <c r="J1365">
        <v>1413</v>
      </c>
      <c r="K1365">
        <v>103</v>
      </c>
      <c r="L1365" t="s">
        <v>68</v>
      </c>
      <c r="M1365">
        <v>97</v>
      </c>
      <c r="N1365">
        <v>42.3</v>
      </c>
      <c r="O1365">
        <v>70.2</v>
      </c>
      <c r="P1365">
        <v>4.1500000000000004</v>
      </c>
      <c r="Q1365">
        <v>1.08</v>
      </c>
      <c r="R1365" t="s">
        <v>189</v>
      </c>
      <c r="S1365" t="s">
        <v>39</v>
      </c>
      <c r="T1365" t="s">
        <v>48</v>
      </c>
    </row>
    <row r="1366" spans="1:20" x14ac:dyDescent="0.3">
      <c r="A1366">
        <v>11021</v>
      </c>
      <c r="B1366" s="2">
        <v>45948</v>
      </c>
      <c r="C1366" t="s">
        <v>20</v>
      </c>
      <c r="D1366" t="s">
        <v>64</v>
      </c>
      <c r="E1366" t="s">
        <v>40</v>
      </c>
      <c r="F1366" t="s">
        <v>23</v>
      </c>
      <c r="G1366" t="s">
        <v>134</v>
      </c>
      <c r="H1366" t="s">
        <v>96</v>
      </c>
      <c r="I1366" t="s">
        <v>361</v>
      </c>
      <c r="J1366">
        <v>1167</v>
      </c>
      <c r="K1366">
        <v>13</v>
      </c>
      <c r="L1366" t="s">
        <v>68</v>
      </c>
      <c r="M1366">
        <v>77</v>
      </c>
      <c r="N1366">
        <v>52.6</v>
      </c>
      <c r="O1366">
        <v>62.7</v>
      </c>
      <c r="P1366">
        <v>5.83</v>
      </c>
      <c r="Q1366">
        <v>2.41</v>
      </c>
      <c r="R1366" t="s">
        <v>140</v>
      </c>
      <c r="S1366" t="s">
        <v>47</v>
      </c>
      <c r="T1366" t="s">
        <v>30</v>
      </c>
    </row>
    <row r="1367" spans="1:20" x14ac:dyDescent="0.3">
      <c r="A1367">
        <v>10564</v>
      </c>
      <c r="B1367" s="2">
        <v>45836</v>
      </c>
      <c r="C1367" t="s">
        <v>20</v>
      </c>
      <c r="D1367" t="s">
        <v>32</v>
      </c>
      <c r="E1367" t="s">
        <v>22</v>
      </c>
      <c r="F1367" t="s">
        <v>41</v>
      </c>
      <c r="G1367" t="s">
        <v>34</v>
      </c>
      <c r="H1367" t="s">
        <v>172</v>
      </c>
      <c r="I1367" t="s">
        <v>310</v>
      </c>
      <c r="J1367">
        <v>1342</v>
      </c>
      <c r="K1367">
        <v>46</v>
      </c>
      <c r="L1367" t="s">
        <v>68</v>
      </c>
      <c r="M1367">
        <v>113</v>
      </c>
      <c r="N1367">
        <v>45.3</v>
      </c>
      <c r="O1367">
        <v>68.3</v>
      </c>
      <c r="P1367">
        <v>5.26</v>
      </c>
      <c r="Q1367">
        <v>3.74</v>
      </c>
      <c r="R1367" t="s">
        <v>184</v>
      </c>
      <c r="S1367" t="s">
        <v>47</v>
      </c>
      <c r="T1367" t="s">
        <v>48</v>
      </c>
    </row>
    <row r="1368" spans="1:20" x14ac:dyDescent="0.3">
      <c r="A1368">
        <v>11265</v>
      </c>
      <c r="B1368" s="2">
        <v>45986</v>
      </c>
      <c r="C1368" t="s">
        <v>49</v>
      </c>
      <c r="D1368" t="s">
        <v>64</v>
      </c>
      <c r="E1368" t="s">
        <v>107</v>
      </c>
      <c r="F1368" t="s">
        <v>23</v>
      </c>
      <c r="G1368" t="s">
        <v>95</v>
      </c>
      <c r="H1368" t="s">
        <v>196</v>
      </c>
      <c r="I1368" t="s">
        <v>322</v>
      </c>
      <c r="J1368">
        <v>607</v>
      </c>
      <c r="K1368">
        <v>7</v>
      </c>
      <c r="L1368" t="s">
        <v>71</v>
      </c>
      <c r="M1368">
        <v>26</v>
      </c>
      <c r="N1368">
        <v>48.5</v>
      </c>
      <c r="O1368">
        <v>82.4</v>
      </c>
      <c r="P1368">
        <v>4.66</v>
      </c>
      <c r="Q1368">
        <v>3.4</v>
      </c>
      <c r="R1368" t="s">
        <v>103</v>
      </c>
      <c r="S1368" t="s">
        <v>47</v>
      </c>
      <c r="T1368" t="s">
        <v>30</v>
      </c>
    </row>
    <row r="1369" spans="1:20" x14ac:dyDescent="0.3">
      <c r="A1369">
        <v>10743</v>
      </c>
      <c r="B1369" s="2">
        <v>45739</v>
      </c>
      <c r="C1369" t="s">
        <v>49</v>
      </c>
      <c r="D1369" t="s">
        <v>59</v>
      </c>
      <c r="E1369" t="s">
        <v>107</v>
      </c>
      <c r="F1369" t="s">
        <v>81</v>
      </c>
      <c r="G1369" t="s">
        <v>50</v>
      </c>
      <c r="H1369" t="s">
        <v>165</v>
      </c>
      <c r="I1369" t="s">
        <v>296</v>
      </c>
      <c r="J1369">
        <v>1042</v>
      </c>
      <c r="K1369">
        <v>61</v>
      </c>
      <c r="L1369" t="s">
        <v>71</v>
      </c>
      <c r="M1369">
        <v>120</v>
      </c>
      <c r="N1369">
        <v>41.4</v>
      </c>
      <c r="O1369">
        <v>68.3</v>
      </c>
      <c r="P1369">
        <v>4.79</v>
      </c>
      <c r="Q1369">
        <v>2.25</v>
      </c>
      <c r="R1369" t="s">
        <v>63</v>
      </c>
      <c r="S1369" t="s">
        <v>39</v>
      </c>
      <c r="T1369" t="s">
        <v>48</v>
      </c>
    </row>
    <row r="1370" spans="1:20" x14ac:dyDescent="0.3">
      <c r="A1370">
        <v>10864</v>
      </c>
      <c r="B1370" s="2">
        <v>45987</v>
      </c>
      <c r="C1370" t="s">
        <v>156</v>
      </c>
      <c r="D1370" t="s">
        <v>32</v>
      </c>
      <c r="E1370" t="s">
        <v>107</v>
      </c>
      <c r="F1370" t="s">
        <v>23</v>
      </c>
      <c r="G1370" t="s">
        <v>50</v>
      </c>
      <c r="H1370" t="s">
        <v>141</v>
      </c>
      <c r="I1370" t="s">
        <v>210</v>
      </c>
      <c r="J1370">
        <v>622</v>
      </c>
      <c r="K1370">
        <v>5</v>
      </c>
      <c r="L1370" t="s">
        <v>57</v>
      </c>
      <c r="M1370">
        <v>143</v>
      </c>
      <c r="N1370">
        <v>33.9</v>
      </c>
      <c r="O1370">
        <v>63.1</v>
      </c>
      <c r="P1370">
        <v>5.49</v>
      </c>
      <c r="Q1370">
        <v>4.5599999999999996</v>
      </c>
      <c r="R1370" t="s">
        <v>105</v>
      </c>
      <c r="S1370" t="s">
        <v>39</v>
      </c>
      <c r="T1370" t="s">
        <v>30</v>
      </c>
    </row>
    <row r="1371" spans="1:20" x14ac:dyDescent="0.3">
      <c r="A1371">
        <v>10892</v>
      </c>
      <c r="B1371" s="2">
        <v>45958</v>
      </c>
      <c r="C1371" t="s">
        <v>20</v>
      </c>
      <c r="D1371" t="s">
        <v>21</v>
      </c>
      <c r="E1371" t="s">
        <v>22</v>
      </c>
      <c r="F1371" t="s">
        <v>81</v>
      </c>
      <c r="G1371" t="s">
        <v>50</v>
      </c>
      <c r="H1371" t="s">
        <v>99</v>
      </c>
      <c r="I1371" t="s">
        <v>353</v>
      </c>
      <c r="J1371">
        <v>503</v>
      </c>
      <c r="K1371">
        <v>4</v>
      </c>
      <c r="L1371" t="s">
        <v>45</v>
      </c>
      <c r="M1371">
        <v>120</v>
      </c>
      <c r="N1371">
        <v>36.6</v>
      </c>
      <c r="O1371">
        <v>77.2</v>
      </c>
      <c r="P1371">
        <v>4.34</v>
      </c>
      <c r="Q1371">
        <v>4.2699999999999996</v>
      </c>
      <c r="R1371" t="s">
        <v>243</v>
      </c>
      <c r="S1371" t="s">
        <v>73</v>
      </c>
      <c r="T1371" t="s">
        <v>30</v>
      </c>
    </row>
    <row r="1372" spans="1:20" x14ac:dyDescent="0.3">
      <c r="A1372">
        <v>11039</v>
      </c>
      <c r="B1372" s="2">
        <v>45926</v>
      </c>
      <c r="C1372" t="s">
        <v>31</v>
      </c>
      <c r="D1372" t="s">
        <v>59</v>
      </c>
      <c r="E1372" t="s">
        <v>33</v>
      </c>
      <c r="F1372" t="s">
        <v>41</v>
      </c>
      <c r="G1372" t="s">
        <v>109</v>
      </c>
      <c r="I1372" t="s">
        <v>104</v>
      </c>
      <c r="J1372">
        <v>486</v>
      </c>
      <c r="K1372">
        <v>17</v>
      </c>
      <c r="L1372" t="s">
        <v>37</v>
      </c>
      <c r="M1372">
        <v>18</v>
      </c>
      <c r="N1372">
        <v>43.1</v>
      </c>
      <c r="O1372">
        <v>72.5</v>
      </c>
      <c r="P1372">
        <v>4.12</v>
      </c>
      <c r="Q1372">
        <v>2.4300000000000002</v>
      </c>
      <c r="R1372" t="s">
        <v>167</v>
      </c>
      <c r="S1372" t="s">
        <v>47</v>
      </c>
      <c r="T1372" t="s">
        <v>48</v>
      </c>
    </row>
    <row r="1373" spans="1:20" x14ac:dyDescent="0.3">
      <c r="A1373">
        <v>10207</v>
      </c>
      <c r="B1373" s="2">
        <v>45965</v>
      </c>
      <c r="C1373" t="s">
        <v>20</v>
      </c>
      <c r="D1373" t="s">
        <v>59</v>
      </c>
      <c r="E1373" t="s">
        <v>40</v>
      </c>
      <c r="F1373" t="s">
        <v>23</v>
      </c>
      <c r="G1373" t="s">
        <v>95</v>
      </c>
      <c r="H1373" t="s">
        <v>351</v>
      </c>
      <c r="I1373" t="s">
        <v>352</v>
      </c>
      <c r="J1373">
        <v>1163</v>
      </c>
      <c r="K1373">
        <v>14</v>
      </c>
      <c r="L1373" t="s">
        <v>45</v>
      </c>
      <c r="M1373">
        <v>13</v>
      </c>
      <c r="N1373">
        <v>39</v>
      </c>
      <c r="O1373">
        <v>55.6</v>
      </c>
      <c r="P1373">
        <v>5.3</v>
      </c>
      <c r="Q1373">
        <v>2.9</v>
      </c>
      <c r="R1373" t="s">
        <v>152</v>
      </c>
      <c r="S1373" t="s">
        <v>47</v>
      </c>
      <c r="T1373" t="s">
        <v>30</v>
      </c>
    </row>
    <row r="1374" spans="1:20" x14ac:dyDescent="0.3">
      <c r="A1374">
        <v>10393</v>
      </c>
      <c r="B1374" s="2">
        <v>45882</v>
      </c>
      <c r="C1374" t="s">
        <v>20</v>
      </c>
      <c r="D1374" t="s">
        <v>59</v>
      </c>
      <c r="E1374" t="s">
        <v>40</v>
      </c>
      <c r="F1374" t="s">
        <v>41</v>
      </c>
      <c r="G1374" t="s">
        <v>34</v>
      </c>
      <c r="H1374" t="s">
        <v>43</v>
      </c>
      <c r="I1374" t="s">
        <v>226</v>
      </c>
      <c r="J1374">
        <v>1404</v>
      </c>
      <c r="K1374">
        <v>20</v>
      </c>
      <c r="L1374" t="s">
        <v>57</v>
      </c>
      <c r="M1374">
        <v>68</v>
      </c>
      <c r="N1374">
        <v>41.1</v>
      </c>
      <c r="O1374">
        <v>66.8</v>
      </c>
      <c r="P1374">
        <v>3.44</v>
      </c>
      <c r="Q1374">
        <v>4.5599999999999996</v>
      </c>
      <c r="R1374" t="s">
        <v>125</v>
      </c>
      <c r="S1374" t="s">
        <v>29</v>
      </c>
      <c r="T1374" t="s">
        <v>30</v>
      </c>
    </row>
    <row r="1375" spans="1:20" x14ac:dyDescent="0.3">
      <c r="A1375">
        <v>10795</v>
      </c>
      <c r="B1375" s="2">
        <v>45966</v>
      </c>
      <c r="C1375" t="s">
        <v>31</v>
      </c>
      <c r="D1375" t="s">
        <v>64</v>
      </c>
      <c r="E1375" t="s">
        <v>40</v>
      </c>
      <c r="F1375" t="s">
        <v>112</v>
      </c>
      <c r="G1375" t="s">
        <v>113</v>
      </c>
      <c r="H1375" t="s">
        <v>205</v>
      </c>
      <c r="I1375" t="s">
        <v>299</v>
      </c>
      <c r="J1375">
        <v>999</v>
      </c>
      <c r="K1375">
        <v>13</v>
      </c>
      <c r="L1375" t="s">
        <v>57</v>
      </c>
      <c r="M1375">
        <v>34</v>
      </c>
      <c r="N1375">
        <v>53.3</v>
      </c>
      <c r="O1375">
        <v>69.900000000000006</v>
      </c>
      <c r="P1375">
        <v>4.68</v>
      </c>
      <c r="Q1375">
        <v>3.58</v>
      </c>
      <c r="R1375" t="s">
        <v>77</v>
      </c>
      <c r="S1375" t="s">
        <v>73</v>
      </c>
      <c r="T1375" t="s">
        <v>30</v>
      </c>
    </row>
    <row r="1376" spans="1:20" x14ac:dyDescent="0.3">
      <c r="A1376">
        <v>10871</v>
      </c>
      <c r="B1376" s="2">
        <v>45770</v>
      </c>
      <c r="C1376" t="s">
        <v>49</v>
      </c>
      <c r="D1376" t="s">
        <v>21</v>
      </c>
      <c r="E1376" t="s">
        <v>107</v>
      </c>
      <c r="F1376" t="s">
        <v>23</v>
      </c>
      <c r="G1376" t="s">
        <v>34</v>
      </c>
      <c r="H1376" t="s">
        <v>138</v>
      </c>
      <c r="I1376" t="s">
        <v>379</v>
      </c>
      <c r="J1376">
        <v>567</v>
      </c>
      <c r="K1376">
        <v>20</v>
      </c>
      <c r="L1376" t="s">
        <v>71</v>
      </c>
      <c r="M1376">
        <v>13</v>
      </c>
      <c r="N1376">
        <v>46.1</v>
      </c>
      <c r="O1376">
        <v>79.099999999999994</v>
      </c>
      <c r="P1376">
        <v>4.68</v>
      </c>
      <c r="Q1376">
        <v>3.57</v>
      </c>
      <c r="R1376" t="s">
        <v>183</v>
      </c>
      <c r="S1376" t="s">
        <v>39</v>
      </c>
      <c r="T1376" t="s">
        <v>48</v>
      </c>
    </row>
    <row r="1377" spans="1:20" x14ac:dyDescent="0.3">
      <c r="A1377">
        <v>10398</v>
      </c>
      <c r="B1377" s="2">
        <v>45671</v>
      </c>
      <c r="C1377" t="s">
        <v>49</v>
      </c>
      <c r="D1377" t="s">
        <v>64</v>
      </c>
      <c r="E1377" t="s">
        <v>33</v>
      </c>
      <c r="F1377" t="s">
        <v>81</v>
      </c>
      <c r="G1377" t="s">
        <v>60</v>
      </c>
      <c r="H1377" t="s">
        <v>66</v>
      </c>
      <c r="I1377" t="s">
        <v>356</v>
      </c>
      <c r="J1377">
        <v>838</v>
      </c>
      <c r="K1377">
        <v>5</v>
      </c>
      <c r="L1377" t="s">
        <v>45</v>
      </c>
      <c r="M1377">
        <v>18</v>
      </c>
      <c r="N1377">
        <v>36.5</v>
      </c>
      <c r="O1377">
        <v>88.8</v>
      </c>
      <c r="P1377">
        <v>4.32</v>
      </c>
      <c r="Q1377">
        <v>1.05</v>
      </c>
      <c r="R1377" t="s">
        <v>137</v>
      </c>
      <c r="S1377" t="s">
        <v>39</v>
      </c>
      <c r="T1377" t="s">
        <v>30</v>
      </c>
    </row>
    <row r="1378" spans="1:20" x14ac:dyDescent="0.3">
      <c r="A1378">
        <v>10767</v>
      </c>
      <c r="B1378" s="2">
        <v>45988</v>
      </c>
      <c r="C1378" t="s">
        <v>20</v>
      </c>
      <c r="D1378" t="s">
        <v>21</v>
      </c>
      <c r="E1378" t="s">
        <v>33</v>
      </c>
      <c r="F1378" t="s">
        <v>81</v>
      </c>
      <c r="G1378" t="s">
        <v>42</v>
      </c>
      <c r="H1378" t="s">
        <v>196</v>
      </c>
      <c r="I1378" t="s">
        <v>303</v>
      </c>
      <c r="J1378">
        <v>1007</v>
      </c>
      <c r="K1378">
        <v>31</v>
      </c>
      <c r="L1378" t="s">
        <v>37</v>
      </c>
      <c r="M1378">
        <v>54</v>
      </c>
      <c r="N1378">
        <v>44</v>
      </c>
      <c r="O1378">
        <v>61.9</v>
      </c>
      <c r="P1378">
        <v>5.16</v>
      </c>
      <c r="Q1378">
        <v>4.4000000000000004</v>
      </c>
      <c r="R1378" t="s">
        <v>72</v>
      </c>
      <c r="S1378" t="s">
        <v>73</v>
      </c>
      <c r="T1378" t="s">
        <v>48</v>
      </c>
    </row>
    <row r="1379" spans="1:20" x14ac:dyDescent="0.3">
      <c r="A1379">
        <v>11389</v>
      </c>
      <c r="B1379" s="2">
        <v>45797</v>
      </c>
      <c r="C1379" t="s">
        <v>49</v>
      </c>
      <c r="D1379" t="s">
        <v>59</v>
      </c>
      <c r="E1379" t="s">
        <v>107</v>
      </c>
      <c r="F1379" t="s">
        <v>41</v>
      </c>
      <c r="G1379" t="s">
        <v>42</v>
      </c>
      <c r="H1379" t="s">
        <v>180</v>
      </c>
      <c r="I1379" t="s">
        <v>44</v>
      </c>
      <c r="J1379">
        <v>1567</v>
      </c>
      <c r="K1379">
        <v>20</v>
      </c>
      <c r="L1379" t="s">
        <v>37</v>
      </c>
      <c r="M1379">
        <v>160</v>
      </c>
      <c r="N1379">
        <v>45.3</v>
      </c>
      <c r="O1379">
        <v>72.2</v>
      </c>
      <c r="P1379">
        <v>4.16</v>
      </c>
      <c r="Q1379">
        <v>3.84</v>
      </c>
      <c r="R1379" t="s">
        <v>179</v>
      </c>
      <c r="S1379" t="s">
        <v>47</v>
      </c>
      <c r="T1379" t="s">
        <v>30</v>
      </c>
    </row>
    <row r="1380" spans="1:20" x14ac:dyDescent="0.3">
      <c r="A1380">
        <v>11242</v>
      </c>
      <c r="B1380" s="2">
        <v>45943</v>
      </c>
      <c r="C1380" t="s">
        <v>31</v>
      </c>
      <c r="D1380" t="s">
        <v>32</v>
      </c>
      <c r="E1380" t="s">
        <v>107</v>
      </c>
      <c r="F1380" t="s">
        <v>41</v>
      </c>
      <c r="G1380" t="s">
        <v>109</v>
      </c>
      <c r="H1380" t="s">
        <v>196</v>
      </c>
      <c r="I1380" t="s">
        <v>331</v>
      </c>
      <c r="J1380">
        <v>1047</v>
      </c>
      <c r="K1380">
        <v>13</v>
      </c>
      <c r="L1380" t="s">
        <v>45</v>
      </c>
      <c r="M1380">
        <v>105</v>
      </c>
      <c r="N1380">
        <v>41.3</v>
      </c>
      <c r="O1380">
        <v>78</v>
      </c>
      <c r="P1380">
        <v>5.31</v>
      </c>
      <c r="Q1380">
        <v>2.74</v>
      </c>
      <c r="R1380" t="s">
        <v>84</v>
      </c>
      <c r="S1380" t="s">
        <v>73</v>
      </c>
      <c r="T1380" t="s">
        <v>30</v>
      </c>
    </row>
    <row r="1381" spans="1:20" x14ac:dyDescent="0.3">
      <c r="A1381">
        <v>11029</v>
      </c>
      <c r="B1381" s="2">
        <v>45984</v>
      </c>
      <c r="C1381" t="s">
        <v>49</v>
      </c>
      <c r="D1381" t="s">
        <v>64</v>
      </c>
      <c r="E1381" t="s">
        <v>40</v>
      </c>
      <c r="F1381" t="s">
        <v>41</v>
      </c>
      <c r="G1381" t="s">
        <v>134</v>
      </c>
      <c r="H1381" t="s">
        <v>25</v>
      </c>
      <c r="I1381" t="s">
        <v>315</v>
      </c>
      <c r="J1381">
        <v>1370</v>
      </c>
      <c r="K1381">
        <v>51</v>
      </c>
      <c r="L1381" t="s">
        <v>37</v>
      </c>
      <c r="M1381">
        <v>66</v>
      </c>
      <c r="N1381">
        <v>38.700000000000003</v>
      </c>
      <c r="O1381">
        <v>67.099999999999994</v>
      </c>
      <c r="P1381">
        <v>6.02</v>
      </c>
      <c r="Q1381">
        <v>3.58</v>
      </c>
      <c r="R1381" t="s">
        <v>87</v>
      </c>
      <c r="S1381" t="s">
        <v>73</v>
      </c>
      <c r="T1381" t="s">
        <v>48</v>
      </c>
    </row>
    <row r="1382" spans="1:20" x14ac:dyDescent="0.3">
      <c r="A1382">
        <v>10643</v>
      </c>
      <c r="B1382" s="2">
        <v>45813</v>
      </c>
      <c r="C1382" t="s">
        <v>49</v>
      </c>
      <c r="D1382" t="s">
        <v>32</v>
      </c>
      <c r="E1382" t="s">
        <v>22</v>
      </c>
      <c r="F1382" t="s">
        <v>41</v>
      </c>
      <c r="G1382" t="s">
        <v>50</v>
      </c>
      <c r="H1382" t="s">
        <v>101</v>
      </c>
      <c r="I1382" t="s">
        <v>191</v>
      </c>
      <c r="J1382">
        <v>526</v>
      </c>
      <c r="K1382">
        <v>7</v>
      </c>
      <c r="L1382" t="s">
        <v>45</v>
      </c>
      <c r="M1382">
        <v>138</v>
      </c>
      <c r="N1382">
        <v>54.3</v>
      </c>
      <c r="O1382">
        <v>67.400000000000006</v>
      </c>
      <c r="P1382">
        <v>5.53</v>
      </c>
      <c r="Q1382">
        <v>1.49</v>
      </c>
      <c r="R1382" t="s">
        <v>267</v>
      </c>
      <c r="S1382" t="s">
        <v>47</v>
      </c>
      <c r="T1382" t="s">
        <v>30</v>
      </c>
    </row>
    <row r="1383" spans="1:20" x14ac:dyDescent="0.3">
      <c r="A1383">
        <v>10613</v>
      </c>
      <c r="B1383" s="2">
        <v>45754</v>
      </c>
      <c r="C1383" t="s">
        <v>49</v>
      </c>
      <c r="D1383" t="s">
        <v>32</v>
      </c>
      <c r="E1383" t="s">
        <v>40</v>
      </c>
      <c r="F1383" t="s">
        <v>23</v>
      </c>
      <c r="G1383" t="s">
        <v>34</v>
      </c>
      <c r="H1383" t="s">
        <v>263</v>
      </c>
      <c r="I1383" t="s">
        <v>214</v>
      </c>
      <c r="J1383">
        <v>1555</v>
      </c>
      <c r="K1383">
        <v>3</v>
      </c>
      <c r="L1383" t="s">
        <v>37</v>
      </c>
      <c r="M1383">
        <v>172</v>
      </c>
      <c r="N1383">
        <v>39.5</v>
      </c>
      <c r="O1383">
        <v>83.7</v>
      </c>
      <c r="P1383">
        <v>5.24</v>
      </c>
      <c r="Q1383">
        <v>2.59</v>
      </c>
      <c r="R1383" t="s">
        <v>243</v>
      </c>
      <c r="S1383" t="s">
        <v>73</v>
      </c>
      <c r="T1383" t="s">
        <v>30</v>
      </c>
    </row>
    <row r="1384" spans="1:20" x14ac:dyDescent="0.3">
      <c r="A1384">
        <v>10961</v>
      </c>
      <c r="B1384" s="2">
        <v>45751</v>
      </c>
      <c r="C1384" t="s">
        <v>31</v>
      </c>
      <c r="D1384" t="s">
        <v>59</v>
      </c>
      <c r="E1384" t="s">
        <v>40</v>
      </c>
      <c r="F1384" t="s">
        <v>23</v>
      </c>
      <c r="G1384" t="s">
        <v>95</v>
      </c>
      <c r="H1384" t="s">
        <v>205</v>
      </c>
      <c r="I1384" t="s">
        <v>194</v>
      </c>
      <c r="J1384">
        <v>1241</v>
      </c>
      <c r="K1384">
        <v>9</v>
      </c>
      <c r="L1384" t="s">
        <v>37</v>
      </c>
      <c r="M1384">
        <v>138</v>
      </c>
      <c r="N1384">
        <v>46.8</v>
      </c>
      <c r="O1384">
        <v>79.7</v>
      </c>
      <c r="P1384">
        <v>4.2699999999999996</v>
      </c>
      <c r="Q1384">
        <v>1.46</v>
      </c>
      <c r="R1384" t="s">
        <v>164</v>
      </c>
      <c r="S1384" t="s">
        <v>39</v>
      </c>
      <c r="T1384" t="s">
        <v>30</v>
      </c>
    </row>
    <row r="1385" spans="1:20" x14ac:dyDescent="0.3">
      <c r="A1385">
        <v>10726</v>
      </c>
      <c r="B1385" s="2">
        <v>45681</v>
      </c>
      <c r="C1385" t="s">
        <v>20</v>
      </c>
      <c r="D1385" t="s">
        <v>64</v>
      </c>
      <c r="E1385" t="s">
        <v>33</v>
      </c>
      <c r="F1385" t="s">
        <v>65</v>
      </c>
      <c r="G1385" t="s">
        <v>54</v>
      </c>
      <c r="H1385" t="s">
        <v>138</v>
      </c>
      <c r="I1385" t="s">
        <v>168</v>
      </c>
      <c r="J1385">
        <v>1496</v>
      </c>
      <c r="K1385">
        <v>15</v>
      </c>
      <c r="L1385" t="s">
        <v>68</v>
      </c>
      <c r="M1385">
        <v>160</v>
      </c>
      <c r="N1385">
        <v>45.2</v>
      </c>
      <c r="O1385">
        <v>85.8</v>
      </c>
      <c r="P1385">
        <v>4.4000000000000004</v>
      </c>
      <c r="Q1385">
        <v>1.71</v>
      </c>
      <c r="R1385" t="s">
        <v>229</v>
      </c>
      <c r="S1385" t="s">
        <v>47</v>
      </c>
      <c r="T1385" t="s">
        <v>30</v>
      </c>
    </row>
    <row r="1386" spans="1:20" x14ac:dyDescent="0.3">
      <c r="A1386">
        <v>10684</v>
      </c>
      <c r="B1386" s="2">
        <v>45794</v>
      </c>
      <c r="C1386" t="s">
        <v>49</v>
      </c>
      <c r="D1386" t="s">
        <v>32</v>
      </c>
      <c r="E1386" t="s">
        <v>107</v>
      </c>
      <c r="F1386" t="s">
        <v>41</v>
      </c>
      <c r="G1386" t="s">
        <v>89</v>
      </c>
      <c r="H1386" t="s">
        <v>85</v>
      </c>
      <c r="I1386" t="s">
        <v>381</v>
      </c>
      <c r="J1386">
        <v>1129</v>
      </c>
      <c r="K1386">
        <v>14</v>
      </c>
      <c r="L1386" t="s">
        <v>27</v>
      </c>
      <c r="M1386">
        <v>162</v>
      </c>
      <c r="N1386">
        <v>44.9</v>
      </c>
      <c r="O1386">
        <v>90.6</v>
      </c>
      <c r="P1386">
        <v>5.18</v>
      </c>
      <c r="Q1386">
        <v>4.05</v>
      </c>
      <c r="R1386" t="s">
        <v>243</v>
      </c>
      <c r="S1386" t="s">
        <v>29</v>
      </c>
      <c r="T1386" t="s">
        <v>30</v>
      </c>
    </row>
    <row r="1387" spans="1:20" x14ac:dyDescent="0.3">
      <c r="A1387">
        <v>10099</v>
      </c>
      <c r="B1387" s="2">
        <v>45830</v>
      </c>
      <c r="C1387" t="s">
        <v>271</v>
      </c>
      <c r="D1387" t="s">
        <v>32</v>
      </c>
      <c r="E1387" t="s">
        <v>22</v>
      </c>
      <c r="F1387" t="s">
        <v>41</v>
      </c>
      <c r="G1387" t="s">
        <v>109</v>
      </c>
      <c r="H1387" t="s">
        <v>93</v>
      </c>
      <c r="I1387" t="s">
        <v>142</v>
      </c>
      <c r="J1387">
        <v>1350</v>
      </c>
      <c r="K1387">
        <v>74</v>
      </c>
      <c r="L1387" t="s">
        <v>37</v>
      </c>
      <c r="M1387">
        <v>38</v>
      </c>
      <c r="N1387">
        <v>50.2</v>
      </c>
      <c r="O1387">
        <v>65.099999999999994</v>
      </c>
      <c r="P1387">
        <v>3.36</v>
      </c>
      <c r="Q1387">
        <v>2.31</v>
      </c>
      <c r="R1387" t="s">
        <v>167</v>
      </c>
      <c r="S1387" t="s">
        <v>29</v>
      </c>
      <c r="T1387" t="s">
        <v>48</v>
      </c>
    </row>
    <row r="1388" spans="1:20" x14ac:dyDescent="0.3">
      <c r="A1388">
        <v>10805</v>
      </c>
      <c r="B1388" s="2">
        <v>45982</v>
      </c>
      <c r="C1388" t="s">
        <v>49</v>
      </c>
      <c r="D1388" t="s">
        <v>21</v>
      </c>
      <c r="E1388" t="s">
        <v>107</v>
      </c>
      <c r="F1388" t="s">
        <v>81</v>
      </c>
      <c r="G1388" t="s">
        <v>60</v>
      </c>
      <c r="H1388" t="s">
        <v>114</v>
      </c>
      <c r="I1388" t="s">
        <v>157</v>
      </c>
      <c r="J1388">
        <v>467</v>
      </c>
      <c r="K1388">
        <v>4</v>
      </c>
      <c r="L1388" t="s">
        <v>45</v>
      </c>
      <c r="M1388">
        <v>116</v>
      </c>
      <c r="N1388">
        <v>46.8</v>
      </c>
      <c r="O1388">
        <v>72.3</v>
      </c>
      <c r="P1388">
        <v>4.7699999999999996</v>
      </c>
      <c r="Q1388">
        <v>2</v>
      </c>
      <c r="R1388" t="s">
        <v>130</v>
      </c>
      <c r="S1388" t="s">
        <v>39</v>
      </c>
      <c r="T1388" t="s">
        <v>30</v>
      </c>
    </row>
    <row r="1389" spans="1:20" x14ac:dyDescent="0.3">
      <c r="A1389">
        <v>10407</v>
      </c>
      <c r="B1389" s="2">
        <v>45982</v>
      </c>
      <c r="C1389" t="s">
        <v>20</v>
      </c>
      <c r="D1389" t="s">
        <v>64</v>
      </c>
      <c r="E1389" t="s">
        <v>107</v>
      </c>
      <c r="F1389" t="s">
        <v>23</v>
      </c>
      <c r="G1389" t="s">
        <v>24</v>
      </c>
      <c r="H1389" t="s">
        <v>141</v>
      </c>
      <c r="I1389" t="s">
        <v>330</v>
      </c>
      <c r="J1389">
        <v>1496</v>
      </c>
      <c r="K1389">
        <v>8</v>
      </c>
      <c r="L1389" t="s">
        <v>71</v>
      </c>
      <c r="M1389">
        <v>17</v>
      </c>
      <c r="N1389">
        <v>39.200000000000003</v>
      </c>
      <c r="O1389">
        <v>66</v>
      </c>
      <c r="P1389">
        <v>5.12</v>
      </c>
      <c r="Q1389">
        <v>3.47</v>
      </c>
      <c r="R1389" t="s">
        <v>227</v>
      </c>
      <c r="S1389" t="s">
        <v>73</v>
      </c>
      <c r="T1389" t="s">
        <v>30</v>
      </c>
    </row>
    <row r="1390" spans="1:20" x14ac:dyDescent="0.3">
      <c r="A1390">
        <v>10503</v>
      </c>
      <c r="B1390" s="2">
        <v>45685</v>
      </c>
      <c r="C1390" t="s">
        <v>49</v>
      </c>
      <c r="D1390" t="s">
        <v>21</v>
      </c>
      <c r="E1390" t="s">
        <v>22</v>
      </c>
      <c r="F1390" t="s">
        <v>23</v>
      </c>
      <c r="G1390" t="s">
        <v>50</v>
      </c>
      <c r="H1390" t="s">
        <v>180</v>
      </c>
      <c r="I1390" t="s">
        <v>352</v>
      </c>
      <c r="J1390">
        <v>1495</v>
      </c>
      <c r="K1390">
        <v>32</v>
      </c>
      <c r="L1390" t="s">
        <v>27</v>
      </c>
      <c r="M1390">
        <v>11</v>
      </c>
      <c r="N1390">
        <v>45.1</v>
      </c>
      <c r="O1390">
        <v>74.599999999999994</v>
      </c>
      <c r="P1390">
        <v>5.24</v>
      </c>
      <c r="Q1390">
        <v>2.33</v>
      </c>
      <c r="R1390" t="s">
        <v>183</v>
      </c>
      <c r="S1390" t="s">
        <v>29</v>
      </c>
      <c r="T1390" t="s">
        <v>30</v>
      </c>
    </row>
    <row r="1391" spans="1:20" x14ac:dyDescent="0.3">
      <c r="A1391">
        <v>11072</v>
      </c>
      <c r="B1391" s="2">
        <v>45769</v>
      </c>
      <c r="C1391" t="s">
        <v>20</v>
      </c>
      <c r="D1391" t="s">
        <v>21</v>
      </c>
      <c r="E1391" t="s">
        <v>107</v>
      </c>
      <c r="F1391" t="s">
        <v>41</v>
      </c>
      <c r="G1391" t="s">
        <v>34</v>
      </c>
      <c r="H1391" t="s">
        <v>215</v>
      </c>
      <c r="I1391" t="s">
        <v>317</v>
      </c>
      <c r="J1391" t="s">
        <v>408</v>
      </c>
      <c r="K1391">
        <v>17</v>
      </c>
      <c r="L1391" t="s">
        <v>68</v>
      </c>
      <c r="M1391">
        <v>145</v>
      </c>
      <c r="N1391">
        <v>42.1</v>
      </c>
      <c r="O1391">
        <v>90.8</v>
      </c>
      <c r="P1391">
        <v>5.81</v>
      </c>
      <c r="Q1391">
        <v>0.33</v>
      </c>
      <c r="R1391" t="s">
        <v>186</v>
      </c>
      <c r="S1391" t="s">
        <v>39</v>
      </c>
      <c r="T1391" t="s">
        <v>30</v>
      </c>
    </row>
    <row r="1392" spans="1:20" x14ac:dyDescent="0.3">
      <c r="A1392">
        <v>11057</v>
      </c>
      <c r="B1392" s="2">
        <v>45802</v>
      </c>
      <c r="C1392" t="s">
        <v>360</v>
      </c>
      <c r="D1392" t="s">
        <v>21</v>
      </c>
      <c r="E1392" t="s">
        <v>107</v>
      </c>
      <c r="F1392" t="s">
        <v>41</v>
      </c>
      <c r="G1392" t="s">
        <v>95</v>
      </c>
      <c r="H1392" t="s">
        <v>148</v>
      </c>
      <c r="I1392" t="s">
        <v>347</v>
      </c>
      <c r="J1392">
        <v>1103</v>
      </c>
      <c r="K1392">
        <v>12</v>
      </c>
      <c r="L1392" t="s">
        <v>37</v>
      </c>
      <c r="M1392">
        <v>25</v>
      </c>
      <c r="N1392">
        <v>48.3</v>
      </c>
      <c r="O1392">
        <v>72.7</v>
      </c>
      <c r="P1392">
        <v>5.12</v>
      </c>
      <c r="Q1392">
        <v>2.2799999999999998</v>
      </c>
      <c r="R1392" t="s">
        <v>267</v>
      </c>
      <c r="S1392" t="s">
        <v>29</v>
      </c>
      <c r="T1392" t="s">
        <v>30</v>
      </c>
    </row>
    <row r="1393" spans="1:20" x14ac:dyDescent="0.3">
      <c r="A1393">
        <v>10930</v>
      </c>
      <c r="B1393" s="2">
        <v>45753</v>
      </c>
      <c r="C1393" t="s">
        <v>49</v>
      </c>
      <c r="D1393" t="s">
        <v>32</v>
      </c>
      <c r="E1393" t="s">
        <v>40</v>
      </c>
      <c r="F1393" t="s">
        <v>81</v>
      </c>
      <c r="G1393" t="s">
        <v>42</v>
      </c>
      <c r="H1393" t="s">
        <v>180</v>
      </c>
      <c r="I1393" t="s">
        <v>376</v>
      </c>
      <c r="J1393">
        <v>1067</v>
      </c>
      <c r="K1393">
        <v>11</v>
      </c>
      <c r="L1393" t="s">
        <v>71</v>
      </c>
      <c r="M1393">
        <v>26</v>
      </c>
      <c r="N1393">
        <v>35.1</v>
      </c>
      <c r="O1393">
        <v>67.599999999999994</v>
      </c>
      <c r="P1393">
        <v>5.43</v>
      </c>
      <c r="Q1393">
        <v>3.3</v>
      </c>
      <c r="R1393" t="s">
        <v>209</v>
      </c>
      <c r="S1393" t="s">
        <v>73</v>
      </c>
      <c r="T1393" t="s">
        <v>30</v>
      </c>
    </row>
    <row r="1394" spans="1:20" x14ac:dyDescent="0.3">
      <c r="A1394">
        <v>10780</v>
      </c>
      <c r="B1394" s="2">
        <v>45706</v>
      </c>
      <c r="C1394" t="s">
        <v>31</v>
      </c>
      <c r="D1394" t="s">
        <v>64</v>
      </c>
      <c r="E1394" t="s">
        <v>22</v>
      </c>
      <c r="F1394" t="s">
        <v>41</v>
      </c>
      <c r="G1394" t="s">
        <v>89</v>
      </c>
      <c r="H1394" t="s">
        <v>223</v>
      </c>
      <c r="I1394" t="s">
        <v>173</v>
      </c>
      <c r="J1394">
        <v>1219</v>
      </c>
      <c r="K1394">
        <v>6</v>
      </c>
      <c r="L1394" t="s">
        <v>68</v>
      </c>
      <c r="M1394">
        <v>116</v>
      </c>
      <c r="N1394">
        <v>40.299999999999997</v>
      </c>
      <c r="O1394">
        <v>70.599999999999994</v>
      </c>
      <c r="P1394">
        <v>6.19</v>
      </c>
      <c r="Q1394">
        <v>1.93</v>
      </c>
      <c r="R1394" t="s">
        <v>179</v>
      </c>
      <c r="S1394" t="s">
        <v>29</v>
      </c>
      <c r="T1394" t="s">
        <v>30</v>
      </c>
    </row>
    <row r="1395" spans="1:20" x14ac:dyDescent="0.3">
      <c r="A1395">
        <v>10201</v>
      </c>
      <c r="B1395" s="2">
        <v>45769</v>
      </c>
      <c r="C1395" t="s">
        <v>49</v>
      </c>
      <c r="D1395" t="s">
        <v>32</v>
      </c>
      <c r="E1395" t="s">
        <v>22</v>
      </c>
      <c r="F1395" t="s">
        <v>41</v>
      </c>
      <c r="G1395" t="s">
        <v>60</v>
      </c>
      <c r="H1395" t="s">
        <v>43</v>
      </c>
      <c r="I1395" t="s">
        <v>170</v>
      </c>
      <c r="J1395">
        <v>545</v>
      </c>
      <c r="K1395">
        <v>2</v>
      </c>
      <c r="L1395" t="s">
        <v>71</v>
      </c>
      <c r="M1395">
        <v>13</v>
      </c>
      <c r="N1395">
        <v>38.200000000000003</v>
      </c>
      <c r="O1395">
        <v>63.3</v>
      </c>
      <c r="P1395">
        <v>5.37</v>
      </c>
      <c r="Q1395">
        <v>2.82</v>
      </c>
      <c r="R1395" t="s">
        <v>245</v>
      </c>
      <c r="S1395" t="s">
        <v>39</v>
      </c>
      <c r="T1395" t="s">
        <v>30</v>
      </c>
    </row>
    <row r="1396" spans="1:20" x14ac:dyDescent="0.3">
      <c r="A1396">
        <v>10135</v>
      </c>
      <c r="B1396" s="2">
        <v>45970</v>
      </c>
      <c r="C1396" t="s">
        <v>49</v>
      </c>
      <c r="D1396" t="s">
        <v>21</v>
      </c>
      <c r="E1396" t="s">
        <v>107</v>
      </c>
      <c r="F1396" t="s">
        <v>41</v>
      </c>
      <c r="G1396" t="s">
        <v>50</v>
      </c>
      <c r="H1396" t="s">
        <v>172</v>
      </c>
      <c r="I1396" t="s">
        <v>258</v>
      </c>
      <c r="J1396">
        <v>1296</v>
      </c>
      <c r="K1396">
        <v>15</v>
      </c>
      <c r="L1396" t="s">
        <v>71</v>
      </c>
      <c r="M1396">
        <v>160</v>
      </c>
      <c r="N1396">
        <v>34.299999999999997</v>
      </c>
      <c r="O1396">
        <v>70.3</v>
      </c>
      <c r="P1396">
        <v>4.95</v>
      </c>
      <c r="Q1396">
        <v>3.66</v>
      </c>
      <c r="R1396" t="s">
        <v>164</v>
      </c>
      <c r="S1396" t="s">
        <v>39</v>
      </c>
      <c r="T1396" t="s">
        <v>30</v>
      </c>
    </row>
    <row r="1397" spans="1:20" x14ac:dyDescent="0.3">
      <c r="A1397">
        <v>11052</v>
      </c>
      <c r="B1397" s="2">
        <v>45908</v>
      </c>
      <c r="C1397" t="s">
        <v>207</v>
      </c>
      <c r="D1397" t="s">
        <v>21</v>
      </c>
      <c r="E1397" t="s">
        <v>33</v>
      </c>
      <c r="F1397" t="s">
        <v>247</v>
      </c>
      <c r="G1397" t="s">
        <v>24</v>
      </c>
      <c r="I1397" t="s">
        <v>352</v>
      </c>
      <c r="J1397">
        <v>1320</v>
      </c>
      <c r="K1397">
        <v>40</v>
      </c>
      <c r="L1397" t="s">
        <v>68</v>
      </c>
      <c r="M1397">
        <v>40</v>
      </c>
      <c r="N1397">
        <v>50.4</v>
      </c>
      <c r="O1397">
        <v>62</v>
      </c>
      <c r="P1397">
        <v>4.34</v>
      </c>
      <c r="Q1397">
        <v>2.3199999999999998</v>
      </c>
      <c r="R1397" t="s">
        <v>240</v>
      </c>
      <c r="S1397" t="s">
        <v>29</v>
      </c>
      <c r="T1397" t="s">
        <v>48</v>
      </c>
    </row>
    <row r="1398" spans="1:20" x14ac:dyDescent="0.3">
      <c r="A1398">
        <v>10041</v>
      </c>
      <c r="B1398" s="2">
        <v>45794</v>
      </c>
      <c r="C1398" t="s">
        <v>49</v>
      </c>
      <c r="D1398" t="s">
        <v>21</v>
      </c>
      <c r="E1398" t="s">
        <v>40</v>
      </c>
      <c r="F1398" t="s">
        <v>23</v>
      </c>
      <c r="G1398" t="s">
        <v>134</v>
      </c>
      <c r="H1398" t="s">
        <v>96</v>
      </c>
      <c r="I1398" t="s">
        <v>290</v>
      </c>
      <c r="J1398">
        <v>1568</v>
      </c>
      <c r="K1398">
        <v>22</v>
      </c>
      <c r="L1398" t="s">
        <v>71</v>
      </c>
      <c r="M1398">
        <v>68</v>
      </c>
      <c r="N1398">
        <v>46.1</v>
      </c>
      <c r="O1398">
        <v>76</v>
      </c>
      <c r="Q1398">
        <v>3.5</v>
      </c>
      <c r="R1398" t="s">
        <v>130</v>
      </c>
      <c r="S1398" t="s">
        <v>73</v>
      </c>
      <c r="T1398" t="s">
        <v>30</v>
      </c>
    </row>
    <row r="1399" spans="1:20" x14ac:dyDescent="0.3">
      <c r="A1399">
        <v>11018</v>
      </c>
      <c r="B1399" s="2">
        <v>45976</v>
      </c>
      <c r="C1399" t="s">
        <v>49</v>
      </c>
      <c r="D1399" t="s">
        <v>32</v>
      </c>
      <c r="E1399" t="s">
        <v>33</v>
      </c>
      <c r="F1399" t="s">
        <v>41</v>
      </c>
      <c r="G1399" t="s">
        <v>42</v>
      </c>
      <c r="H1399" t="s">
        <v>252</v>
      </c>
      <c r="I1399" t="s">
        <v>372</v>
      </c>
      <c r="J1399">
        <v>595</v>
      </c>
      <c r="K1399">
        <v>5</v>
      </c>
      <c r="L1399" t="s">
        <v>71</v>
      </c>
      <c r="M1399">
        <v>10</v>
      </c>
      <c r="N1399">
        <v>48.7</v>
      </c>
      <c r="O1399">
        <v>69.099999999999994</v>
      </c>
      <c r="P1399">
        <v>6.66</v>
      </c>
      <c r="Q1399">
        <v>3.99</v>
      </c>
      <c r="R1399" t="s">
        <v>133</v>
      </c>
      <c r="S1399" t="s">
        <v>29</v>
      </c>
      <c r="T1399" t="s">
        <v>30</v>
      </c>
    </row>
    <row r="1400" spans="1:20" x14ac:dyDescent="0.3">
      <c r="A1400">
        <v>10231</v>
      </c>
      <c r="B1400" s="2">
        <v>45698</v>
      </c>
      <c r="C1400" t="s">
        <v>49</v>
      </c>
      <c r="D1400" t="s">
        <v>21</v>
      </c>
      <c r="E1400" t="s">
        <v>33</v>
      </c>
      <c r="F1400" t="s">
        <v>41</v>
      </c>
      <c r="G1400" t="s">
        <v>54</v>
      </c>
      <c r="H1400" t="s">
        <v>205</v>
      </c>
      <c r="I1400" t="s">
        <v>149</v>
      </c>
      <c r="J1400">
        <v>870</v>
      </c>
      <c r="K1400">
        <v>9</v>
      </c>
      <c r="L1400" t="s">
        <v>71</v>
      </c>
      <c r="M1400">
        <v>80</v>
      </c>
      <c r="N1400">
        <v>42.6</v>
      </c>
      <c r="O1400">
        <v>69.599999999999994</v>
      </c>
      <c r="P1400">
        <v>5.55</v>
      </c>
      <c r="Q1400">
        <v>3.23</v>
      </c>
      <c r="R1400" t="s">
        <v>209</v>
      </c>
      <c r="S1400" t="s">
        <v>47</v>
      </c>
      <c r="T1400" t="s">
        <v>30</v>
      </c>
    </row>
    <row r="1401" spans="1:20" x14ac:dyDescent="0.3">
      <c r="A1401">
        <v>10379</v>
      </c>
      <c r="B1401" s="2">
        <v>45818</v>
      </c>
      <c r="C1401" t="s">
        <v>49</v>
      </c>
      <c r="D1401" t="s">
        <v>59</v>
      </c>
      <c r="E1401" t="s">
        <v>40</v>
      </c>
      <c r="F1401" t="s">
        <v>41</v>
      </c>
      <c r="G1401" t="s">
        <v>42</v>
      </c>
      <c r="H1401" t="s">
        <v>69</v>
      </c>
      <c r="I1401" t="s">
        <v>333</v>
      </c>
      <c r="J1401">
        <v>614</v>
      </c>
      <c r="K1401">
        <v>2</v>
      </c>
      <c r="L1401" t="s">
        <v>27</v>
      </c>
      <c r="M1401">
        <v>136</v>
      </c>
      <c r="N1401">
        <v>50.7</v>
      </c>
      <c r="O1401">
        <v>79.900000000000006</v>
      </c>
      <c r="P1401">
        <v>4.3</v>
      </c>
      <c r="Q1401">
        <v>2.6</v>
      </c>
      <c r="R1401" t="s">
        <v>155</v>
      </c>
      <c r="S1401" t="s">
        <v>73</v>
      </c>
      <c r="T1401" t="s">
        <v>30</v>
      </c>
    </row>
    <row r="1402" spans="1:20" x14ac:dyDescent="0.3">
      <c r="A1402">
        <v>10289</v>
      </c>
      <c r="B1402" s="2">
        <v>45966</v>
      </c>
      <c r="C1402" t="s">
        <v>20</v>
      </c>
      <c r="D1402" t="s">
        <v>21</v>
      </c>
      <c r="E1402" t="s">
        <v>33</v>
      </c>
      <c r="F1402" t="s">
        <v>81</v>
      </c>
      <c r="G1402" t="s">
        <v>109</v>
      </c>
      <c r="H1402" t="s">
        <v>93</v>
      </c>
      <c r="I1402" t="s">
        <v>321</v>
      </c>
      <c r="J1402">
        <v>1311</v>
      </c>
      <c r="K1402">
        <v>11</v>
      </c>
      <c r="L1402" t="s">
        <v>37</v>
      </c>
      <c r="M1402">
        <v>17</v>
      </c>
      <c r="N1402">
        <v>34.6</v>
      </c>
      <c r="O1402">
        <v>66.400000000000006</v>
      </c>
      <c r="P1402">
        <v>4.4400000000000004</v>
      </c>
      <c r="Q1402">
        <v>2.84</v>
      </c>
      <c r="R1402" t="s">
        <v>28</v>
      </c>
      <c r="S1402" t="s">
        <v>29</v>
      </c>
      <c r="T1402" t="s">
        <v>30</v>
      </c>
    </row>
    <row r="1403" spans="1:20" x14ac:dyDescent="0.3">
      <c r="A1403">
        <v>10419</v>
      </c>
      <c r="B1403" s="2">
        <v>45846</v>
      </c>
      <c r="C1403" t="s">
        <v>20</v>
      </c>
      <c r="D1403" t="s">
        <v>59</v>
      </c>
      <c r="E1403" t="s">
        <v>33</v>
      </c>
      <c r="F1403" t="s">
        <v>23</v>
      </c>
      <c r="G1403" t="s">
        <v>42</v>
      </c>
      <c r="H1403" t="s">
        <v>287</v>
      </c>
      <c r="I1403" t="s">
        <v>319</v>
      </c>
      <c r="J1403">
        <v>941</v>
      </c>
      <c r="K1403">
        <v>12</v>
      </c>
      <c r="L1403" t="s">
        <v>68</v>
      </c>
      <c r="M1403">
        <v>154</v>
      </c>
      <c r="N1403">
        <v>46</v>
      </c>
      <c r="O1403">
        <v>75.599999999999994</v>
      </c>
      <c r="P1403">
        <v>4.68</v>
      </c>
      <c r="Q1403">
        <v>3.36</v>
      </c>
      <c r="R1403" t="s">
        <v>159</v>
      </c>
      <c r="S1403" t="s">
        <v>39</v>
      </c>
      <c r="T1403" t="s">
        <v>30</v>
      </c>
    </row>
    <row r="1404" spans="1:20" x14ac:dyDescent="0.3">
      <c r="A1404">
        <v>10392</v>
      </c>
      <c r="B1404" s="2">
        <v>45866</v>
      </c>
      <c r="C1404" t="s">
        <v>31</v>
      </c>
      <c r="D1404" t="s">
        <v>21</v>
      </c>
      <c r="E1404" t="s">
        <v>107</v>
      </c>
      <c r="F1404" t="s">
        <v>23</v>
      </c>
      <c r="G1404" t="s">
        <v>54</v>
      </c>
      <c r="H1404" t="s">
        <v>278</v>
      </c>
      <c r="I1404" t="s">
        <v>329</v>
      </c>
      <c r="J1404">
        <v>801</v>
      </c>
      <c r="K1404">
        <v>5</v>
      </c>
      <c r="L1404" t="s">
        <v>37</v>
      </c>
      <c r="M1404">
        <v>82</v>
      </c>
      <c r="N1404">
        <v>55.7</v>
      </c>
      <c r="O1404">
        <v>75.599999999999994</v>
      </c>
      <c r="P1404">
        <v>5.27</v>
      </c>
      <c r="Q1404">
        <v>2.84</v>
      </c>
      <c r="R1404" t="s">
        <v>186</v>
      </c>
      <c r="S1404" t="s">
        <v>29</v>
      </c>
      <c r="T1404" t="s">
        <v>30</v>
      </c>
    </row>
    <row r="1405" spans="1:20" x14ac:dyDescent="0.3">
      <c r="A1405">
        <v>10593</v>
      </c>
      <c r="B1405" s="2">
        <v>45969</v>
      </c>
      <c r="C1405" t="s">
        <v>199</v>
      </c>
      <c r="D1405" t="s">
        <v>32</v>
      </c>
      <c r="E1405" t="s">
        <v>107</v>
      </c>
      <c r="F1405" t="s">
        <v>41</v>
      </c>
      <c r="G1405" t="s">
        <v>54</v>
      </c>
      <c r="H1405" t="s">
        <v>192</v>
      </c>
      <c r="I1405" t="s">
        <v>256</v>
      </c>
      <c r="J1405">
        <v>993</v>
      </c>
      <c r="K1405">
        <v>10</v>
      </c>
      <c r="L1405" t="s">
        <v>27</v>
      </c>
      <c r="M1405">
        <v>88</v>
      </c>
      <c r="N1405">
        <v>38.9</v>
      </c>
      <c r="O1405">
        <v>62.7</v>
      </c>
      <c r="P1405">
        <v>4.99</v>
      </c>
      <c r="Q1405">
        <v>5.01</v>
      </c>
      <c r="R1405" t="s">
        <v>133</v>
      </c>
      <c r="S1405" t="s">
        <v>73</v>
      </c>
      <c r="T1405" t="s">
        <v>30</v>
      </c>
    </row>
    <row r="1406" spans="1:20" x14ac:dyDescent="0.3">
      <c r="A1406">
        <v>11163</v>
      </c>
      <c r="B1406" s="2">
        <v>45988</v>
      </c>
      <c r="C1406" t="s">
        <v>49</v>
      </c>
      <c r="D1406" t="s">
        <v>64</v>
      </c>
      <c r="E1406" t="s">
        <v>107</v>
      </c>
      <c r="F1406" t="s">
        <v>41</v>
      </c>
      <c r="G1406" t="s">
        <v>50</v>
      </c>
      <c r="H1406" t="s">
        <v>66</v>
      </c>
      <c r="I1406" t="s">
        <v>294</v>
      </c>
      <c r="J1406">
        <v>879</v>
      </c>
      <c r="K1406">
        <v>5</v>
      </c>
      <c r="L1406" t="s">
        <v>45</v>
      </c>
      <c r="M1406">
        <v>167</v>
      </c>
      <c r="N1406">
        <v>30.6</v>
      </c>
      <c r="O1406">
        <v>74.8</v>
      </c>
      <c r="P1406">
        <v>5.76</v>
      </c>
      <c r="Q1406">
        <v>0.23</v>
      </c>
      <c r="R1406" t="s">
        <v>167</v>
      </c>
      <c r="S1406" t="s">
        <v>47</v>
      </c>
      <c r="T1406" t="s">
        <v>30</v>
      </c>
    </row>
    <row r="1407" spans="1:20" x14ac:dyDescent="0.3">
      <c r="A1407">
        <v>11087</v>
      </c>
      <c r="B1407" s="2">
        <v>45789</v>
      </c>
      <c r="C1407" t="s">
        <v>49</v>
      </c>
      <c r="D1407" t="s">
        <v>21</v>
      </c>
      <c r="E1407" t="s">
        <v>107</v>
      </c>
      <c r="F1407" t="s">
        <v>23</v>
      </c>
      <c r="G1407" t="s">
        <v>24</v>
      </c>
      <c r="H1407" t="s">
        <v>169</v>
      </c>
      <c r="I1407" t="s">
        <v>237</v>
      </c>
      <c r="J1407">
        <v>1247</v>
      </c>
      <c r="K1407">
        <v>5</v>
      </c>
      <c r="L1407" t="s">
        <v>45</v>
      </c>
      <c r="M1407">
        <v>41</v>
      </c>
      <c r="N1407">
        <v>38.299999999999997</v>
      </c>
      <c r="O1407">
        <v>68.599999999999994</v>
      </c>
      <c r="P1407">
        <v>5.1100000000000003</v>
      </c>
      <c r="Q1407">
        <v>1.53</v>
      </c>
      <c r="R1407" t="s">
        <v>186</v>
      </c>
      <c r="S1407" t="s">
        <v>39</v>
      </c>
      <c r="T1407" t="s">
        <v>30</v>
      </c>
    </row>
    <row r="1408" spans="1:20" x14ac:dyDescent="0.3">
      <c r="A1408">
        <v>10648</v>
      </c>
      <c r="B1408" s="2">
        <v>45672</v>
      </c>
      <c r="C1408" t="s">
        <v>20</v>
      </c>
      <c r="D1408" t="s">
        <v>59</v>
      </c>
      <c r="E1408" t="s">
        <v>40</v>
      </c>
      <c r="F1408" t="s">
        <v>81</v>
      </c>
      <c r="G1408" t="s">
        <v>134</v>
      </c>
      <c r="H1408" t="s">
        <v>177</v>
      </c>
      <c r="I1408" t="s">
        <v>236</v>
      </c>
      <c r="J1408">
        <v>818</v>
      </c>
      <c r="K1408">
        <v>8</v>
      </c>
      <c r="L1408" t="s">
        <v>45</v>
      </c>
      <c r="M1408">
        <v>153</v>
      </c>
      <c r="N1408">
        <v>31.3</v>
      </c>
      <c r="O1408">
        <v>67.7</v>
      </c>
      <c r="P1408">
        <v>5.05</v>
      </c>
      <c r="Q1408">
        <v>3.96</v>
      </c>
      <c r="R1408" t="s">
        <v>63</v>
      </c>
      <c r="S1408" t="s">
        <v>39</v>
      </c>
      <c r="T1408" t="s">
        <v>30</v>
      </c>
    </row>
    <row r="1409" spans="1:20" x14ac:dyDescent="0.3">
      <c r="A1409">
        <v>11153</v>
      </c>
      <c r="B1409" s="2">
        <v>45780</v>
      </c>
      <c r="C1409" t="s">
        <v>150</v>
      </c>
      <c r="D1409" t="s">
        <v>21</v>
      </c>
      <c r="E1409" t="s">
        <v>40</v>
      </c>
      <c r="F1409" t="s">
        <v>81</v>
      </c>
      <c r="G1409" t="s">
        <v>34</v>
      </c>
      <c r="H1409" t="s">
        <v>138</v>
      </c>
      <c r="I1409" t="s">
        <v>344</v>
      </c>
      <c r="J1409">
        <v>1364</v>
      </c>
      <c r="K1409">
        <v>47</v>
      </c>
      <c r="L1409" t="s">
        <v>57</v>
      </c>
      <c r="M1409">
        <v>33</v>
      </c>
      <c r="N1409">
        <v>35.299999999999997</v>
      </c>
      <c r="O1409">
        <v>61.2</v>
      </c>
      <c r="P1409">
        <v>4.51</v>
      </c>
      <c r="Q1409">
        <v>3.42</v>
      </c>
      <c r="R1409" t="s">
        <v>105</v>
      </c>
      <c r="S1409" t="s">
        <v>29</v>
      </c>
      <c r="T1409" t="s">
        <v>48</v>
      </c>
    </row>
    <row r="1410" spans="1:20" x14ac:dyDescent="0.3">
      <c r="A1410">
        <v>11368</v>
      </c>
      <c r="B1410" s="2">
        <v>45855</v>
      </c>
      <c r="C1410" t="s">
        <v>31</v>
      </c>
      <c r="D1410" t="s">
        <v>59</v>
      </c>
      <c r="E1410" t="s">
        <v>22</v>
      </c>
      <c r="F1410" t="s">
        <v>41</v>
      </c>
      <c r="G1410" t="s">
        <v>50</v>
      </c>
      <c r="H1410" t="s">
        <v>190</v>
      </c>
      <c r="I1410" t="s">
        <v>289</v>
      </c>
      <c r="J1410">
        <v>1389</v>
      </c>
      <c r="K1410">
        <v>16</v>
      </c>
      <c r="L1410" t="s">
        <v>57</v>
      </c>
      <c r="M1410">
        <v>5</v>
      </c>
      <c r="N1410">
        <v>43.2</v>
      </c>
      <c r="O1410">
        <v>74.8</v>
      </c>
      <c r="P1410">
        <v>4.03</v>
      </c>
      <c r="Q1410">
        <v>3.27</v>
      </c>
      <c r="R1410" t="s">
        <v>77</v>
      </c>
      <c r="S1410" t="s">
        <v>39</v>
      </c>
      <c r="T1410" t="s">
        <v>30</v>
      </c>
    </row>
    <row r="1411" spans="1:20" x14ac:dyDescent="0.3">
      <c r="A1411">
        <v>10521</v>
      </c>
      <c r="B1411" s="2">
        <v>45785</v>
      </c>
      <c r="C1411" t="s">
        <v>31</v>
      </c>
      <c r="D1411" t="s">
        <v>32</v>
      </c>
      <c r="E1411" t="s">
        <v>107</v>
      </c>
      <c r="F1411" t="s">
        <v>23</v>
      </c>
      <c r="G1411" t="s">
        <v>60</v>
      </c>
      <c r="H1411" t="s">
        <v>82</v>
      </c>
      <c r="I1411" t="s">
        <v>283</v>
      </c>
      <c r="J1411">
        <v>809</v>
      </c>
      <c r="K1411">
        <v>3</v>
      </c>
      <c r="L1411" t="s">
        <v>45</v>
      </c>
      <c r="M1411">
        <v>158</v>
      </c>
      <c r="N1411">
        <v>49.9</v>
      </c>
      <c r="O1411">
        <v>78.2</v>
      </c>
      <c r="P1411">
        <v>4.13</v>
      </c>
      <c r="Q1411">
        <v>3.76</v>
      </c>
      <c r="R1411" t="s">
        <v>77</v>
      </c>
      <c r="S1411" t="s">
        <v>29</v>
      </c>
      <c r="T1411" t="s">
        <v>30</v>
      </c>
    </row>
    <row r="1412" spans="1:20" x14ac:dyDescent="0.3">
      <c r="A1412">
        <v>10065</v>
      </c>
      <c r="B1412" s="2">
        <v>45926</v>
      </c>
      <c r="C1412" t="s">
        <v>156</v>
      </c>
      <c r="D1412" t="s">
        <v>64</v>
      </c>
      <c r="E1412" t="s">
        <v>22</v>
      </c>
      <c r="F1412" t="s">
        <v>81</v>
      </c>
      <c r="G1412" t="s">
        <v>34</v>
      </c>
      <c r="H1412" t="s">
        <v>287</v>
      </c>
      <c r="I1412" t="s">
        <v>44</v>
      </c>
      <c r="J1412">
        <v>665</v>
      </c>
      <c r="K1412">
        <v>21</v>
      </c>
      <c r="L1412" t="s">
        <v>45</v>
      </c>
      <c r="M1412">
        <v>11</v>
      </c>
      <c r="N1412">
        <v>49.3</v>
      </c>
      <c r="O1412">
        <v>71.2</v>
      </c>
      <c r="P1412">
        <v>5.38</v>
      </c>
      <c r="Q1412">
        <v>2.63</v>
      </c>
      <c r="R1412" t="s">
        <v>184</v>
      </c>
      <c r="S1412" t="s">
        <v>47</v>
      </c>
      <c r="T1412" t="s">
        <v>48</v>
      </c>
    </row>
    <row r="1413" spans="1:20" x14ac:dyDescent="0.3">
      <c r="A1413">
        <v>10015</v>
      </c>
      <c r="B1413" s="2">
        <v>45937</v>
      </c>
      <c r="C1413" t="s">
        <v>49</v>
      </c>
      <c r="D1413" t="s">
        <v>21</v>
      </c>
      <c r="E1413" t="s">
        <v>40</v>
      </c>
      <c r="F1413" t="s">
        <v>81</v>
      </c>
      <c r="G1413" t="s">
        <v>42</v>
      </c>
      <c r="H1413" t="s">
        <v>287</v>
      </c>
      <c r="I1413" t="s">
        <v>270</v>
      </c>
      <c r="J1413">
        <v>577</v>
      </c>
      <c r="K1413">
        <v>14</v>
      </c>
      <c r="L1413" t="s">
        <v>57</v>
      </c>
      <c r="M1413">
        <v>21</v>
      </c>
      <c r="N1413">
        <v>45.1</v>
      </c>
      <c r="O1413">
        <v>86.2</v>
      </c>
      <c r="P1413">
        <v>4.67</v>
      </c>
      <c r="Q1413">
        <v>0.94</v>
      </c>
      <c r="R1413" t="s">
        <v>183</v>
      </c>
      <c r="S1413" t="s">
        <v>73</v>
      </c>
      <c r="T1413" t="s">
        <v>30</v>
      </c>
    </row>
    <row r="1414" spans="1:20" x14ac:dyDescent="0.3">
      <c r="A1414">
        <v>11181</v>
      </c>
      <c r="B1414" s="2">
        <v>45785</v>
      </c>
      <c r="C1414" t="s">
        <v>20</v>
      </c>
      <c r="D1414" t="s">
        <v>21</v>
      </c>
      <c r="E1414" t="s">
        <v>33</v>
      </c>
      <c r="F1414" t="s">
        <v>41</v>
      </c>
      <c r="G1414" t="s">
        <v>74</v>
      </c>
      <c r="H1414" t="s">
        <v>205</v>
      </c>
      <c r="I1414" t="s">
        <v>168</v>
      </c>
      <c r="J1414">
        <v>745</v>
      </c>
      <c r="K1414">
        <v>28</v>
      </c>
      <c r="L1414" t="s">
        <v>57</v>
      </c>
      <c r="M1414">
        <v>125</v>
      </c>
      <c r="N1414">
        <v>40</v>
      </c>
      <c r="O1414">
        <v>65.599999999999994</v>
      </c>
      <c r="P1414">
        <v>5.91</v>
      </c>
      <c r="Q1414">
        <v>1.54</v>
      </c>
      <c r="R1414" t="s">
        <v>63</v>
      </c>
      <c r="S1414" t="s">
        <v>73</v>
      </c>
      <c r="T1414" t="s">
        <v>48</v>
      </c>
    </row>
    <row r="1415" spans="1:20" x14ac:dyDescent="0.3">
      <c r="A1415">
        <v>11065</v>
      </c>
      <c r="B1415" s="2">
        <v>45793</v>
      </c>
      <c r="C1415" t="s">
        <v>31</v>
      </c>
      <c r="D1415" t="s">
        <v>21</v>
      </c>
      <c r="E1415" t="s">
        <v>33</v>
      </c>
      <c r="F1415" t="s">
        <v>41</v>
      </c>
      <c r="G1415" t="s">
        <v>54</v>
      </c>
      <c r="H1415" t="s">
        <v>25</v>
      </c>
      <c r="I1415" t="s">
        <v>374</v>
      </c>
      <c r="J1415">
        <v>809</v>
      </c>
      <c r="K1415" t="s">
        <v>389</v>
      </c>
      <c r="L1415" t="s">
        <v>57</v>
      </c>
      <c r="M1415">
        <v>6</v>
      </c>
      <c r="N1415">
        <v>52.4</v>
      </c>
      <c r="O1415">
        <v>62.7</v>
      </c>
      <c r="P1415">
        <v>5.93</v>
      </c>
      <c r="Q1415">
        <v>3.22</v>
      </c>
      <c r="R1415" t="s">
        <v>147</v>
      </c>
      <c r="S1415" t="s">
        <v>39</v>
      </c>
      <c r="T1415" t="s">
        <v>30</v>
      </c>
    </row>
    <row r="1416" spans="1:20" x14ac:dyDescent="0.3">
      <c r="A1416">
        <v>10493</v>
      </c>
      <c r="B1416" s="2">
        <v>45711</v>
      </c>
      <c r="C1416" t="s">
        <v>207</v>
      </c>
      <c r="D1416" t="s">
        <v>21</v>
      </c>
      <c r="E1416" t="s">
        <v>107</v>
      </c>
      <c r="F1416" t="s">
        <v>81</v>
      </c>
      <c r="G1416" t="s">
        <v>109</v>
      </c>
      <c r="H1416" t="s">
        <v>144</v>
      </c>
      <c r="I1416" t="s">
        <v>293</v>
      </c>
      <c r="J1416">
        <v>1038</v>
      </c>
      <c r="K1416">
        <v>30</v>
      </c>
      <c r="L1416" t="s">
        <v>71</v>
      </c>
      <c r="M1416">
        <v>9</v>
      </c>
      <c r="N1416">
        <v>47.1</v>
      </c>
      <c r="O1416">
        <v>66.2</v>
      </c>
      <c r="P1416">
        <v>4.4800000000000004</v>
      </c>
      <c r="Q1416">
        <v>2.35</v>
      </c>
      <c r="R1416" t="s">
        <v>103</v>
      </c>
      <c r="S1416" t="s">
        <v>73</v>
      </c>
      <c r="T1416" t="s">
        <v>30</v>
      </c>
    </row>
    <row r="1417" spans="1:20" x14ac:dyDescent="0.3">
      <c r="A1417">
        <v>10380</v>
      </c>
      <c r="B1417" s="2">
        <v>45845</v>
      </c>
      <c r="C1417" t="s">
        <v>31</v>
      </c>
      <c r="D1417" t="s">
        <v>32</v>
      </c>
      <c r="E1417" t="s">
        <v>40</v>
      </c>
      <c r="F1417" t="s">
        <v>23</v>
      </c>
      <c r="G1417" t="s">
        <v>24</v>
      </c>
      <c r="H1417" t="s">
        <v>96</v>
      </c>
      <c r="I1417" t="s">
        <v>168</v>
      </c>
      <c r="J1417">
        <v>989</v>
      </c>
      <c r="K1417" t="s">
        <v>409</v>
      </c>
      <c r="L1417" t="s">
        <v>45</v>
      </c>
      <c r="M1417">
        <v>45</v>
      </c>
      <c r="N1417">
        <v>33.5</v>
      </c>
      <c r="O1417">
        <v>74.599999999999994</v>
      </c>
      <c r="P1417">
        <v>4.62</v>
      </c>
      <c r="Q1417">
        <v>2.74</v>
      </c>
      <c r="R1417" t="s">
        <v>111</v>
      </c>
      <c r="S1417" t="s">
        <v>39</v>
      </c>
      <c r="T1417" t="s">
        <v>48</v>
      </c>
    </row>
    <row r="1418" spans="1:20" x14ac:dyDescent="0.3">
      <c r="A1418">
        <v>10188</v>
      </c>
      <c r="B1418" s="2">
        <v>45975</v>
      </c>
      <c r="C1418" t="s">
        <v>31</v>
      </c>
      <c r="D1418" t="s">
        <v>21</v>
      </c>
      <c r="E1418" t="s">
        <v>33</v>
      </c>
      <c r="F1418" t="s">
        <v>41</v>
      </c>
      <c r="G1418" t="s">
        <v>95</v>
      </c>
      <c r="H1418" t="s">
        <v>193</v>
      </c>
      <c r="I1418" t="s">
        <v>255</v>
      </c>
      <c r="J1418">
        <v>1168</v>
      </c>
      <c r="K1418">
        <v>3</v>
      </c>
      <c r="L1418" t="s">
        <v>27</v>
      </c>
      <c r="M1418">
        <v>48</v>
      </c>
      <c r="N1418">
        <v>37</v>
      </c>
      <c r="O1418">
        <v>76.2</v>
      </c>
      <c r="P1418">
        <v>5.32</v>
      </c>
      <c r="Q1418">
        <v>2.67</v>
      </c>
      <c r="R1418" t="s">
        <v>167</v>
      </c>
      <c r="S1418" t="s">
        <v>29</v>
      </c>
      <c r="T1418" t="s">
        <v>30</v>
      </c>
    </row>
    <row r="1419" spans="1:20" x14ac:dyDescent="0.3">
      <c r="A1419">
        <v>10764</v>
      </c>
      <c r="B1419" s="2">
        <v>45890</v>
      </c>
      <c r="C1419" t="s">
        <v>20</v>
      </c>
      <c r="D1419" t="s">
        <v>32</v>
      </c>
      <c r="E1419" t="s">
        <v>33</v>
      </c>
      <c r="F1419" t="s">
        <v>247</v>
      </c>
      <c r="G1419" t="s">
        <v>74</v>
      </c>
      <c r="I1419" t="s">
        <v>52</v>
      </c>
      <c r="J1419">
        <v>925</v>
      </c>
      <c r="K1419">
        <v>8</v>
      </c>
      <c r="L1419" t="s">
        <v>68</v>
      </c>
      <c r="M1419">
        <v>139</v>
      </c>
      <c r="N1419">
        <v>41.5</v>
      </c>
      <c r="P1419">
        <v>6.2</v>
      </c>
      <c r="Q1419">
        <v>4.18</v>
      </c>
      <c r="R1419" t="s">
        <v>164</v>
      </c>
      <c r="S1419" t="s">
        <v>73</v>
      </c>
      <c r="T1419" t="s">
        <v>30</v>
      </c>
    </row>
    <row r="1420" spans="1:20" x14ac:dyDescent="0.3">
      <c r="A1420">
        <v>10217</v>
      </c>
      <c r="B1420" s="2">
        <v>45715</v>
      </c>
      <c r="C1420" t="s">
        <v>20</v>
      </c>
      <c r="D1420" t="s">
        <v>32</v>
      </c>
      <c r="E1420" t="s">
        <v>22</v>
      </c>
      <c r="F1420" t="s">
        <v>41</v>
      </c>
      <c r="G1420" t="s">
        <v>109</v>
      </c>
      <c r="H1420" t="s">
        <v>93</v>
      </c>
      <c r="I1420" t="s">
        <v>385</v>
      </c>
      <c r="J1420">
        <v>718</v>
      </c>
      <c r="K1420">
        <v>6</v>
      </c>
      <c r="L1420" t="s">
        <v>57</v>
      </c>
      <c r="M1420">
        <v>138</v>
      </c>
      <c r="N1420">
        <v>45.2</v>
      </c>
      <c r="O1420">
        <v>64.099999999999994</v>
      </c>
      <c r="P1420">
        <v>5.25</v>
      </c>
      <c r="Q1420">
        <v>3.29</v>
      </c>
      <c r="R1420" t="s">
        <v>216</v>
      </c>
      <c r="S1420" t="s">
        <v>29</v>
      </c>
      <c r="T1420" t="s">
        <v>30</v>
      </c>
    </row>
    <row r="1421" spans="1:20" x14ac:dyDescent="0.3">
      <c r="A1421">
        <v>10792</v>
      </c>
      <c r="B1421" s="2">
        <v>45894</v>
      </c>
      <c r="C1421" t="s">
        <v>49</v>
      </c>
      <c r="D1421" t="s">
        <v>64</v>
      </c>
      <c r="E1421" t="s">
        <v>33</v>
      </c>
      <c r="F1421" t="s">
        <v>23</v>
      </c>
      <c r="G1421" t="s">
        <v>89</v>
      </c>
      <c r="H1421" t="s">
        <v>123</v>
      </c>
      <c r="I1421" t="s">
        <v>352</v>
      </c>
      <c r="J1421">
        <v>1573</v>
      </c>
      <c r="K1421">
        <v>17</v>
      </c>
      <c r="L1421" t="s">
        <v>27</v>
      </c>
      <c r="M1421">
        <v>94</v>
      </c>
      <c r="N1421">
        <v>39.9</v>
      </c>
      <c r="O1421">
        <v>65</v>
      </c>
      <c r="P1421">
        <v>4.83</v>
      </c>
      <c r="Q1421">
        <v>2.0699999999999998</v>
      </c>
      <c r="R1421" t="s">
        <v>119</v>
      </c>
      <c r="S1421" t="s">
        <v>47</v>
      </c>
      <c r="T1421" t="s">
        <v>30</v>
      </c>
    </row>
    <row r="1422" spans="1:20" x14ac:dyDescent="0.3">
      <c r="A1422">
        <v>11077</v>
      </c>
      <c r="B1422" s="2">
        <v>45802</v>
      </c>
      <c r="C1422" t="s">
        <v>31</v>
      </c>
      <c r="D1422" t="s">
        <v>64</v>
      </c>
      <c r="E1422" t="s">
        <v>40</v>
      </c>
      <c r="F1422" t="s">
        <v>81</v>
      </c>
      <c r="G1422" t="s">
        <v>60</v>
      </c>
      <c r="H1422" t="s">
        <v>85</v>
      </c>
      <c r="I1422" t="s">
        <v>355</v>
      </c>
      <c r="J1422">
        <v>533</v>
      </c>
      <c r="K1422">
        <v>7</v>
      </c>
      <c r="L1422" t="s">
        <v>57</v>
      </c>
      <c r="M1422">
        <v>131</v>
      </c>
      <c r="N1422">
        <v>38.299999999999997</v>
      </c>
      <c r="O1422">
        <v>64.2</v>
      </c>
      <c r="P1422">
        <v>4.1900000000000004</v>
      </c>
      <c r="Q1422">
        <v>2.98</v>
      </c>
      <c r="R1422" t="s">
        <v>229</v>
      </c>
      <c r="S1422" t="s">
        <v>47</v>
      </c>
      <c r="T1422" t="s">
        <v>30</v>
      </c>
    </row>
    <row r="1423" spans="1:20" x14ac:dyDescent="0.3">
      <c r="A1423">
        <v>10879</v>
      </c>
      <c r="B1423" s="2">
        <v>45978</v>
      </c>
      <c r="C1423" t="s">
        <v>20</v>
      </c>
      <c r="D1423" t="s">
        <v>64</v>
      </c>
      <c r="E1423" t="s">
        <v>107</v>
      </c>
      <c r="F1423" t="s">
        <v>81</v>
      </c>
      <c r="G1423" t="s">
        <v>113</v>
      </c>
      <c r="H1423" t="s">
        <v>88</v>
      </c>
      <c r="I1423" t="s">
        <v>353</v>
      </c>
      <c r="J1423">
        <v>1076</v>
      </c>
      <c r="K1423">
        <v>13</v>
      </c>
      <c r="L1423" t="s">
        <v>71</v>
      </c>
      <c r="M1423">
        <v>137</v>
      </c>
      <c r="N1423">
        <v>40</v>
      </c>
      <c r="O1423">
        <v>54.1</v>
      </c>
      <c r="P1423">
        <v>5.8</v>
      </c>
      <c r="Q1423">
        <v>1.04</v>
      </c>
      <c r="R1423" t="s">
        <v>184</v>
      </c>
      <c r="S1423" t="s">
        <v>73</v>
      </c>
      <c r="T1423" t="s">
        <v>30</v>
      </c>
    </row>
    <row r="1424" spans="1:20" x14ac:dyDescent="0.3">
      <c r="A1424">
        <v>10338</v>
      </c>
      <c r="B1424" s="2">
        <v>45998</v>
      </c>
      <c r="C1424" t="s">
        <v>20</v>
      </c>
      <c r="D1424" t="s">
        <v>21</v>
      </c>
      <c r="E1424" t="s">
        <v>40</v>
      </c>
      <c r="F1424" t="s">
        <v>81</v>
      </c>
      <c r="G1424" t="s">
        <v>34</v>
      </c>
      <c r="H1424" t="s">
        <v>138</v>
      </c>
      <c r="I1424" t="s">
        <v>347</v>
      </c>
      <c r="J1424">
        <v>1066</v>
      </c>
      <c r="K1424">
        <v>2</v>
      </c>
      <c r="L1424" t="s">
        <v>68</v>
      </c>
      <c r="M1424">
        <v>134</v>
      </c>
      <c r="N1424">
        <v>36.9</v>
      </c>
      <c r="O1424">
        <v>77.3</v>
      </c>
      <c r="P1424">
        <v>5.99</v>
      </c>
      <c r="Q1424">
        <v>2.2000000000000002</v>
      </c>
      <c r="R1424" t="s">
        <v>38</v>
      </c>
      <c r="S1424" t="s">
        <v>39</v>
      </c>
      <c r="T1424" t="s">
        <v>30</v>
      </c>
    </row>
    <row r="1425" spans="1:20" x14ac:dyDescent="0.3">
      <c r="A1425">
        <v>10720</v>
      </c>
      <c r="B1425" s="2">
        <v>45706</v>
      </c>
      <c r="C1425" t="s">
        <v>49</v>
      </c>
      <c r="D1425" t="s">
        <v>32</v>
      </c>
      <c r="E1425" t="s">
        <v>33</v>
      </c>
      <c r="F1425" t="s">
        <v>23</v>
      </c>
      <c r="G1425" t="s">
        <v>50</v>
      </c>
      <c r="H1425" t="s">
        <v>192</v>
      </c>
      <c r="I1425" t="s">
        <v>359</v>
      </c>
      <c r="J1425">
        <v>1125</v>
      </c>
      <c r="K1425">
        <v>17</v>
      </c>
      <c r="L1425" t="s">
        <v>68</v>
      </c>
      <c r="M1425">
        <v>114</v>
      </c>
      <c r="N1425">
        <v>46.5</v>
      </c>
      <c r="O1425">
        <v>73.3</v>
      </c>
      <c r="P1425">
        <v>5.69</v>
      </c>
      <c r="Q1425">
        <v>2.0299999999999998</v>
      </c>
      <c r="R1425" t="s">
        <v>183</v>
      </c>
      <c r="S1425" t="s">
        <v>47</v>
      </c>
      <c r="T1425" t="s">
        <v>30</v>
      </c>
    </row>
    <row r="1426" spans="1:20" x14ac:dyDescent="0.3">
      <c r="A1426">
        <v>10296</v>
      </c>
      <c r="B1426" s="2">
        <v>45852</v>
      </c>
      <c r="C1426" t="s">
        <v>49</v>
      </c>
      <c r="D1426" t="s">
        <v>64</v>
      </c>
      <c r="E1426" t="s">
        <v>33</v>
      </c>
      <c r="F1426" t="s">
        <v>81</v>
      </c>
      <c r="G1426" t="s">
        <v>42</v>
      </c>
      <c r="H1426" t="s">
        <v>35</v>
      </c>
      <c r="I1426" t="s">
        <v>312</v>
      </c>
      <c r="J1426">
        <v>1146</v>
      </c>
      <c r="K1426">
        <v>14</v>
      </c>
      <c r="L1426" t="s">
        <v>68</v>
      </c>
      <c r="M1426">
        <v>59</v>
      </c>
      <c r="N1426">
        <v>39.799999999999997</v>
      </c>
      <c r="O1426">
        <v>75.400000000000006</v>
      </c>
      <c r="P1426">
        <v>4.76</v>
      </c>
      <c r="Q1426">
        <v>3.82</v>
      </c>
      <c r="R1426" t="s">
        <v>105</v>
      </c>
      <c r="S1426" t="s">
        <v>39</v>
      </c>
      <c r="T1426" t="s">
        <v>30</v>
      </c>
    </row>
    <row r="1427" spans="1:20" x14ac:dyDescent="0.3">
      <c r="A1427">
        <v>11017</v>
      </c>
      <c r="B1427" s="2">
        <v>45858</v>
      </c>
      <c r="C1427" t="s">
        <v>20</v>
      </c>
      <c r="D1427" t="s">
        <v>64</v>
      </c>
      <c r="E1427" t="s">
        <v>22</v>
      </c>
      <c r="F1427" t="s">
        <v>81</v>
      </c>
      <c r="G1427" t="s">
        <v>24</v>
      </c>
      <c r="H1427" t="s">
        <v>161</v>
      </c>
      <c r="I1427" t="s">
        <v>162</v>
      </c>
      <c r="J1427">
        <v>769</v>
      </c>
      <c r="K1427">
        <v>30</v>
      </c>
      <c r="L1427" t="s">
        <v>68</v>
      </c>
      <c r="M1427">
        <v>172</v>
      </c>
      <c r="N1427">
        <v>34.5</v>
      </c>
      <c r="O1427">
        <v>73.900000000000006</v>
      </c>
      <c r="P1427">
        <v>5.1100000000000003</v>
      </c>
      <c r="Q1427">
        <v>2.31</v>
      </c>
      <c r="R1427" t="s">
        <v>164</v>
      </c>
      <c r="S1427" t="s">
        <v>73</v>
      </c>
      <c r="T1427" t="s">
        <v>48</v>
      </c>
    </row>
    <row r="1428" spans="1:20" x14ac:dyDescent="0.3">
      <c r="A1428">
        <v>11276</v>
      </c>
      <c r="B1428" s="2">
        <v>45675</v>
      </c>
      <c r="C1428" t="s">
        <v>49</v>
      </c>
      <c r="D1428" t="s">
        <v>64</v>
      </c>
      <c r="E1428" t="s">
        <v>33</v>
      </c>
      <c r="F1428" t="s">
        <v>41</v>
      </c>
      <c r="G1428" t="s">
        <v>50</v>
      </c>
      <c r="H1428" t="s">
        <v>177</v>
      </c>
      <c r="I1428" t="s">
        <v>330</v>
      </c>
      <c r="J1428">
        <v>1432</v>
      </c>
      <c r="K1428">
        <v>20</v>
      </c>
      <c r="L1428" t="s">
        <v>57</v>
      </c>
      <c r="M1428">
        <v>71</v>
      </c>
      <c r="N1428">
        <v>54.3</v>
      </c>
      <c r="O1428">
        <v>73.8</v>
      </c>
      <c r="P1428">
        <v>6.68</v>
      </c>
      <c r="Q1428">
        <v>3.86</v>
      </c>
      <c r="R1428" t="s">
        <v>222</v>
      </c>
      <c r="S1428" t="s">
        <v>47</v>
      </c>
      <c r="T1428" t="s">
        <v>30</v>
      </c>
    </row>
    <row r="1429" spans="1:20" x14ac:dyDescent="0.3">
      <c r="A1429">
        <v>10456</v>
      </c>
      <c r="B1429" s="2">
        <v>45965</v>
      </c>
      <c r="C1429" t="s">
        <v>31</v>
      </c>
      <c r="D1429" t="s">
        <v>59</v>
      </c>
      <c r="E1429" t="s">
        <v>33</v>
      </c>
      <c r="F1429" t="s">
        <v>41</v>
      </c>
      <c r="G1429" t="s">
        <v>24</v>
      </c>
      <c r="H1429" t="s">
        <v>123</v>
      </c>
      <c r="I1429" t="s">
        <v>306</v>
      </c>
      <c r="J1429">
        <v>780</v>
      </c>
      <c r="K1429">
        <v>30</v>
      </c>
      <c r="L1429" t="s">
        <v>45</v>
      </c>
      <c r="M1429">
        <v>160</v>
      </c>
      <c r="N1429">
        <v>33.1</v>
      </c>
      <c r="O1429">
        <v>75.5</v>
      </c>
      <c r="P1429">
        <v>6.56</v>
      </c>
      <c r="Q1429">
        <v>2.76</v>
      </c>
      <c r="R1429" t="s">
        <v>183</v>
      </c>
      <c r="S1429" t="s">
        <v>29</v>
      </c>
      <c r="T1429" t="s">
        <v>48</v>
      </c>
    </row>
    <row r="1430" spans="1:20" x14ac:dyDescent="0.3">
      <c r="A1430">
        <v>10663</v>
      </c>
      <c r="B1430" s="2">
        <v>45926</v>
      </c>
      <c r="C1430" t="s">
        <v>20</v>
      </c>
      <c r="D1430" t="s">
        <v>32</v>
      </c>
      <c r="E1430" t="s">
        <v>33</v>
      </c>
      <c r="F1430" t="s">
        <v>23</v>
      </c>
      <c r="G1430" t="s">
        <v>50</v>
      </c>
      <c r="H1430" t="s">
        <v>96</v>
      </c>
      <c r="I1430" t="s">
        <v>264</v>
      </c>
      <c r="J1430">
        <v>549</v>
      </c>
      <c r="K1430">
        <v>14</v>
      </c>
      <c r="L1430" t="s">
        <v>27</v>
      </c>
      <c r="M1430">
        <v>62</v>
      </c>
      <c r="N1430">
        <v>40.6</v>
      </c>
      <c r="O1430">
        <v>83.7</v>
      </c>
      <c r="P1430">
        <v>5.67</v>
      </c>
      <c r="Q1430">
        <v>3.22</v>
      </c>
      <c r="R1430" t="s">
        <v>189</v>
      </c>
      <c r="S1430" t="s">
        <v>73</v>
      </c>
      <c r="T1430" t="s">
        <v>30</v>
      </c>
    </row>
    <row r="1431" spans="1:20" x14ac:dyDescent="0.3">
      <c r="A1431">
        <v>10816</v>
      </c>
      <c r="B1431" s="2">
        <v>45795</v>
      </c>
      <c r="C1431" t="s">
        <v>49</v>
      </c>
      <c r="D1431" t="s">
        <v>21</v>
      </c>
      <c r="E1431" t="s">
        <v>33</v>
      </c>
      <c r="F1431" t="s">
        <v>41</v>
      </c>
      <c r="G1431" t="s">
        <v>50</v>
      </c>
      <c r="H1431" t="s">
        <v>213</v>
      </c>
      <c r="I1431" t="s">
        <v>299</v>
      </c>
      <c r="J1431">
        <v>1028</v>
      </c>
      <c r="K1431">
        <v>19</v>
      </c>
      <c r="L1431" t="s">
        <v>37</v>
      </c>
      <c r="M1431">
        <v>156</v>
      </c>
      <c r="N1431">
        <v>40.299999999999997</v>
      </c>
      <c r="O1431">
        <v>73</v>
      </c>
      <c r="P1431">
        <v>6.23</v>
      </c>
      <c r="Q1431">
        <v>2.66</v>
      </c>
      <c r="R1431" t="s">
        <v>153</v>
      </c>
      <c r="S1431" t="s">
        <v>47</v>
      </c>
      <c r="T1431" t="s">
        <v>30</v>
      </c>
    </row>
    <row r="1432" spans="1:20" x14ac:dyDescent="0.3">
      <c r="A1432">
        <v>10270</v>
      </c>
      <c r="B1432" s="2">
        <v>45855</v>
      </c>
      <c r="C1432" t="s">
        <v>31</v>
      </c>
      <c r="D1432" t="s">
        <v>59</v>
      </c>
      <c r="E1432" t="s">
        <v>107</v>
      </c>
      <c r="F1432" t="s">
        <v>23</v>
      </c>
      <c r="G1432" t="s">
        <v>89</v>
      </c>
      <c r="H1432" t="s">
        <v>35</v>
      </c>
      <c r="I1432" t="s">
        <v>377</v>
      </c>
      <c r="J1432">
        <v>1366</v>
      </c>
      <c r="K1432">
        <v>81</v>
      </c>
      <c r="L1432" t="s">
        <v>71</v>
      </c>
      <c r="M1432">
        <v>132</v>
      </c>
      <c r="N1432">
        <v>29.6</v>
      </c>
      <c r="O1432">
        <v>75.8</v>
      </c>
      <c r="P1432">
        <v>3.74</v>
      </c>
      <c r="Q1432">
        <v>1.45</v>
      </c>
      <c r="R1432" t="s">
        <v>58</v>
      </c>
      <c r="S1432" t="s">
        <v>39</v>
      </c>
      <c r="T1432" t="s">
        <v>48</v>
      </c>
    </row>
    <row r="1433" spans="1:20" x14ac:dyDescent="0.3">
      <c r="A1433">
        <v>10996</v>
      </c>
      <c r="B1433" s="2">
        <v>45749</v>
      </c>
      <c r="C1433" t="s">
        <v>49</v>
      </c>
      <c r="D1433" t="s">
        <v>21</v>
      </c>
      <c r="E1433" t="s">
        <v>22</v>
      </c>
      <c r="F1433" t="s">
        <v>41</v>
      </c>
      <c r="G1433" t="s">
        <v>54</v>
      </c>
      <c r="H1433" t="s">
        <v>99</v>
      </c>
      <c r="I1433" t="s">
        <v>173</v>
      </c>
      <c r="J1433">
        <v>1466</v>
      </c>
      <c r="K1433">
        <v>18</v>
      </c>
      <c r="L1433" t="s">
        <v>27</v>
      </c>
      <c r="M1433">
        <v>179</v>
      </c>
      <c r="N1433">
        <v>42.7</v>
      </c>
      <c r="O1433">
        <v>70.7</v>
      </c>
      <c r="P1433">
        <v>3.85</v>
      </c>
      <c r="Q1433">
        <v>1.63</v>
      </c>
      <c r="R1433" t="s">
        <v>152</v>
      </c>
      <c r="S1433" t="s">
        <v>29</v>
      </c>
      <c r="T1433" t="s">
        <v>30</v>
      </c>
    </row>
    <row r="1434" spans="1:20" x14ac:dyDescent="0.3">
      <c r="A1434">
        <v>10202</v>
      </c>
      <c r="B1434" s="2">
        <v>45697</v>
      </c>
      <c r="C1434" t="s">
        <v>49</v>
      </c>
      <c r="D1434" t="s">
        <v>32</v>
      </c>
      <c r="E1434" t="s">
        <v>22</v>
      </c>
      <c r="F1434" t="s">
        <v>41</v>
      </c>
      <c r="G1434" t="s">
        <v>24</v>
      </c>
      <c r="H1434" t="s">
        <v>265</v>
      </c>
      <c r="I1434" t="s">
        <v>356</v>
      </c>
      <c r="J1434">
        <v>555</v>
      </c>
      <c r="K1434">
        <v>50</v>
      </c>
      <c r="L1434" t="s">
        <v>45</v>
      </c>
      <c r="M1434">
        <v>42</v>
      </c>
      <c r="N1434">
        <v>39</v>
      </c>
      <c r="O1434">
        <v>80.3</v>
      </c>
      <c r="P1434">
        <v>4.9800000000000004</v>
      </c>
      <c r="Q1434">
        <v>3.96</v>
      </c>
      <c r="R1434" t="s">
        <v>209</v>
      </c>
      <c r="S1434" t="s">
        <v>47</v>
      </c>
      <c r="T1434" t="s">
        <v>48</v>
      </c>
    </row>
    <row r="1435" spans="1:20" x14ac:dyDescent="0.3">
      <c r="A1435">
        <v>10162</v>
      </c>
      <c r="B1435" s="2">
        <v>45697</v>
      </c>
      <c r="C1435" t="s">
        <v>20</v>
      </c>
      <c r="D1435" t="s">
        <v>64</v>
      </c>
      <c r="E1435" t="s">
        <v>33</v>
      </c>
      <c r="F1435" t="s">
        <v>81</v>
      </c>
      <c r="G1435" t="s">
        <v>60</v>
      </c>
      <c r="H1435" t="s">
        <v>278</v>
      </c>
      <c r="I1435" t="s">
        <v>206</v>
      </c>
      <c r="J1435">
        <v>1396</v>
      </c>
      <c r="K1435">
        <v>11</v>
      </c>
      <c r="L1435" t="s">
        <v>37</v>
      </c>
      <c r="M1435">
        <v>120</v>
      </c>
      <c r="N1435">
        <v>37.4</v>
      </c>
      <c r="O1435">
        <v>65.7</v>
      </c>
      <c r="P1435">
        <v>5.8</v>
      </c>
      <c r="Q1435">
        <v>1.01</v>
      </c>
      <c r="R1435" t="s">
        <v>243</v>
      </c>
      <c r="S1435" t="s">
        <v>47</v>
      </c>
      <c r="T1435" t="s">
        <v>30</v>
      </c>
    </row>
    <row r="1436" spans="1:20" x14ac:dyDescent="0.3">
      <c r="A1436">
        <v>10730</v>
      </c>
      <c r="B1436" s="2">
        <v>45926</v>
      </c>
      <c r="C1436" t="s">
        <v>20</v>
      </c>
      <c r="D1436" t="s">
        <v>64</v>
      </c>
      <c r="E1436" t="s">
        <v>22</v>
      </c>
      <c r="F1436" t="s">
        <v>108</v>
      </c>
      <c r="G1436" t="s">
        <v>50</v>
      </c>
      <c r="H1436" t="s">
        <v>192</v>
      </c>
      <c r="I1436" t="s">
        <v>289</v>
      </c>
      <c r="J1436">
        <v>1195</v>
      </c>
      <c r="K1436">
        <v>40</v>
      </c>
      <c r="L1436" t="s">
        <v>57</v>
      </c>
      <c r="M1436">
        <v>67</v>
      </c>
      <c r="N1436">
        <v>44.7</v>
      </c>
      <c r="O1436">
        <v>59.5</v>
      </c>
      <c r="P1436">
        <v>5.68</v>
      </c>
      <c r="Q1436">
        <v>3.63</v>
      </c>
      <c r="R1436" t="s">
        <v>209</v>
      </c>
      <c r="S1436" t="s">
        <v>29</v>
      </c>
      <c r="T1436" t="s">
        <v>48</v>
      </c>
    </row>
    <row r="1437" spans="1:20" x14ac:dyDescent="0.3">
      <c r="A1437">
        <v>10402</v>
      </c>
      <c r="B1437" s="2">
        <v>46020</v>
      </c>
      <c r="C1437" t="s">
        <v>49</v>
      </c>
      <c r="D1437" t="s">
        <v>32</v>
      </c>
      <c r="E1437" t="s">
        <v>33</v>
      </c>
      <c r="F1437" t="s">
        <v>41</v>
      </c>
      <c r="G1437" t="s">
        <v>74</v>
      </c>
      <c r="H1437" t="s">
        <v>55</v>
      </c>
      <c r="I1437" t="s">
        <v>171</v>
      </c>
      <c r="J1437">
        <v>891</v>
      </c>
      <c r="K1437">
        <v>3</v>
      </c>
      <c r="L1437" t="s">
        <v>37</v>
      </c>
      <c r="M1437">
        <v>155</v>
      </c>
      <c r="N1437">
        <v>54</v>
      </c>
      <c r="O1437">
        <v>71.2</v>
      </c>
      <c r="P1437">
        <v>5.46</v>
      </c>
      <c r="Q1437">
        <v>3.85</v>
      </c>
      <c r="R1437" t="s">
        <v>267</v>
      </c>
      <c r="S1437" t="s">
        <v>73</v>
      </c>
      <c r="T1437" t="s">
        <v>30</v>
      </c>
    </row>
    <row r="1438" spans="1:20" x14ac:dyDescent="0.3">
      <c r="A1438">
        <v>10703</v>
      </c>
      <c r="B1438" s="2">
        <v>45757</v>
      </c>
      <c r="C1438" t="s">
        <v>31</v>
      </c>
      <c r="D1438" t="s">
        <v>64</v>
      </c>
      <c r="E1438" t="s">
        <v>33</v>
      </c>
      <c r="F1438" t="s">
        <v>65</v>
      </c>
      <c r="G1438" t="s">
        <v>50</v>
      </c>
      <c r="H1438" t="s">
        <v>55</v>
      </c>
      <c r="I1438" t="s">
        <v>365</v>
      </c>
      <c r="J1438">
        <v>1144</v>
      </c>
      <c r="K1438">
        <v>11</v>
      </c>
      <c r="L1438" t="s">
        <v>27</v>
      </c>
      <c r="M1438">
        <v>179</v>
      </c>
      <c r="N1438">
        <v>36.799999999999997</v>
      </c>
      <c r="O1438">
        <v>62.8</v>
      </c>
      <c r="P1438">
        <v>5.0999999999999996</v>
      </c>
      <c r="Q1438">
        <v>3.17</v>
      </c>
      <c r="R1438" t="s">
        <v>140</v>
      </c>
      <c r="S1438" t="s">
        <v>47</v>
      </c>
      <c r="T1438" t="s">
        <v>30</v>
      </c>
    </row>
    <row r="1439" spans="1:20" x14ac:dyDescent="0.3">
      <c r="A1439">
        <v>11130</v>
      </c>
      <c r="B1439" s="2">
        <v>45823</v>
      </c>
      <c r="C1439" t="s">
        <v>49</v>
      </c>
      <c r="D1439" t="s">
        <v>59</v>
      </c>
      <c r="E1439" t="s">
        <v>33</v>
      </c>
      <c r="F1439" t="s">
        <v>41</v>
      </c>
      <c r="G1439" t="s">
        <v>34</v>
      </c>
      <c r="H1439" t="s">
        <v>200</v>
      </c>
      <c r="I1439" t="s">
        <v>354</v>
      </c>
      <c r="J1439">
        <v>1486</v>
      </c>
      <c r="K1439">
        <v>3</v>
      </c>
      <c r="L1439" t="s">
        <v>45</v>
      </c>
      <c r="M1439">
        <v>139</v>
      </c>
      <c r="N1439">
        <v>55.3</v>
      </c>
      <c r="O1439">
        <v>71.900000000000006</v>
      </c>
      <c r="P1439">
        <v>6.76</v>
      </c>
      <c r="Q1439">
        <v>4.4400000000000004</v>
      </c>
      <c r="R1439" t="s">
        <v>122</v>
      </c>
      <c r="S1439" t="s">
        <v>47</v>
      </c>
      <c r="T1439" t="s">
        <v>30</v>
      </c>
    </row>
    <row r="1440" spans="1:20" x14ac:dyDescent="0.3">
      <c r="A1440">
        <v>10566</v>
      </c>
      <c r="B1440" s="2">
        <v>45865</v>
      </c>
      <c r="C1440" t="s">
        <v>31</v>
      </c>
      <c r="D1440" t="s">
        <v>21</v>
      </c>
      <c r="E1440" t="s">
        <v>107</v>
      </c>
      <c r="F1440" t="s">
        <v>23</v>
      </c>
      <c r="G1440" t="s">
        <v>24</v>
      </c>
      <c r="H1440" t="s">
        <v>287</v>
      </c>
      <c r="I1440" t="s">
        <v>330</v>
      </c>
      <c r="J1440">
        <v>720</v>
      </c>
      <c r="K1440">
        <v>9</v>
      </c>
      <c r="L1440" t="s">
        <v>68</v>
      </c>
      <c r="M1440">
        <v>101</v>
      </c>
      <c r="N1440">
        <v>31</v>
      </c>
      <c r="O1440">
        <v>67.5</v>
      </c>
      <c r="P1440">
        <v>4.34</v>
      </c>
      <c r="Q1440">
        <v>1.79</v>
      </c>
      <c r="R1440" t="s">
        <v>184</v>
      </c>
      <c r="S1440" t="s">
        <v>47</v>
      </c>
      <c r="T1440" t="s">
        <v>30</v>
      </c>
    </row>
    <row r="1441" spans="1:20" x14ac:dyDescent="0.3">
      <c r="A1441">
        <v>11414</v>
      </c>
      <c r="B1441" s="2">
        <v>45903</v>
      </c>
      <c r="C1441" t="s">
        <v>49</v>
      </c>
      <c r="D1441" t="s">
        <v>32</v>
      </c>
      <c r="E1441" t="s">
        <v>22</v>
      </c>
      <c r="F1441" t="s">
        <v>23</v>
      </c>
      <c r="G1441" t="s">
        <v>89</v>
      </c>
      <c r="H1441" t="s">
        <v>177</v>
      </c>
      <c r="I1441" t="s">
        <v>136</v>
      </c>
      <c r="J1441" t="s">
        <v>410</v>
      </c>
      <c r="K1441">
        <v>77</v>
      </c>
      <c r="L1441" t="s">
        <v>27</v>
      </c>
      <c r="M1441">
        <v>99</v>
      </c>
      <c r="N1441">
        <v>46.6</v>
      </c>
      <c r="O1441">
        <v>71.900000000000006</v>
      </c>
      <c r="P1441">
        <v>4.6399999999999997</v>
      </c>
      <c r="Q1441">
        <v>2.09</v>
      </c>
      <c r="R1441" t="s">
        <v>140</v>
      </c>
      <c r="S1441" t="s">
        <v>39</v>
      </c>
      <c r="T1441" t="s">
        <v>48</v>
      </c>
    </row>
    <row r="1442" spans="1:20" x14ac:dyDescent="0.3">
      <c r="A1442">
        <v>11022</v>
      </c>
      <c r="B1442" s="2">
        <v>45696</v>
      </c>
      <c r="C1442" t="s">
        <v>20</v>
      </c>
      <c r="D1442" t="s">
        <v>32</v>
      </c>
      <c r="E1442" t="s">
        <v>107</v>
      </c>
      <c r="F1442" t="s">
        <v>41</v>
      </c>
      <c r="G1442" t="s">
        <v>89</v>
      </c>
      <c r="H1442" t="s">
        <v>175</v>
      </c>
      <c r="I1442" t="s">
        <v>235</v>
      </c>
      <c r="J1442">
        <v>962</v>
      </c>
      <c r="K1442">
        <v>14</v>
      </c>
      <c r="L1442" t="s">
        <v>68</v>
      </c>
      <c r="M1442">
        <v>143</v>
      </c>
      <c r="N1442">
        <v>52.5</v>
      </c>
      <c r="O1442">
        <v>74.7</v>
      </c>
      <c r="P1442">
        <v>5.81</v>
      </c>
      <c r="Q1442">
        <v>4.07</v>
      </c>
      <c r="R1442" t="s">
        <v>155</v>
      </c>
      <c r="S1442" t="s">
        <v>29</v>
      </c>
      <c r="T1442" t="s">
        <v>30</v>
      </c>
    </row>
    <row r="1443" spans="1:20" x14ac:dyDescent="0.3">
      <c r="A1443">
        <v>11026</v>
      </c>
      <c r="B1443" s="2">
        <v>45936</v>
      </c>
      <c r="C1443" t="s">
        <v>31</v>
      </c>
      <c r="D1443" t="s">
        <v>59</v>
      </c>
      <c r="E1443" t="s">
        <v>33</v>
      </c>
      <c r="F1443" t="s">
        <v>98</v>
      </c>
      <c r="G1443" t="s">
        <v>54</v>
      </c>
      <c r="H1443" t="s">
        <v>177</v>
      </c>
      <c r="I1443" t="s">
        <v>154</v>
      </c>
      <c r="J1443">
        <v>1503</v>
      </c>
      <c r="K1443">
        <v>58</v>
      </c>
      <c r="L1443" t="s">
        <v>37</v>
      </c>
      <c r="M1443">
        <v>94</v>
      </c>
      <c r="N1443">
        <v>30.4</v>
      </c>
      <c r="O1443">
        <v>65.900000000000006</v>
      </c>
      <c r="P1443">
        <v>6.36</v>
      </c>
      <c r="Q1443">
        <v>3.07</v>
      </c>
      <c r="R1443" t="s">
        <v>152</v>
      </c>
      <c r="S1443" t="s">
        <v>47</v>
      </c>
      <c r="T1443" t="s">
        <v>48</v>
      </c>
    </row>
    <row r="1444" spans="1:20" x14ac:dyDescent="0.3">
      <c r="A1444">
        <v>11412</v>
      </c>
      <c r="B1444" s="2">
        <v>45723</v>
      </c>
      <c r="C1444" t="s">
        <v>31</v>
      </c>
      <c r="D1444" t="s">
        <v>32</v>
      </c>
      <c r="E1444" t="s">
        <v>107</v>
      </c>
      <c r="F1444" t="s">
        <v>23</v>
      </c>
      <c r="G1444" t="s">
        <v>60</v>
      </c>
      <c r="H1444" t="s">
        <v>193</v>
      </c>
      <c r="I1444" t="s">
        <v>335</v>
      </c>
      <c r="J1444">
        <v>613</v>
      </c>
      <c r="K1444">
        <v>6</v>
      </c>
      <c r="L1444" t="s">
        <v>71</v>
      </c>
      <c r="M1444">
        <v>98</v>
      </c>
      <c r="N1444">
        <v>41.7</v>
      </c>
      <c r="O1444">
        <v>69.400000000000006</v>
      </c>
      <c r="P1444">
        <v>4.3099999999999996</v>
      </c>
      <c r="Q1444">
        <v>3.53</v>
      </c>
      <c r="R1444" t="s">
        <v>122</v>
      </c>
      <c r="S1444" t="s">
        <v>73</v>
      </c>
      <c r="T1444" t="s">
        <v>30</v>
      </c>
    </row>
    <row r="1445" spans="1:20" x14ac:dyDescent="0.3">
      <c r="A1445">
        <v>11105</v>
      </c>
      <c r="B1445" s="2">
        <v>45786</v>
      </c>
      <c r="C1445" t="s">
        <v>49</v>
      </c>
      <c r="D1445" t="s">
        <v>21</v>
      </c>
      <c r="E1445" t="s">
        <v>107</v>
      </c>
      <c r="F1445" t="s">
        <v>23</v>
      </c>
      <c r="G1445" t="s">
        <v>50</v>
      </c>
      <c r="H1445" t="s">
        <v>144</v>
      </c>
      <c r="I1445" t="s">
        <v>359</v>
      </c>
      <c r="J1445">
        <v>1319</v>
      </c>
      <c r="K1445">
        <v>8</v>
      </c>
      <c r="L1445" t="s">
        <v>68</v>
      </c>
      <c r="M1445">
        <v>116</v>
      </c>
      <c r="N1445">
        <v>42</v>
      </c>
      <c r="O1445">
        <v>64.599999999999994</v>
      </c>
      <c r="P1445">
        <v>3.37</v>
      </c>
      <c r="Q1445">
        <v>1.58</v>
      </c>
      <c r="R1445" t="s">
        <v>125</v>
      </c>
      <c r="S1445" t="s">
        <v>47</v>
      </c>
      <c r="T1445" t="s">
        <v>30</v>
      </c>
    </row>
    <row r="1446" spans="1:20" x14ac:dyDescent="0.3">
      <c r="A1446">
        <v>10206</v>
      </c>
      <c r="B1446" s="2">
        <v>45903</v>
      </c>
      <c r="C1446" t="s">
        <v>106</v>
      </c>
      <c r="D1446" t="s">
        <v>32</v>
      </c>
      <c r="E1446" t="s">
        <v>22</v>
      </c>
      <c r="F1446" t="s">
        <v>41</v>
      </c>
      <c r="G1446" t="s">
        <v>42</v>
      </c>
      <c r="H1446" t="s">
        <v>148</v>
      </c>
      <c r="I1446" t="s">
        <v>203</v>
      </c>
      <c r="J1446">
        <v>1148</v>
      </c>
      <c r="K1446">
        <v>11</v>
      </c>
      <c r="L1446" t="s">
        <v>37</v>
      </c>
      <c r="M1446">
        <v>86</v>
      </c>
      <c r="N1446">
        <v>37.799999999999997</v>
      </c>
      <c r="O1446">
        <v>63.1</v>
      </c>
      <c r="P1446">
        <v>7.13</v>
      </c>
      <c r="Q1446">
        <v>3.04</v>
      </c>
      <c r="R1446" t="s">
        <v>53</v>
      </c>
      <c r="S1446" t="s">
        <v>47</v>
      </c>
      <c r="T1446" t="s">
        <v>30</v>
      </c>
    </row>
    <row r="1447" spans="1:20" x14ac:dyDescent="0.3">
      <c r="A1447">
        <v>10035</v>
      </c>
      <c r="B1447" s="2">
        <v>45949</v>
      </c>
      <c r="C1447" t="s">
        <v>20</v>
      </c>
      <c r="D1447" t="s">
        <v>21</v>
      </c>
      <c r="E1447" t="s">
        <v>22</v>
      </c>
      <c r="F1447" t="s">
        <v>41</v>
      </c>
      <c r="G1447" t="s">
        <v>34</v>
      </c>
      <c r="H1447" t="s">
        <v>141</v>
      </c>
      <c r="I1447" t="s">
        <v>297</v>
      </c>
      <c r="J1447">
        <v>663</v>
      </c>
      <c r="K1447">
        <v>2</v>
      </c>
      <c r="L1447" t="s">
        <v>37</v>
      </c>
      <c r="M1447">
        <v>131</v>
      </c>
      <c r="N1447">
        <v>41.8</v>
      </c>
      <c r="O1447">
        <v>72.5</v>
      </c>
      <c r="P1447">
        <v>5.35</v>
      </c>
      <c r="Q1447">
        <v>4.5599999999999996</v>
      </c>
      <c r="R1447" t="s">
        <v>137</v>
      </c>
      <c r="S1447" t="s">
        <v>73</v>
      </c>
      <c r="T1447" t="s">
        <v>30</v>
      </c>
    </row>
    <row r="1448" spans="1:20" x14ac:dyDescent="0.3">
      <c r="A1448">
        <v>10776</v>
      </c>
      <c r="B1448" s="2">
        <v>45660</v>
      </c>
      <c r="C1448" t="s">
        <v>31</v>
      </c>
      <c r="D1448" t="s">
        <v>32</v>
      </c>
      <c r="E1448" t="s">
        <v>22</v>
      </c>
      <c r="F1448" t="s">
        <v>23</v>
      </c>
      <c r="G1448" t="s">
        <v>50</v>
      </c>
      <c r="H1448" t="s">
        <v>114</v>
      </c>
      <c r="I1448" t="s">
        <v>52</v>
      </c>
      <c r="J1448">
        <v>1522</v>
      </c>
      <c r="K1448">
        <v>27</v>
      </c>
      <c r="L1448" t="s">
        <v>45</v>
      </c>
      <c r="M1448">
        <v>132</v>
      </c>
      <c r="N1448">
        <v>43.5</v>
      </c>
      <c r="O1448">
        <v>70</v>
      </c>
      <c r="P1448">
        <v>4.8899999999999997</v>
      </c>
      <c r="Q1448">
        <v>1.35</v>
      </c>
      <c r="R1448" t="s">
        <v>232</v>
      </c>
      <c r="S1448" t="s">
        <v>73</v>
      </c>
      <c r="T1448" t="s">
        <v>30</v>
      </c>
    </row>
    <row r="1449" spans="1:20" x14ac:dyDescent="0.3">
      <c r="A1449">
        <v>10509</v>
      </c>
      <c r="B1449" s="2">
        <v>45691</v>
      </c>
      <c r="C1449" t="s">
        <v>49</v>
      </c>
      <c r="D1449" t="s">
        <v>21</v>
      </c>
      <c r="E1449" t="s">
        <v>40</v>
      </c>
      <c r="F1449" t="s">
        <v>23</v>
      </c>
      <c r="G1449" t="s">
        <v>74</v>
      </c>
      <c r="H1449" t="s">
        <v>82</v>
      </c>
      <c r="I1449" t="s">
        <v>104</v>
      </c>
      <c r="J1449">
        <v>621</v>
      </c>
      <c r="K1449">
        <v>7</v>
      </c>
      <c r="L1449" t="s">
        <v>37</v>
      </c>
      <c r="M1449">
        <v>123</v>
      </c>
      <c r="N1449">
        <v>35.4</v>
      </c>
      <c r="O1449">
        <v>61.1</v>
      </c>
      <c r="P1449">
        <v>5.3</v>
      </c>
      <c r="Q1449">
        <v>3.09</v>
      </c>
      <c r="R1449" t="s">
        <v>243</v>
      </c>
      <c r="S1449" t="s">
        <v>39</v>
      </c>
      <c r="T1449" t="s">
        <v>30</v>
      </c>
    </row>
    <row r="1450" spans="1:20" x14ac:dyDescent="0.3">
      <c r="A1450">
        <v>11488</v>
      </c>
      <c r="B1450" s="2">
        <v>45767</v>
      </c>
      <c r="C1450" t="s">
        <v>31</v>
      </c>
      <c r="D1450" t="s">
        <v>59</v>
      </c>
      <c r="E1450" t="s">
        <v>22</v>
      </c>
      <c r="F1450" t="s">
        <v>41</v>
      </c>
      <c r="G1450" t="s">
        <v>50</v>
      </c>
      <c r="H1450" t="s">
        <v>144</v>
      </c>
      <c r="I1450" t="s">
        <v>370</v>
      </c>
      <c r="J1450">
        <v>1321</v>
      </c>
      <c r="K1450">
        <v>10</v>
      </c>
      <c r="L1450" t="s">
        <v>57</v>
      </c>
      <c r="M1450">
        <v>170</v>
      </c>
      <c r="N1450">
        <v>41</v>
      </c>
      <c r="O1450">
        <v>76.7</v>
      </c>
      <c r="P1450">
        <v>4.71</v>
      </c>
      <c r="Q1450">
        <v>4.53</v>
      </c>
      <c r="R1450" t="s">
        <v>232</v>
      </c>
      <c r="S1450" t="s">
        <v>47</v>
      </c>
      <c r="T1450" t="s">
        <v>30</v>
      </c>
    </row>
    <row r="1451" spans="1:20" x14ac:dyDescent="0.3">
      <c r="A1451">
        <v>11391</v>
      </c>
      <c r="B1451" s="2">
        <v>45935</v>
      </c>
      <c r="C1451" t="s">
        <v>20</v>
      </c>
      <c r="D1451" t="s">
        <v>32</v>
      </c>
      <c r="E1451" t="s">
        <v>107</v>
      </c>
      <c r="F1451" t="s">
        <v>23</v>
      </c>
      <c r="G1451" t="s">
        <v>50</v>
      </c>
      <c r="H1451" t="s">
        <v>223</v>
      </c>
      <c r="I1451" t="s">
        <v>176</v>
      </c>
      <c r="J1451">
        <v>834</v>
      </c>
      <c r="K1451">
        <v>4</v>
      </c>
      <c r="L1451" t="s">
        <v>57</v>
      </c>
      <c r="M1451">
        <v>92</v>
      </c>
      <c r="N1451">
        <v>32.4</v>
      </c>
      <c r="O1451">
        <v>68.7</v>
      </c>
      <c r="P1451">
        <v>5.74</v>
      </c>
      <c r="Q1451">
        <v>4.0199999999999996</v>
      </c>
      <c r="R1451" t="s">
        <v>46</v>
      </c>
      <c r="S1451" t="s">
        <v>47</v>
      </c>
      <c r="T1451" t="s">
        <v>30</v>
      </c>
    </row>
    <row r="1452" spans="1:20" x14ac:dyDescent="0.3">
      <c r="A1452">
        <v>10092</v>
      </c>
      <c r="B1452" s="2">
        <v>45802</v>
      </c>
      <c r="C1452" t="s">
        <v>31</v>
      </c>
      <c r="D1452" t="s">
        <v>21</v>
      </c>
      <c r="E1452" t="s">
        <v>33</v>
      </c>
      <c r="F1452" t="s">
        <v>23</v>
      </c>
      <c r="G1452" t="s">
        <v>54</v>
      </c>
      <c r="H1452" t="s">
        <v>205</v>
      </c>
      <c r="I1452" t="s">
        <v>110</v>
      </c>
      <c r="J1452">
        <v>736</v>
      </c>
      <c r="K1452">
        <v>9</v>
      </c>
      <c r="L1452" t="s">
        <v>68</v>
      </c>
      <c r="M1452">
        <v>9</v>
      </c>
      <c r="N1452">
        <v>48.1</v>
      </c>
      <c r="O1452">
        <v>78.099999999999994</v>
      </c>
      <c r="P1452">
        <v>5.82</v>
      </c>
      <c r="Q1452">
        <v>1.53</v>
      </c>
      <c r="R1452" t="s">
        <v>164</v>
      </c>
      <c r="S1452" t="s">
        <v>29</v>
      </c>
      <c r="T1452" t="s">
        <v>30</v>
      </c>
    </row>
    <row r="1453" spans="1:20" x14ac:dyDescent="0.3">
      <c r="A1453">
        <v>11364</v>
      </c>
      <c r="B1453" s="2">
        <v>45993</v>
      </c>
      <c r="C1453" t="s">
        <v>150</v>
      </c>
      <c r="D1453" t="s">
        <v>32</v>
      </c>
      <c r="E1453" t="s">
        <v>22</v>
      </c>
      <c r="F1453" t="s">
        <v>23</v>
      </c>
      <c r="G1453" t="s">
        <v>50</v>
      </c>
      <c r="H1453" t="s">
        <v>165</v>
      </c>
      <c r="I1453" t="s">
        <v>194</v>
      </c>
      <c r="J1453">
        <v>1039</v>
      </c>
      <c r="K1453">
        <v>9</v>
      </c>
      <c r="L1453" t="s">
        <v>68</v>
      </c>
      <c r="M1453">
        <v>81</v>
      </c>
      <c r="N1453">
        <v>42</v>
      </c>
      <c r="O1453">
        <v>71.7</v>
      </c>
      <c r="P1453">
        <v>5.08</v>
      </c>
      <c r="Q1453">
        <v>2.69</v>
      </c>
      <c r="R1453" t="s">
        <v>111</v>
      </c>
      <c r="S1453" t="s">
        <v>47</v>
      </c>
      <c r="T1453" t="s">
        <v>30</v>
      </c>
    </row>
    <row r="1454" spans="1:20" x14ac:dyDescent="0.3">
      <c r="A1454">
        <v>10898</v>
      </c>
      <c r="B1454" s="2">
        <v>45734</v>
      </c>
      <c r="C1454" t="s">
        <v>31</v>
      </c>
      <c r="D1454" t="s">
        <v>59</v>
      </c>
      <c r="E1454" t="s">
        <v>40</v>
      </c>
      <c r="F1454" t="s">
        <v>23</v>
      </c>
      <c r="G1454" t="s">
        <v>109</v>
      </c>
      <c r="H1454" t="s">
        <v>213</v>
      </c>
      <c r="I1454" t="s">
        <v>254</v>
      </c>
      <c r="J1454">
        <v>1505</v>
      </c>
      <c r="K1454">
        <v>82</v>
      </c>
      <c r="L1454" t="s">
        <v>27</v>
      </c>
      <c r="M1454">
        <v>146</v>
      </c>
      <c r="N1454">
        <v>36.4</v>
      </c>
      <c r="O1454">
        <v>72.3</v>
      </c>
      <c r="P1454">
        <v>6.26</v>
      </c>
      <c r="Q1454">
        <v>2.85</v>
      </c>
      <c r="R1454" t="s">
        <v>80</v>
      </c>
      <c r="S1454" t="s">
        <v>29</v>
      </c>
      <c r="T1454" t="s">
        <v>48</v>
      </c>
    </row>
    <row r="1455" spans="1:20" x14ac:dyDescent="0.3">
      <c r="A1455">
        <v>10565</v>
      </c>
      <c r="B1455" s="2">
        <v>45926</v>
      </c>
      <c r="C1455" t="s">
        <v>49</v>
      </c>
      <c r="D1455" t="s">
        <v>32</v>
      </c>
      <c r="E1455" t="s">
        <v>40</v>
      </c>
      <c r="F1455" t="s">
        <v>81</v>
      </c>
      <c r="G1455" t="s">
        <v>109</v>
      </c>
      <c r="H1455" t="s">
        <v>213</v>
      </c>
      <c r="I1455" t="s">
        <v>334</v>
      </c>
      <c r="J1455">
        <v>632</v>
      </c>
      <c r="K1455">
        <v>6</v>
      </c>
      <c r="L1455" t="s">
        <v>57</v>
      </c>
      <c r="M1455">
        <v>136</v>
      </c>
      <c r="N1455">
        <v>40.1</v>
      </c>
      <c r="O1455">
        <v>60.9</v>
      </c>
      <c r="P1455">
        <v>6.28</v>
      </c>
      <c r="Q1455">
        <v>5.1100000000000003</v>
      </c>
      <c r="R1455" t="s">
        <v>122</v>
      </c>
      <c r="S1455" t="s">
        <v>47</v>
      </c>
      <c r="T1455" t="s">
        <v>30</v>
      </c>
    </row>
    <row r="1456" spans="1:20" x14ac:dyDescent="0.3">
      <c r="A1456">
        <v>11370</v>
      </c>
      <c r="B1456" s="2">
        <v>45667</v>
      </c>
      <c r="C1456" t="s">
        <v>31</v>
      </c>
      <c r="D1456" t="s">
        <v>32</v>
      </c>
      <c r="E1456" t="s">
        <v>107</v>
      </c>
      <c r="F1456" t="s">
        <v>81</v>
      </c>
      <c r="G1456" t="s">
        <v>113</v>
      </c>
      <c r="H1456" t="s">
        <v>161</v>
      </c>
      <c r="I1456" t="s">
        <v>210</v>
      </c>
      <c r="J1456">
        <v>606</v>
      </c>
      <c r="K1456">
        <v>18</v>
      </c>
      <c r="L1456" t="s">
        <v>68</v>
      </c>
      <c r="M1456">
        <v>11</v>
      </c>
      <c r="N1456">
        <v>31.5</v>
      </c>
      <c r="O1456">
        <v>67.7</v>
      </c>
      <c r="P1456">
        <v>4.5599999999999996</v>
      </c>
      <c r="Q1456">
        <v>3.93</v>
      </c>
      <c r="R1456" t="s">
        <v>46</v>
      </c>
      <c r="S1456" t="s">
        <v>73</v>
      </c>
      <c r="T1456" t="s">
        <v>30</v>
      </c>
    </row>
    <row r="1457" spans="1:20" x14ac:dyDescent="0.3">
      <c r="A1457">
        <v>10777</v>
      </c>
      <c r="B1457" s="2">
        <v>45854</v>
      </c>
      <c r="C1457" t="s">
        <v>31</v>
      </c>
      <c r="D1457" t="s">
        <v>64</v>
      </c>
      <c r="E1457" t="s">
        <v>107</v>
      </c>
      <c r="F1457" t="s">
        <v>81</v>
      </c>
      <c r="G1457" t="s">
        <v>113</v>
      </c>
      <c r="H1457" t="s">
        <v>205</v>
      </c>
      <c r="I1457" t="s">
        <v>355</v>
      </c>
      <c r="J1457">
        <v>1365</v>
      </c>
      <c r="K1457">
        <v>4</v>
      </c>
      <c r="L1457" t="s">
        <v>71</v>
      </c>
      <c r="M1457">
        <v>9</v>
      </c>
      <c r="N1457">
        <v>41.2</v>
      </c>
      <c r="O1457">
        <v>69.8</v>
      </c>
      <c r="P1457">
        <v>5.76</v>
      </c>
      <c r="Q1457">
        <v>5.77</v>
      </c>
      <c r="R1457" t="s">
        <v>84</v>
      </c>
      <c r="S1457" t="s">
        <v>39</v>
      </c>
      <c r="T1457" t="s">
        <v>30</v>
      </c>
    </row>
    <row r="1458" spans="1:20" x14ac:dyDescent="0.3">
      <c r="A1458">
        <v>10242</v>
      </c>
      <c r="B1458" s="2">
        <v>45845</v>
      </c>
      <c r="C1458" t="s">
        <v>49</v>
      </c>
      <c r="D1458" t="s">
        <v>21</v>
      </c>
      <c r="E1458" t="s">
        <v>22</v>
      </c>
      <c r="F1458" t="s">
        <v>41</v>
      </c>
      <c r="G1458" t="s">
        <v>74</v>
      </c>
      <c r="H1458" t="s">
        <v>93</v>
      </c>
      <c r="I1458" t="s">
        <v>56</v>
      </c>
      <c r="J1458">
        <v>840</v>
      </c>
      <c r="K1458">
        <v>7</v>
      </c>
      <c r="L1458" t="s">
        <v>68</v>
      </c>
      <c r="M1458">
        <v>5</v>
      </c>
      <c r="N1458">
        <v>41.2</v>
      </c>
      <c r="O1458">
        <v>68.7</v>
      </c>
      <c r="P1458">
        <v>4.5199999999999996</v>
      </c>
      <c r="Q1458">
        <v>1.67</v>
      </c>
      <c r="R1458" t="s">
        <v>242</v>
      </c>
      <c r="S1458" t="s">
        <v>39</v>
      </c>
      <c r="T1458" t="s">
        <v>30</v>
      </c>
    </row>
    <row r="1459" spans="1:20" x14ac:dyDescent="0.3">
      <c r="A1459">
        <v>10014</v>
      </c>
      <c r="B1459" s="2">
        <v>45815</v>
      </c>
      <c r="C1459" t="s">
        <v>20</v>
      </c>
      <c r="D1459" t="s">
        <v>59</v>
      </c>
      <c r="E1459" t="s">
        <v>22</v>
      </c>
      <c r="F1459" t="s">
        <v>81</v>
      </c>
      <c r="G1459" t="s">
        <v>54</v>
      </c>
      <c r="H1459" t="s">
        <v>161</v>
      </c>
      <c r="I1459" t="s">
        <v>307</v>
      </c>
      <c r="J1459">
        <v>1265</v>
      </c>
      <c r="K1459">
        <v>7</v>
      </c>
      <c r="L1459" t="s">
        <v>68</v>
      </c>
      <c r="M1459">
        <v>28</v>
      </c>
      <c r="N1459">
        <v>46.2</v>
      </c>
      <c r="O1459">
        <v>56.4</v>
      </c>
      <c r="P1459">
        <v>5.47</v>
      </c>
      <c r="Q1459">
        <v>2.86</v>
      </c>
      <c r="R1459" t="s">
        <v>105</v>
      </c>
      <c r="S1459" t="s">
        <v>47</v>
      </c>
      <c r="T1459" t="s">
        <v>30</v>
      </c>
    </row>
    <row r="1460" spans="1:20" x14ac:dyDescent="0.3">
      <c r="A1460">
        <v>10316</v>
      </c>
      <c r="B1460" s="2">
        <v>45729</v>
      </c>
      <c r="C1460" t="s">
        <v>20</v>
      </c>
      <c r="D1460" t="s">
        <v>59</v>
      </c>
      <c r="E1460" t="s">
        <v>40</v>
      </c>
      <c r="F1460" t="s">
        <v>41</v>
      </c>
      <c r="G1460" t="s">
        <v>89</v>
      </c>
      <c r="H1460" t="s">
        <v>144</v>
      </c>
      <c r="I1460" t="s">
        <v>102</v>
      </c>
      <c r="J1460">
        <v>1455</v>
      </c>
      <c r="K1460">
        <v>18</v>
      </c>
      <c r="L1460" t="s">
        <v>37</v>
      </c>
      <c r="M1460">
        <v>7</v>
      </c>
      <c r="N1460">
        <v>29.5</v>
      </c>
      <c r="O1460">
        <v>54.2</v>
      </c>
      <c r="P1460">
        <v>5.38</v>
      </c>
      <c r="Q1460">
        <v>2.1800000000000002</v>
      </c>
      <c r="R1460" t="s">
        <v>84</v>
      </c>
      <c r="S1460" t="s">
        <v>29</v>
      </c>
      <c r="T1460" t="s">
        <v>30</v>
      </c>
    </row>
    <row r="1461" spans="1:20" x14ac:dyDescent="0.3">
      <c r="A1461">
        <v>10601</v>
      </c>
      <c r="B1461" s="2">
        <v>45927</v>
      </c>
      <c r="C1461" t="s">
        <v>49</v>
      </c>
      <c r="D1461" t="s">
        <v>64</v>
      </c>
      <c r="E1461" t="s">
        <v>107</v>
      </c>
      <c r="F1461" t="s">
        <v>41</v>
      </c>
      <c r="G1461" t="s">
        <v>42</v>
      </c>
      <c r="H1461" t="s">
        <v>82</v>
      </c>
      <c r="I1461" t="s">
        <v>228</v>
      </c>
      <c r="J1461">
        <v>880</v>
      </c>
      <c r="K1461">
        <v>30</v>
      </c>
      <c r="L1461" t="s">
        <v>57</v>
      </c>
      <c r="M1461">
        <v>110</v>
      </c>
      <c r="N1461">
        <v>49.1</v>
      </c>
      <c r="O1461">
        <v>72.2</v>
      </c>
      <c r="P1461">
        <v>4.51</v>
      </c>
      <c r="Q1461">
        <v>4.55</v>
      </c>
      <c r="R1461" t="s">
        <v>72</v>
      </c>
      <c r="S1461" t="s">
        <v>39</v>
      </c>
      <c r="T1461" t="s">
        <v>48</v>
      </c>
    </row>
    <row r="1462" spans="1:20" x14ac:dyDescent="0.3">
      <c r="A1462">
        <v>10388</v>
      </c>
      <c r="B1462" s="2">
        <v>45702</v>
      </c>
      <c r="C1462" t="s">
        <v>20</v>
      </c>
      <c r="D1462" t="s">
        <v>21</v>
      </c>
      <c r="E1462" t="s">
        <v>40</v>
      </c>
      <c r="F1462" t="s">
        <v>41</v>
      </c>
      <c r="G1462" t="s">
        <v>24</v>
      </c>
      <c r="H1462" t="s">
        <v>263</v>
      </c>
      <c r="I1462" t="s">
        <v>162</v>
      </c>
      <c r="J1462">
        <v>779</v>
      </c>
      <c r="K1462">
        <v>21</v>
      </c>
      <c r="L1462" t="s">
        <v>57</v>
      </c>
      <c r="M1462">
        <v>22</v>
      </c>
      <c r="N1462">
        <v>45.5</v>
      </c>
      <c r="O1462">
        <v>77.3</v>
      </c>
      <c r="P1462">
        <v>4.4000000000000004</v>
      </c>
      <c r="Q1462">
        <v>2.75</v>
      </c>
      <c r="R1462" t="s">
        <v>222</v>
      </c>
      <c r="S1462" t="s">
        <v>29</v>
      </c>
      <c r="T1462" t="s">
        <v>30</v>
      </c>
    </row>
    <row r="1463" spans="1:20" x14ac:dyDescent="0.3">
      <c r="A1463">
        <v>11298</v>
      </c>
      <c r="B1463" s="2">
        <v>45681</v>
      </c>
      <c r="C1463" t="s">
        <v>20</v>
      </c>
      <c r="D1463" t="s">
        <v>59</v>
      </c>
      <c r="E1463" t="s">
        <v>107</v>
      </c>
      <c r="F1463" t="s">
        <v>41</v>
      </c>
      <c r="G1463" t="s">
        <v>95</v>
      </c>
      <c r="H1463" t="s">
        <v>193</v>
      </c>
      <c r="I1463" t="s">
        <v>83</v>
      </c>
      <c r="J1463">
        <v>1458</v>
      </c>
      <c r="K1463">
        <v>30</v>
      </c>
      <c r="L1463" t="s">
        <v>27</v>
      </c>
      <c r="M1463">
        <v>160</v>
      </c>
      <c r="N1463">
        <v>34.299999999999997</v>
      </c>
      <c r="O1463">
        <v>68.2</v>
      </c>
      <c r="P1463">
        <v>4.6399999999999997</v>
      </c>
      <c r="Q1463">
        <v>2.52</v>
      </c>
      <c r="R1463" t="s">
        <v>159</v>
      </c>
      <c r="S1463" t="s">
        <v>47</v>
      </c>
      <c r="T1463" t="s">
        <v>30</v>
      </c>
    </row>
    <row r="1464" spans="1:20" x14ac:dyDescent="0.3">
      <c r="A1464">
        <v>10167</v>
      </c>
      <c r="B1464" s="2">
        <v>45908</v>
      </c>
      <c r="C1464" t="s">
        <v>20</v>
      </c>
      <c r="D1464" t="s">
        <v>64</v>
      </c>
      <c r="E1464" t="s">
        <v>22</v>
      </c>
      <c r="F1464" t="s">
        <v>23</v>
      </c>
      <c r="G1464" t="s">
        <v>74</v>
      </c>
      <c r="H1464" t="s">
        <v>278</v>
      </c>
      <c r="I1464" t="s">
        <v>166</v>
      </c>
      <c r="J1464">
        <v>1474</v>
      </c>
      <c r="K1464">
        <v>5</v>
      </c>
      <c r="L1464" t="s">
        <v>37</v>
      </c>
      <c r="M1464">
        <v>7</v>
      </c>
      <c r="N1464">
        <v>44.2</v>
      </c>
      <c r="O1464">
        <v>68.400000000000006</v>
      </c>
      <c r="P1464">
        <v>4.63</v>
      </c>
      <c r="Q1464">
        <v>4.8600000000000003</v>
      </c>
      <c r="R1464" t="s">
        <v>38</v>
      </c>
      <c r="S1464" t="s">
        <v>73</v>
      </c>
      <c r="T1464" t="s">
        <v>30</v>
      </c>
    </row>
    <row r="1465" spans="1:20" x14ac:dyDescent="0.3">
      <c r="A1465">
        <v>10841</v>
      </c>
      <c r="B1465" s="2">
        <v>45788</v>
      </c>
      <c r="C1465" t="s">
        <v>31</v>
      </c>
      <c r="D1465" t="s">
        <v>64</v>
      </c>
      <c r="E1465" t="s">
        <v>33</v>
      </c>
      <c r="F1465" t="s">
        <v>41</v>
      </c>
      <c r="G1465" t="s">
        <v>109</v>
      </c>
      <c r="H1465" t="s">
        <v>287</v>
      </c>
      <c r="I1465" t="s">
        <v>239</v>
      </c>
      <c r="J1465">
        <v>778</v>
      </c>
      <c r="K1465">
        <v>27</v>
      </c>
      <c r="L1465" t="s">
        <v>45</v>
      </c>
      <c r="M1465">
        <v>39</v>
      </c>
      <c r="N1465">
        <v>34.4</v>
      </c>
      <c r="O1465">
        <v>69.400000000000006</v>
      </c>
      <c r="P1465">
        <v>4.95</v>
      </c>
      <c r="Q1465">
        <v>3.21</v>
      </c>
      <c r="R1465" t="s">
        <v>77</v>
      </c>
      <c r="S1465" t="s">
        <v>47</v>
      </c>
      <c r="T1465" t="s">
        <v>48</v>
      </c>
    </row>
    <row r="1466" spans="1:20" x14ac:dyDescent="0.3">
      <c r="A1466">
        <v>10021</v>
      </c>
      <c r="B1466" s="2">
        <v>45980</v>
      </c>
      <c r="C1466" t="s">
        <v>20</v>
      </c>
      <c r="D1466" t="s">
        <v>64</v>
      </c>
      <c r="E1466" t="s">
        <v>107</v>
      </c>
      <c r="F1466" t="s">
        <v>81</v>
      </c>
      <c r="G1466" t="s">
        <v>54</v>
      </c>
      <c r="H1466" t="s">
        <v>148</v>
      </c>
      <c r="I1466" t="s">
        <v>355</v>
      </c>
      <c r="J1466">
        <v>1139</v>
      </c>
      <c r="K1466">
        <v>21</v>
      </c>
      <c r="L1466" t="s">
        <v>68</v>
      </c>
      <c r="M1466">
        <v>16</v>
      </c>
      <c r="N1466">
        <v>44</v>
      </c>
      <c r="O1466">
        <v>67</v>
      </c>
      <c r="P1466">
        <v>5.03</v>
      </c>
      <c r="Q1466">
        <v>2.2599999999999998</v>
      </c>
      <c r="R1466" t="s">
        <v>103</v>
      </c>
      <c r="S1466" t="s">
        <v>29</v>
      </c>
      <c r="T1466" t="s">
        <v>30</v>
      </c>
    </row>
    <row r="1467" spans="1:20" x14ac:dyDescent="0.3">
      <c r="A1467">
        <v>10647</v>
      </c>
      <c r="B1467" s="2">
        <v>45765</v>
      </c>
      <c r="C1467" t="s">
        <v>49</v>
      </c>
      <c r="D1467" t="s">
        <v>32</v>
      </c>
      <c r="E1467" t="s">
        <v>107</v>
      </c>
      <c r="F1467" t="s">
        <v>41</v>
      </c>
      <c r="G1467" t="s">
        <v>50</v>
      </c>
      <c r="H1467" t="s">
        <v>93</v>
      </c>
      <c r="I1467" t="s">
        <v>347</v>
      </c>
      <c r="J1467">
        <v>1031</v>
      </c>
      <c r="K1467">
        <v>19</v>
      </c>
      <c r="L1467" t="s">
        <v>68</v>
      </c>
      <c r="M1467">
        <v>40</v>
      </c>
      <c r="N1467">
        <v>28.9</v>
      </c>
      <c r="O1467">
        <v>69.2</v>
      </c>
      <c r="P1467">
        <v>4.82</v>
      </c>
      <c r="Q1467">
        <v>2.93</v>
      </c>
      <c r="R1467" t="s">
        <v>63</v>
      </c>
      <c r="S1467" t="s">
        <v>29</v>
      </c>
      <c r="T1467" t="s">
        <v>30</v>
      </c>
    </row>
    <row r="1468" spans="1:20" x14ac:dyDescent="0.3">
      <c r="A1468">
        <v>11155</v>
      </c>
      <c r="B1468" s="2">
        <v>45890</v>
      </c>
      <c r="C1468" t="s">
        <v>31</v>
      </c>
      <c r="D1468" t="s">
        <v>59</v>
      </c>
      <c r="E1468" t="s">
        <v>40</v>
      </c>
      <c r="F1468" t="s">
        <v>23</v>
      </c>
      <c r="G1468" t="s">
        <v>34</v>
      </c>
      <c r="H1468" t="s">
        <v>101</v>
      </c>
      <c r="I1468" t="s">
        <v>91</v>
      </c>
      <c r="J1468">
        <v>798</v>
      </c>
      <c r="K1468">
        <v>4</v>
      </c>
      <c r="L1468" t="s">
        <v>37</v>
      </c>
      <c r="M1468">
        <v>151</v>
      </c>
      <c r="N1468">
        <v>41.1</v>
      </c>
      <c r="O1468">
        <v>79.099999999999994</v>
      </c>
      <c r="P1468">
        <v>5.76</v>
      </c>
      <c r="Q1468">
        <v>0.99</v>
      </c>
      <c r="R1468" t="s">
        <v>202</v>
      </c>
      <c r="S1468" t="s">
        <v>47</v>
      </c>
      <c r="T1468" t="s">
        <v>30</v>
      </c>
    </row>
    <row r="1469" spans="1:20" x14ac:dyDescent="0.3">
      <c r="A1469">
        <v>10832</v>
      </c>
      <c r="B1469" s="2">
        <v>45732</v>
      </c>
      <c r="C1469" t="s">
        <v>31</v>
      </c>
      <c r="D1469" t="s">
        <v>59</v>
      </c>
      <c r="E1469" t="s">
        <v>40</v>
      </c>
      <c r="F1469" t="s">
        <v>23</v>
      </c>
      <c r="G1469" t="s">
        <v>95</v>
      </c>
      <c r="H1469" t="s">
        <v>141</v>
      </c>
      <c r="I1469" t="s">
        <v>70</v>
      </c>
      <c r="J1469">
        <v>626</v>
      </c>
      <c r="K1469">
        <v>5</v>
      </c>
      <c r="L1469" t="s">
        <v>68</v>
      </c>
      <c r="M1469">
        <v>116</v>
      </c>
      <c r="N1469">
        <v>45</v>
      </c>
      <c r="O1469">
        <v>60.4</v>
      </c>
      <c r="P1469">
        <v>5.68</v>
      </c>
      <c r="Q1469">
        <v>3.49</v>
      </c>
      <c r="R1469" t="s">
        <v>87</v>
      </c>
      <c r="S1469" t="s">
        <v>47</v>
      </c>
      <c r="T1469" t="s">
        <v>30</v>
      </c>
    </row>
    <row r="1470" spans="1:20" x14ac:dyDescent="0.3">
      <c r="A1470">
        <v>11268</v>
      </c>
      <c r="B1470" s="2">
        <v>45992</v>
      </c>
      <c r="C1470" t="s">
        <v>31</v>
      </c>
      <c r="D1470" t="s">
        <v>32</v>
      </c>
      <c r="E1470" t="s">
        <v>107</v>
      </c>
      <c r="F1470" t="s">
        <v>41</v>
      </c>
      <c r="G1470" t="s">
        <v>42</v>
      </c>
      <c r="H1470" t="s">
        <v>278</v>
      </c>
      <c r="I1470" t="s">
        <v>314</v>
      </c>
      <c r="J1470">
        <v>701</v>
      </c>
      <c r="K1470">
        <v>6</v>
      </c>
      <c r="L1470" t="s">
        <v>37</v>
      </c>
      <c r="M1470">
        <v>121</v>
      </c>
      <c r="N1470">
        <v>30.2</v>
      </c>
      <c r="O1470">
        <v>68.400000000000006</v>
      </c>
      <c r="P1470">
        <v>6.63</v>
      </c>
      <c r="Q1470">
        <v>1.96</v>
      </c>
      <c r="R1470" t="s">
        <v>280</v>
      </c>
      <c r="S1470" t="s">
        <v>29</v>
      </c>
      <c r="T1470" t="s">
        <v>30</v>
      </c>
    </row>
    <row r="1471" spans="1:20" x14ac:dyDescent="0.3">
      <c r="A1471">
        <v>10563</v>
      </c>
      <c r="B1471" s="2">
        <v>45764</v>
      </c>
      <c r="C1471" t="s">
        <v>20</v>
      </c>
      <c r="D1471" t="s">
        <v>64</v>
      </c>
      <c r="E1471" t="s">
        <v>107</v>
      </c>
      <c r="F1471" t="s">
        <v>41</v>
      </c>
      <c r="G1471" t="s">
        <v>134</v>
      </c>
      <c r="H1471" t="s">
        <v>165</v>
      </c>
      <c r="I1471" t="s">
        <v>254</v>
      </c>
      <c r="J1471">
        <v>1202</v>
      </c>
      <c r="K1471">
        <v>116</v>
      </c>
      <c r="L1471" t="s">
        <v>71</v>
      </c>
      <c r="M1471">
        <v>85</v>
      </c>
      <c r="N1471">
        <v>39.299999999999997</v>
      </c>
      <c r="O1471">
        <v>68</v>
      </c>
      <c r="P1471">
        <v>6.43</v>
      </c>
      <c r="Q1471">
        <v>3.17</v>
      </c>
      <c r="R1471" t="s">
        <v>243</v>
      </c>
      <c r="S1471" t="s">
        <v>47</v>
      </c>
      <c r="T1471" t="s">
        <v>48</v>
      </c>
    </row>
    <row r="1472" spans="1:20" x14ac:dyDescent="0.3">
      <c r="A1472">
        <v>11473</v>
      </c>
      <c r="B1472" s="2">
        <v>45792</v>
      </c>
      <c r="C1472" t="s">
        <v>49</v>
      </c>
      <c r="D1472" t="s">
        <v>21</v>
      </c>
      <c r="E1472" t="s">
        <v>22</v>
      </c>
      <c r="F1472" t="s">
        <v>41</v>
      </c>
      <c r="G1472" t="s">
        <v>113</v>
      </c>
      <c r="H1472" t="s">
        <v>138</v>
      </c>
      <c r="I1472" t="s">
        <v>110</v>
      </c>
      <c r="J1472">
        <v>658</v>
      </c>
      <c r="K1472">
        <v>2</v>
      </c>
      <c r="L1472" t="s">
        <v>45</v>
      </c>
      <c r="M1472">
        <v>120</v>
      </c>
      <c r="N1472">
        <v>38.799999999999997</v>
      </c>
      <c r="O1472">
        <v>77.900000000000006</v>
      </c>
      <c r="P1472">
        <v>4.8499999999999996</v>
      </c>
      <c r="Q1472">
        <v>2.92</v>
      </c>
      <c r="R1472" t="s">
        <v>186</v>
      </c>
      <c r="S1472" t="s">
        <v>29</v>
      </c>
      <c r="T1472" t="s">
        <v>30</v>
      </c>
    </row>
    <row r="1473" spans="1:20" x14ac:dyDescent="0.3">
      <c r="A1473">
        <v>10687</v>
      </c>
      <c r="B1473" s="2">
        <v>45866</v>
      </c>
      <c r="C1473" t="s">
        <v>360</v>
      </c>
      <c r="D1473" t="s">
        <v>32</v>
      </c>
      <c r="E1473" t="s">
        <v>33</v>
      </c>
      <c r="F1473" t="s">
        <v>41</v>
      </c>
      <c r="G1473" t="s">
        <v>34</v>
      </c>
      <c r="H1473" t="s">
        <v>148</v>
      </c>
      <c r="I1473" t="s">
        <v>301</v>
      </c>
      <c r="J1473">
        <v>727</v>
      </c>
      <c r="K1473">
        <v>21</v>
      </c>
      <c r="L1473" t="s">
        <v>68</v>
      </c>
      <c r="M1473">
        <v>69</v>
      </c>
      <c r="N1473">
        <v>45.3</v>
      </c>
      <c r="O1473">
        <v>67.8</v>
      </c>
      <c r="P1473">
        <v>5.92</v>
      </c>
      <c r="Q1473">
        <v>4.9000000000000004</v>
      </c>
      <c r="R1473" t="s">
        <v>103</v>
      </c>
      <c r="S1473" t="s">
        <v>29</v>
      </c>
      <c r="T1473" t="s">
        <v>30</v>
      </c>
    </row>
    <row r="1474" spans="1:20" x14ac:dyDescent="0.3">
      <c r="A1474">
        <v>10958</v>
      </c>
      <c r="B1474" s="2">
        <v>45746</v>
      </c>
      <c r="C1474" t="s">
        <v>49</v>
      </c>
      <c r="D1474" t="s">
        <v>21</v>
      </c>
      <c r="E1474" t="s">
        <v>40</v>
      </c>
      <c r="F1474" t="s">
        <v>23</v>
      </c>
      <c r="G1474" t="s">
        <v>134</v>
      </c>
      <c r="H1474" t="s">
        <v>169</v>
      </c>
      <c r="I1474" t="s">
        <v>231</v>
      </c>
      <c r="J1474">
        <v>479</v>
      </c>
      <c r="K1474">
        <v>2</v>
      </c>
      <c r="L1474" t="s">
        <v>45</v>
      </c>
      <c r="M1474">
        <v>125</v>
      </c>
      <c r="N1474">
        <v>42.2</v>
      </c>
      <c r="O1474">
        <v>70.5</v>
      </c>
      <c r="P1474">
        <v>5.5</v>
      </c>
      <c r="Q1474">
        <v>3.2</v>
      </c>
      <c r="R1474" t="s">
        <v>167</v>
      </c>
      <c r="S1474" t="s">
        <v>47</v>
      </c>
      <c r="T1474" t="s">
        <v>30</v>
      </c>
    </row>
    <row r="1475" spans="1:20" x14ac:dyDescent="0.3">
      <c r="A1475">
        <v>10190</v>
      </c>
      <c r="B1475" s="2">
        <v>46003</v>
      </c>
      <c r="C1475" t="s">
        <v>31</v>
      </c>
      <c r="D1475" t="s">
        <v>59</v>
      </c>
      <c r="E1475" t="s">
        <v>33</v>
      </c>
      <c r="F1475" t="s">
        <v>81</v>
      </c>
      <c r="G1475" t="s">
        <v>74</v>
      </c>
      <c r="H1475" t="s">
        <v>66</v>
      </c>
      <c r="I1475" t="s">
        <v>36</v>
      </c>
      <c r="J1475">
        <v>749</v>
      </c>
      <c r="K1475">
        <v>9</v>
      </c>
      <c r="L1475" t="s">
        <v>71</v>
      </c>
      <c r="M1475">
        <v>170</v>
      </c>
      <c r="N1475">
        <v>36.299999999999997</v>
      </c>
      <c r="O1475">
        <v>77.900000000000006</v>
      </c>
      <c r="P1475">
        <v>6.24</v>
      </c>
      <c r="Q1475">
        <v>2.93</v>
      </c>
      <c r="R1475" t="s">
        <v>105</v>
      </c>
      <c r="S1475" t="s">
        <v>29</v>
      </c>
      <c r="T1475" t="s">
        <v>30</v>
      </c>
    </row>
    <row r="1476" spans="1:20" x14ac:dyDescent="0.3">
      <c r="A1476">
        <v>10976</v>
      </c>
      <c r="B1476" s="2">
        <v>46006</v>
      </c>
      <c r="C1476" t="s">
        <v>20</v>
      </c>
      <c r="D1476" t="s">
        <v>21</v>
      </c>
      <c r="E1476" t="s">
        <v>33</v>
      </c>
      <c r="F1476" t="s">
        <v>41</v>
      </c>
      <c r="G1476" t="s">
        <v>89</v>
      </c>
      <c r="H1476" t="s">
        <v>93</v>
      </c>
      <c r="I1476" t="s">
        <v>266</v>
      </c>
      <c r="J1476">
        <v>822</v>
      </c>
      <c r="K1476">
        <v>7</v>
      </c>
      <c r="L1476" t="s">
        <v>27</v>
      </c>
      <c r="M1476">
        <v>136</v>
      </c>
      <c r="N1476">
        <v>34</v>
      </c>
      <c r="O1476">
        <v>79.2</v>
      </c>
      <c r="P1476">
        <v>4.8</v>
      </c>
      <c r="Q1476">
        <v>4.0199999999999996</v>
      </c>
      <c r="R1476" t="s">
        <v>227</v>
      </c>
      <c r="S1476" t="s">
        <v>73</v>
      </c>
      <c r="T1476" t="s">
        <v>30</v>
      </c>
    </row>
    <row r="1477" spans="1:20" x14ac:dyDescent="0.3">
      <c r="A1477">
        <v>10700</v>
      </c>
      <c r="B1477" s="2">
        <v>45903</v>
      </c>
      <c r="C1477" t="s">
        <v>20</v>
      </c>
      <c r="D1477" t="s">
        <v>64</v>
      </c>
      <c r="E1477" t="s">
        <v>40</v>
      </c>
      <c r="F1477" t="s">
        <v>23</v>
      </c>
      <c r="G1477" t="s">
        <v>134</v>
      </c>
      <c r="H1477" t="s">
        <v>141</v>
      </c>
      <c r="I1477" t="s">
        <v>296</v>
      </c>
      <c r="J1477">
        <v>536</v>
      </c>
      <c r="K1477">
        <v>6</v>
      </c>
      <c r="L1477" t="s">
        <v>71</v>
      </c>
      <c r="M1477">
        <v>26</v>
      </c>
      <c r="N1477">
        <v>41.2</v>
      </c>
      <c r="O1477">
        <v>71.8</v>
      </c>
      <c r="P1477">
        <v>4.8499999999999996</v>
      </c>
      <c r="Q1477">
        <v>2.76</v>
      </c>
      <c r="R1477" t="s">
        <v>153</v>
      </c>
      <c r="S1477" t="s">
        <v>39</v>
      </c>
      <c r="T1477" t="s">
        <v>30</v>
      </c>
    </row>
    <row r="1478" spans="1:20" x14ac:dyDescent="0.3">
      <c r="A1478">
        <v>10511</v>
      </c>
      <c r="B1478" s="2">
        <v>45775</v>
      </c>
      <c r="C1478" t="s">
        <v>360</v>
      </c>
      <c r="D1478" t="s">
        <v>21</v>
      </c>
      <c r="E1478" t="s">
        <v>107</v>
      </c>
      <c r="F1478" t="s">
        <v>23</v>
      </c>
      <c r="G1478" t="s">
        <v>134</v>
      </c>
      <c r="H1478" t="s">
        <v>88</v>
      </c>
      <c r="I1478" t="s">
        <v>345</v>
      </c>
      <c r="J1478">
        <v>1304</v>
      </c>
      <c r="K1478">
        <v>15</v>
      </c>
      <c r="L1478" t="s">
        <v>27</v>
      </c>
      <c r="M1478">
        <v>58</v>
      </c>
      <c r="N1478">
        <v>48.8</v>
      </c>
      <c r="O1478">
        <v>74.099999999999994</v>
      </c>
      <c r="P1478">
        <v>5.09</v>
      </c>
      <c r="Q1478">
        <v>1.68</v>
      </c>
      <c r="R1478" t="s">
        <v>174</v>
      </c>
      <c r="S1478" t="s">
        <v>29</v>
      </c>
      <c r="T1478" t="s">
        <v>30</v>
      </c>
    </row>
    <row r="1479" spans="1:20" x14ac:dyDescent="0.3">
      <c r="A1479">
        <v>11083</v>
      </c>
      <c r="B1479" s="2">
        <v>45684</v>
      </c>
      <c r="C1479" t="s">
        <v>271</v>
      </c>
      <c r="D1479" t="s">
        <v>64</v>
      </c>
      <c r="E1479" t="s">
        <v>40</v>
      </c>
      <c r="F1479" t="s">
        <v>41</v>
      </c>
      <c r="G1479" t="s">
        <v>113</v>
      </c>
      <c r="H1479" t="s">
        <v>101</v>
      </c>
      <c r="I1479" t="s">
        <v>299</v>
      </c>
      <c r="J1479">
        <v>732</v>
      </c>
      <c r="K1479">
        <v>9</v>
      </c>
      <c r="L1479" t="s">
        <v>71</v>
      </c>
      <c r="M1479">
        <v>37</v>
      </c>
      <c r="N1479">
        <v>36.1</v>
      </c>
      <c r="O1479">
        <v>85</v>
      </c>
      <c r="P1479">
        <v>3.91</v>
      </c>
      <c r="Q1479">
        <v>2.1</v>
      </c>
      <c r="R1479" t="s">
        <v>267</v>
      </c>
      <c r="S1479" t="s">
        <v>73</v>
      </c>
      <c r="T1479" t="s">
        <v>30</v>
      </c>
    </row>
    <row r="1480" spans="1:20" x14ac:dyDescent="0.3">
      <c r="A1480">
        <v>10475</v>
      </c>
      <c r="B1480" s="2">
        <v>45701</v>
      </c>
      <c r="C1480" t="s">
        <v>49</v>
      </c>
      <c r="D1480" t="s">
        <v>64</v>
      </c>
      <c r="E1480" t="s">
        <v>33</v>
      </c>
      <c r="F1480" t="s">
        <v>81</v>
      </c>
      <c r="G1480" t="s">
        <v>89</v>
      </c>
      <c r="H1480" t="s">
        <v>144</v>
      </c>
      <c r="I1480" t="s">
        <v>276</v>
      </c>
      <c r="J1480">
        <v>656</v>
      </c>
      <c r="K1480">
        <v>4</v>
      </c>
      <c r="L1480" t="s">
        <v>27</v>
      </c>
      <c r="M1480">
        <v>139</v>
      </c>
      <c r="N1480">
        <v>43.9</v>
      </c>
      <c r="O1480">
        <v>78.400000000000006</v>
      </c>
      <c r="P1480">
        <v>5.5</v>
      </c>
      <c r="Q1480">
        <v>3.03</v>
      </c>
      <c r="R1480" t="s">
        <v>122</v>
      </c>
      <c r="S1480" t="s">
        <v>73</v>
      </c>
      <c r="T1480" t="s">
        <v>30</v>
      </c>
    </row>
    <row r="1481" spans="1:20" x14ac:dyDescent="0.3">
      <c r="A1481">
        <v>10857</v>
      </c>
      <c r="B1481" s="2">
        <v>45813</v>
      </c>
      <c r="C1481" t="s">
        <v>199</v>
      </c>
      <c r="D1481" t="s">
        <v>32</v>
      </c>
      <c r="E1481" t="s">
        <v>107</v>
      </c>
      <c r="F1481" t="s">
        <v>23</v>
      </c>
      <c r="G1481" t="s">
        <v>60</v>
      </c>
      <c r="H1481" t="s">
        <v>223</v>
      </c>
      <c r="I1481" t="s">
        <v>318</v>
      </c>
      <c r="J1481">
        <v>932</v>
      </c>
      <c r="K1481">
        <v>35</v>
      </c>
      <c r="L1481" t="s">
        <v>45</v>
      </c>
      <c r="M1481">
        <v>166</v>
      </c>
      <c r="N1481">
        <v>53.8</v>
      </c>
      <c r="O1481">
        <v>53.2</v>
      </c>
      <c r="P1481">
        <v>5.89</v>
      </c>
      <c r="Q1481">
        <v>3.98</v>
      </c>
      <c r="R1481" t="s">
        <v>174</v>
      </c>
      <c r="S1481" t="s">
        <v>73</v>
      </c>
      <c r="T1481" t="s">
        <v>48</v>
      </c>
    </row>
    <row r="1482" spans="1:20" x14ac:dyDescent="0.3">
      <c r="A1482">
        <v>10748</v>
      </c>
      <c r="B1482" s="2">
        <v>45825</v>
      </c>
      <c r="C1482" t="s">
        <v>20</v>
      </c>
      <c r="D1482" t="s">
        <v>64</v>
      </c>
      <c r="E1482" t="s">
        <v>107</v>
      </c>
      <c r="F1482" t="s">
        <v>81</v>
      </c>
      <c r="G1482" t="s">
        <v>134</v>
      </c>
      <c r="H1482" t="s">
        <v>263</v>
      </c>
      <c r="I1482" t="s">
        <v>197</v>
      </c>
      <c r="J1482">
        <v>1585</v>
      </c>
      <c r="K1482">
        <v>39</v>
      </c>
      <c r="L1482" t="s">
        <v>57</v>
      </c>
      <c r="M1482">
        <v>23</v>
      </c>
      <c r="N1482">
        <v>35.5</v>
      </c>
      <c r="O1482">
        <v>67</v>
      </c>
      <c r="P1482">
        <v>6.34</v>
      </c>
      <c r="Q1482">
        <v>1.53</v>
      </c>
      <c r="R1482" t="s">
        <v>137</v>
      </c>
      <c r="S1482" t="s">
        <v>73</v>
      </c>
      <c r="T1482" t="s">
        <v>30</v>
      </c>
    </row>
    <row r="1483" spans="1:20" x14ac:dyDescent="0.3">
      <c r="A1483">
        <v>10253</v>
      </c>
      <c r="B1483" s="2">
        <v>45871</v>
      </c>
      <c r="C1483" t="s">
        <v>20</v>
      </c>
      <c r="D1483" t="s">
        <v>59</v>
      </c>
      <c r="E1483" t="s">
        <v>107</v>
      </c>
      <c r="F1483" t="s">
        <v>23</v>
      </c>
      <c r="G1483" t="s">
        <v>24</v>
      </c>
      <c r="H1483" t="s">
        <v>99</v>
      </c>
      <c r="I1483" t="s">
        <v>118</v>
      </c>
      <c r="J1483">
        <v>759</v>
      </c>
      <c r="K1483">
        <v>65</v>
      </c>
      <c r="L1483" t="s">
        <v>68</v>
      </c>
      <c r="M1483">
        <v>155</v>
      </c>
      <c r="N1483" t="s">
        <v>411</v>
      </c>
      <c r="O1483">
        <v>64.7</v>
      </c>
      <c r="P1483">
        <v>5.79</v>
      </c>
      <c r="Q1483">
        <v>4.62</v>
      </c>
      <c r="R1483" t="s">
        <v>143</v>
      </c>
      <c r="S1483" t="s">
        <v>39</v>
      </c>
      <c r="T1483" t="s">
        <v>48</v>
      </c>
    </row>
    <row r="1484" spans="1:20" x14ac:dyDescent="0.3">
      <c r="A1484">
        <v>10022</v>
      </c>
      <c r="B1484" s="2">
        <v>45732</v>
      </c>
      <c r="C1484" t="s">
        <v>20</v>
      </c>
      <c r="D1484" t="s">
        <v>21</v>
      </c>
      <c r="E1484" t="s">
        <v>107</v>
      </c>
      <c r="F1484" t="s">
        <v>23</v>
      </c>
      <c r="G1484" t="s">
        <v>24</v>
      </c>
      <c r="H1484" t="s">
        <v>120</v>
      </c>
      <c r="I1484" t="s">
        <v>309</v>
      </c>
      <c r="J1484">
        <v>1471</v>
      </c>
      <c r="K1484">
        <v>19</v>
      </c>
      <c r="L1484" t="s">
        <v>27</v>
      </c>
      <c r="M1484">
        <v>105</v>
      </c>
      <c r="N1484">
        <v>47.2</v>
      </c>
      <c r="O1484">
        <v>76.900000000000006</v>
      </c>
      <c r="P1484">
        <v>5.18</v>
      </c>
      <c r="Q1484">
        <v>2.93</v>
      </c>
      <c r="R1484" t="s">
        <v>184</v>
      </c>
      <c r="S1484" t="s">
        <v>73</v>
      </c>
      <c r="T1484" t="s">
        <v>30</v>
      </c>
    </row>
    <row r="1485" spans="1:20" x14ac:dyDescent="0.3">
      <c r="A1485">
        <v>11338</v>
      </c>
      <c r="B1485" s="2">
        <v>45700</v>
      </c>
      <c r="C1485" t="s">
        <v>31</v>
      </c>
      <c r="D1485" t="s">
        <v>64</v>
      </c>
      <c r="E1485" t="s">
        <v>107</v>
      </c>
      <c r="F1485" t="s">
        <v>23</v>
      </c>
      <c r="G1485" t="s">
        <v>50</v>
      </c>
      <c r="H1485" t="s">
        <v>114</v>
      </c>
      <c r="I1485" t="s">
        <v>135</v>
      </c>
      <c r="J1485">
        <v>1051</v>
      </c>
      <c r="K1485">
        <v>11</v>
      </c>
      <c r="L1485" t="s">
        <v>37</v>
      </c>
      <c r="M1485">
        <v>52</v>
      </c>
      <c r="N1485">
        <v>48.2</v>
      </c>
      <c r="O1485">
        <v>70.599999999999994</v>
      </c>
      <c r="P1485">
        <v>4.79</v>
      </c>
      <c r="Q1485">
        <v>3.84</v>
      </c>
      <c r="R1485" t="s">
        <v>186</v>
      </c>
      <c r="S1485" t="s">
        <v>47</v>
      </c>
      <c r="T1485" t="s">
        <v>30</v>
      </c>
    </row>
    <row r="1486" spans="1:20" x14ac:dyDescent="0.3">
      <c r="A1486">
        <v>10460</v>
      </c>
      <c r="B1486" s="2">
        <v>45931</v>
      </c>
      <c r="C1486" t="s">
        <v>49</v>
      </c>
      <c r="D1486" t="s">
        <v>21</v>
      </c>
      <c r="E1486" t="s">
        <v>40</v>
      </c>
      <c r="F1486" t="s">
        <v>23</v>
      </c>
      <c r="G1486" t="s">
        <v>54</v>
      </c>
      <c r="H1486" t="s">
        <v>213</v>
      </c>
      <c r="I1486" t="s">
        <v>62</v>
      </c>
      <c r="J1486">
        <v>1144</v>
      </c>
      <c r="K1486">
        <v>14</v>
      </c>
      <c r="L1486" t="s">
        <v>68</v>
      </c>
      <c r="M1486">
        <v>12</v>
      </c>
      <c r="N1486">
        <v>39.5</v>
      </c>
      <c r="O1486">
        <v>69.7</v>
      </c>
      <c r="P1486">
        <v>4.66</v>
      </c>
      <c r="Q1486">
        <v>1.52</v>
      </c>
      <c r="R1486" t="s">
        <v>28</v>
      </c>
      <c r="S1486" t="s">
        <v>73</v>
      </c>
      <c r="T1486" t="s">
        <v>30</v>
      </c>
    </row>
    <row r="1487" spans="1:20" x14ac:dyDescent="0.3">
      <c r="A1487">
        <v>11185</v>
      </c>
      <c r="B1487" s="2">
        <v>45909</v>
      </c>
      <c r="C1487" t="s">
        <v>31</v>
      </c>
      <c r="D1487" t="s">
        <v>32</v>
      </c>
      <c r="E1487" t="s">
        <v>22</v>
      </c>
      <c r="F1487" t="s">
        <v>23</v>
      </c>
      <c r="G1487" t="s">
        <v>113</v>
      </c>
      <c r="H1487" t="s">
        <v>169</v>
      </c>
      <c r="I1487" t="s">
        <v>373</v>
      </c>
      <c r="J1487">
        <v>1416</v>
      </c>
      <c r="K1487">
        <v>20</v>
      </c>
      <c r="L1487" t="s">
        <v>27</v>
      </c>
      <c r="M1487">
        <v>6</v>
      </c>
      <c r="N1487">
        <v>51.9</v>
      </c>
      <c r="O1487">
        <v>80.3</v>
      </c>
      <c r="P1487">
        <v>5.0999999999999996</v>
      </c>
      <c r="Q1487">
        <v>2.09</v>
      </c>
      <c r="R1487" t="s">
        <v>103</v>
      </c>
      <c r="S1487" t="s">
        <v>39</v>
      </c>
      <c r="T1487" t="s">
        <v>30</v>
      </c>
    </row>
    <row r="1488" spans="1:20" x14ac:dyDescent="0.3">
      <c r="A1488">
        <v>10277</v>
      </c>
      <c r="B1488" s="2">
        <v>45751</v>
      </c>
      <c r="C1488" t="s">
        <v>49</v>
      </c>
      <c r="D1488" t="s">
        <v>32</v>
      </c>
      <c r="E1488" t="s">
        <v>22</v>
      </c>
      <c r="F1488" t="s">
        <v>41</v>
      </c>
      <c r="G1488" t="s">
        <v>50</v>
      </c>
      <c r="H1488" t="s">
        <v>148</v>
      </c>
      <c r="I1488" t="s">
        <v>333</v>
      </c>
      <c r="J1488">
        <v>1338</v>
      </c>
      <c r="K1488">
        <v>7</v>
      </c>
      <c r="L1488" t="s">
        <v>37</v>
      </c>
      <c r="M1488">
        <v>78</v>
      </c>
      <c r="N1488">
        <v>32.299999999999997</v>
      </c>
      <c r="O1488">
        <v>73.3</v>
      </c>
      <c r="P1488">
        <v>4.32</v>
      </c>
      <c r="Q1488">
        <v>1.18</v>
      </c>
      <c r="R1488" t="s">
        <v>240</v>
      </c>
      <c r="S1488" t="s">
        <v>73</v>
      </c>
      <c r="T1488" t="s">
        <v>30</v>
      </c>
    </row>
    <row r="1489" spans="1:20" x14ac:dyDescent="0.3">
      <c r="A1489">
        <v>10956</v>
      </c>
      <c r="B1489" s="2">
        <v>46009</v>
      </c>
      <c r="C1489" t="s">
        <v>49</v>
      </c>
      <c r="D1489" t="s">
        <v>59</v>
      </c>
      <c r="E1489" t="s">
        <v>22</v>
      </c>
      <c r="F1489" t="s">
        <v>23</v>
      </c>
      <c r="G1489" t="s">
        <v>109</v>
      </c>
      <c r="H1489" t="s">
        <v>120</v>
      </c>
      <c r="I1489" t="s">
        <v>158</v>
      </c>
      <c r="J1489">
        <v>1477</v>
      </c>
      <c r="K1489">
        <v>17</v>
      </c>
      <c r="L1489" t="s">
        <v>37</v>
      </c>
      <c r="M1489" t="s">
        <v>412</v>
      </c>
      <c r="N1489">
        <v>43.3</v>
      </c>
      <c r="O1489">
        <v>55.7</v>
      </c>
      <c r="P1489">
        <v>3.63</v>
      </c>
      <c r="Q1489">
        <v>2.06</v>
      </c>
      <c r="R1489" t="s">
        <v>242</v>
      </c>
      <c r="S1489" t="s">
        <v>73</v>
      </c>
      <c r="T1489" t="s">
        <v>30</v>
      </c>
    </row>
    <row r="1490" spans="1:20" x14ac:dyDescent="0.3">
      <c r="A1490">
        <v>11216</v>
      </c>
      <c r="B1490" s="2">
        <v>46014</v>
      </c>
      <c r="C1490" t="s">
        <v>31</v>
      </c>
      <c r="D1490" t="s">
        <v>32</v>
      </c>
      <c r="E1490" t="s">
        <v>33</v>
      </c>
      <c r="F1490" t="s">
        <v>41</v>
      </c>
      <c r="G1490" t="s">
        <v>34</v>
      </c>
      <c r="H1490" t="s">
        <v>169</v>
      </c>
      <c r="I1490" t="s">
        <v>160</v>
      </c>
      <c r="J1490">
        <v>1529</v>
      </c>
      <c r="K1490">
        <v>7</v>
      </c>
      <c r="L1490" t="s">
        <v>68</v>
      </c>
      <c r="M1490">
        <v>21</v>
      </c>
      <c r="N1490">
        <v>48.1</v>
      </c>
      <c r="O1490">
        <v>69.7</v>
      </c>
      <c r="P1490">
        <v>4.33</v>
      </c>
      <c r="Q1490">
        <v>3.48</v>
      </c>
      <c r="R1490" t="s">
        <v>155</v>
      </c>
      <c r="S1490" t="s">
        <v>73</v>
      </c>
      <c r="T1490" t="s">
        <v>30</v>
      </c>
    </row>
    <row r="1491" spans="1:20" x14ac:dyDescent="0.3">
      <c r="A1491">
        <v>10386</v>
      </c>
      <c r="B1491" s="2">
        <v>45976</v>
      </c>
      <c r="C1491" t="s">
        <v>20</v>
      </c>
      <c r="D1491" t="s">
        <v>32</v>
      </c>
      <c r="E1491" t="s">
        <v>107</v>
      </c>
      <c r="F1491" t="s">
        <v>23</v>
      </c>
      <c r="G1491" t="s">
        <v>134</v>
      </c>
      <c r="H1491" t="s">
        <v>351</v>
      </c>
      <c r="I1491" t="s">
        <v>335</v>
      </c>
      <c r="J1491">
        <v>1051</v>
      </c>
      <c r="K1491">
        <v>8</v>
      </c>
      <c r="L1491" t="s">
        <v>57</v>
      </c>
      <c r="M1491">
        <v>158</v>
      </c>
      <c r="N1491">
        <v>45.1</v>
      </c>
      <c r="O1491">
        <v>69.400000000000006</v>
      </c>
      <c r="P1491">
        <v>4.75</v>
      </c>
      <c r="Q1491">
        <v>3.54</v>
      </c>
      <c r="R1491" t="s">
        <v>77</v>
      </c>
      <c r="S1491" t="s">
        <v>39</v>
      </c>
      <c r="T1491" t="s">
        <v>30</v>
      </c>
    </row>
    <row r="1492" spans="1:20" x14ac:dyDescent="0.3">
      <c r="A1492">
        <v>10806</v>
      </c>
      <c r="B1492" s="2">
        <v>45760</v>
      </c>
      <c r="C1492" t="s">
        <v>49</v>
      </c>
      <c r="D1492" t="s">
        <v>59</v>
      </c>
      <c r="E1492" t="s">
        <v>33</v>
      </c>
      <c r="F1492" t="s">
        <v>81</v>
      </c>
      <c r="G1492" t="s">
        <v>42</v>
      </c>
      <c r="H1492" t="s">
        <v>351</v>
      </c>
      <c r="I1492" t="s">
        <v>204</v>
      </c>
      <c r="J1492">
        <v>1085</v>
      </c>
      <c r="K1492">
        <v>8</v>
      </c>
      <c r="L1492" t="s">
        <v>27</v>
      </c>
      <c r="M1492">
        <v>152</v>
      </c>
      <c r="N1492">
        <v>32.4</v>
      </c>
      <c r="O1492">
        <v>71.7</v>
      </c>
      <c r="P1492">
        <v>5.71</v>
      </c>
      <c r="Q1492">
        <v>4.9800000000000004</v>
      </c>
      <c r="R1492" t="s">
        <v>189</v>
      </c>
      <c r="S1492" t="s">
        <v>39</v>
      </c>
      <c r="T1492" t="s">
        <v>30</v>
      </c>
    </row>
    <row r="1493" spans="1:20" x14ac:dyDescent="0.3">
      <c r="A1493">
        <v>11438</v>
      </c>
      <c r="B1493" s="2">
        <v>45947</v>
      </c>
      <c r="C1493" t="s">
        <v>31</v>
      </c>
      <c r="D1493" t="s">
        <v>64</v>
      </c>
      <c r="E1493" t="s">
        <v>107</v>
      </c>
      <c r="F1493" t="s">
        <v>41</v>
      </c>
      <c r="G1493" t="s">
        <v>42</v>
      </c>
      <c r="H1493" t="s">
        <v>82</v>
      </c>
      <c r="I1493" t="s">
        <v>331</v>
      </c>
      <c r="J1493">
        <v>746</v>
      </c>
      <c r="K1493">
        <v>9</v>
      </c>
      <c r="L1493" t="s">
        <v>57</v>
      </c>
      <c r="M1493">
        <v>50</v>
      </c>
      <c r="N1493">
        <v>37.299999999999997</v>
      </c>
      <c r="O1493">
        <v>77.7</v>
      </c>
      <c r="P1493">
        <v>5.16</v>
      </c>
      <c r="Q1493">
        <v>1.78</v>
      </c>
      <c r="R1493" t="s">
        <v>167</v>
      </c>
      <c r="S1493" t="s">
        <v>47</v>
      </c>
      <c r="T1493" t="s">
        <v>30</v>
      </c>
    </row>
    <row r="1494" spans="1:20" x14ac:dyDescent="0.3">
      <c r="A1494">
        <v>10344</v>
      </c>
      <c r="B1494" s="2">
        <v>45855</v>
      </c>
      <c r="C1494" t="s">
        <v>20</v>
      </c>
      <c r="D1494" t="s">
        <v>59</v>
      </c>
      <c r="E1494" t="s">
        <v>40</v>
      </c>
      <c r="F1494" t="s">
        <v>23</v>
      </c>
      <c r="G1494" t="s">
        <v>60</v>
      </c>
      <c r="H1494" t="s">
        <v>82</v>
      </c>
      <c r="I1494" t="s">
        <v>273</v>
      </c>
      <c r="J1494">
        <v>1278</v>
      </c>
      <c r="K1494">
        <v>35</v>
      </c>
      <c r="L1494" t="s">
        <v>27</v>
      </c>
      <c r="M1494">
        <v>50</v>
      </c>
      <c r="N1494" t="s">
        <v>413</v>
      </c>
      <c r="O1494">
        <v>82.1</v>
      </c>
      <c r="P1494">
        <v>4.72</v>
      </c>
      <c r="Q1494">
        <v>1.86</v>
      </c>
      <c r="R1494" t="s">
        <v>202</v>
      </c>
      <c r="S1494" t="s">
        <v>73</v>
      </c>
      <c r="T1494" t="s">
        <v>30</v>
      </c>
    </row>
    <row r="1495" spans="1:20" x14ac:dyDescent="0.3">
      <c r="A1495">
        <v>10770</v>
      </c>
      <c r="B1495" s="2">
        <v>45745</v>
      </c>
      <c r="C1495" t="s">
        <v>20</v>
      </c>
      <c r="D1495" t="s">
        <v>64</v>
      </c>
      <c r="E1495" t="s">
        <v>33</v>
      </c>
      <c r="F1495" t="s">
        <v>81</v>
      </c>
      <c r="G1495" t="s">
        <v>95</v>
      </c>
      <c r="H1495" t="s">
        <v>51</v>
      </c>
      <c r="I1495" t="s">
        <v>357</v>
      </c>
      <c r="J1495">
        <v>1263</v>
      </c>
      <c r="K1495">
        <v>9</v>
      </c>
      <c r="L1495" t="s">
        <v>45</v>
      </c>
      <c r="M1495">
        <v>49</v>
      </c>
      <c r="N1495">
        <v>34.6</v>
      </c>
      <c r="O1495">
        <v>70.2</v>
      </c>
      <c r="P1495">
        <v>4.3099999999999996</v>
      </c>
      <c r="Q1495">
        <v>2.5099999999999998</v>
      </c>
      <c r="R1495" t="s">
        <v>242</v>
      </c>
      <c r="S1495" t="s">
        <v>29</v>
      </c>
      <c r="T1495" t="s">
        <v>30</v>
      </c>
    </row>
    <row r="1496" spans="1:20" x14ac:dyDescent="0.3">
      <c r="A1496">
        <v>11333</v>
      </c>
      <c r="B1496" s="2">
        <v>45680</v>
      </c>
      <c r="C1496" t="s">
        <v>31</v>
      </c>
      <c r="D1496" t="s">
        <v>32</v>
      </c>
      <c r="E1496" t="s">
        <v>22</v>
      </c>
      <c r="F1496" t="s">
        <v>41</v>
      </c>
      <c r="G1496" t="s">
        <v>109</v>
      </c>
      <c r="H1496" t="s">
        <v>190</v>
      </c>
      <c r="I1496" t="s">
        <v>269</v>
      </c>
      <c r="J1496">
        <v>1520</v>
      </c>
      <c r="K1496">
        <v>11</v>
      </c>
      <c r="L1496" t="s">
        <v>57</v>
      </c>
      <c r="M1496">
        <v>52</v>
      </c>
      <c r="N1496">
        <v>37.700000000000003</v>
      </c>
      <c r="O1496">
        <v>51.8</v>
      </c>
      <c r="P1496">
        <v>6.03</v>
      </c>
      <c r="Q1496">
        <v>3.35</v>
      </c>
      <c r="R1496" t="s">
        <v>202</v>
      </c>
      <c r="S1496" t="s">
        <v>39</v>
      </c>
      <c r="T1496" t="s">
        <v>30</v>
      </c>
    </row>
    <row r="1497" spans="1:20" x14ac:dyDescent="0.3">
      <c r="A1497">
        <v>10131</v>
      </c>
      <c r="B1497" s="2">
        <v>45784</v>
      </c>
      <c r="C1497" t="s">
        <v>49</v>
      </c>
      <c r="D1497" t="s">
        <v>64</v>
      </c>
      <c r="E1497" t="s">
        <v>22</v>
      </c>
      <c r="F1497" t="s">
        <v>23</v>
      </c>
      <c r="G1497" t="s">
        <v>95</v>
      </c>
      <c r="H1497" t="s">
        <v>265</v>
      </c>
      <c r="I1497" t="s">
        <v>368</v>
      </c>
      <c r="J1497">
        <v>632</v>
      </c>
      <c r="K1497">
        <v>52</v>
      </c>
      <c r="L1497" t="s">
        <v>27</v>
      </c>
      <c r="M1497">
        <v>113</v>
      </c>
      <c r="N1497">
        <v>30.9</v>
      </c>
      <c r="O1497">
        <v>79.2</v>
      </c>
      <c r="P1497">
        <v>4.8099999999999996</v>
      </c>
      <c r="Q1497">
        <v>2.96</v>
      </c>
      <c r="R1497" t="s">
        <v>87</v>
      </c>
      <c r="S1497" t="s">
        <v>39</v>
      </c>
      <c r="T1497" t="s">
        <v>48</v>
      </c>
    </row>
    <row r="1498" spans="1:20" x14ac:dyDescent="0.3">
      <c r="A1498">
        <v>10872</v>
      </c>
      <c r="B1498" s="2">
        <v>45933</v>
      </c>
      <c r="C1498" t="s">
        <v>20</v>
      </c>
      <c r="D1498" t="s">
        <v>32</v>
      </c>
      <c r="E1498" t="s">
        <v>33</v>
      </c>
      <c r="F1498" t="s">
        <v>23</v>
      </c>
      <c r="G1498" t="s">
        <v>34</v>
      </c>
      <c r="H1498" t="s">
        <v>131</v>
      </c>
      <c r="I1498" t="s">
        <v>168</v>
      </c>
      <c r="J1498">
        <v>848</v>
      </c>
      <c r="K1498">
        <v>8</v>
      </c>
      <c r="L1498" t="s">
        <v>45</v>
      </c>
      <c r="M1498">
        <v>11</v>
      </c>
      <c r="N1498">
        <v>58.6</v>
      </c>
      <c r="O1498">
        <v>78.8</v>
      </c>
      <c r="P1498">
        <v>3.85</v>
      </c>
      <c r="Q1498">
        <v>2.02</v>
      </c>
      <c r="R1498" t="s">
        <v>243</v>
      </c>
      <c r="S1498" t="s">
        <v>47</v>
      </c>
      <c r="T1498" t="s">
        <v>30</v>
      </c>
    </row>
    <row r="1499" spans="1:20" x14ac:dyDescent="0.3">
      <c r="A1499">
        <v>11124</v>
      </c>
      <c r="B1499" s="2">
        <v>45935</v>
      </c>
      <c r="C1499" t="s">
        <v>20</v>
      </c>
      <c r="D1499" t="s">
        <v>32</v>
      </c>
      <c r="E1499" t="s">
        <v>40</v>
      </c>
      <c r="F1499" t="s">
        <v>81</v>
      </c>
      <c r="G1499" t="s">
        <v>113</v>
      </c>
      <c r="H1499" t="s">
        <v>144</v>
      </c>
      <c r="I1499" t="s">
        <v>94</v>
      </c>
      <c r="J1499">
        <v>1447</v>
      </c>
      <c r="K1499">
        <v>22</v>
      </c>
      <c r="L1499" t="s">
        <v>71</v>
      </c>
      <c r="M1499">
        <v>101</v>
      </c>
      <c r="N1499">
        <v>38.9</v>
      </c>
      <c r="O1499">
        <v>71.3</v>
      </c>
      <c r="P1499">
        <v>4.88</v>
      </c>
      <c r="Q1499">
        <v>1.9</v>
      </c>
      <c r="R1499" t="s">
        <v>232</v>
      </c>
      <c r="S1499" t="s">
        <v>39</v>
      </c>
      <c r="T1499" t="s">
        <v>30</v>
      </c>
    </row>
    <row r="1500" spans="1:20" x14ac:dyDescent="0.3">
      <c r="A1500">
        <v>11397</v>
      </c>
      <c r="B1500" s="2">
        <v>45788</v>
      </c>
      <c r="C1500" t="s">
        <v>49</v>
      </c>
      <c r="D1500" t="s">
        <v>64</v>
      </c>
      <c r="E1500" t="s">
        <v>40</v>
      </c>
      <c r="F1500" t="s">
        <v>41</v>
      </c>
      <c r="G1500" t="s">
        <v>74</v>
      </c>
      <c r="H1500" t="s">
        <v>180</v>
      </c>
      <c r="I1500" t="s">
        <v>259</v>
      </c>
      <c r="J1500">
        <v>745</v>
      </c>
      <c r="K1500">
        <v>9</v>
      </c>
      <c r="L1500" t="s">
        <v>57</v>
      </c>
      <c r="M1500">
        <v>125</v>
      </c>
      <c r="N1500">
        <v>39.700000000000003</v>
      </c>
      <c r="O1500">
        <v>69.900000000000006</v>
      </c>
      <c r="P1500">
        <v>6.13</v>
      </c>
      <c r="Q1500">
        <v>2.0299999999999998</v>
      </c>
      <c r="R1500" t="s">
        <v>72</v>
      </c>
      <c r="S1500" t="s">
        <v>39</v>
      </c>
      <c r="T1500" t="s">
        <v>30</v>
      </c>
    </row>
    <row r="1501" spans="1:20" x14ac:dyDescent="0.3">
      <c r="A1501">
        <v>10088</v>
      </c>
      <c r="B1501" s="2">
        <v>45757</v>
      </c>
      <c r="C1501" t="s">
        <v>31</v>
      </c>
      <c r="D1501" t="s">
        <v>59</v>
      </c>
      <c r="E1501" t="s">
        <v>22</v>
      </c>
      <c r="F1501" t="s">
        <v>23</v>
      </c>
      <c r="G1501" t="s">
        <v>34</v>
      </c>
      <c r="H1501" t="s">
        <v>101</v>
      </c>
      <c r="I1501" t="s">
        <v>182</v>
      </c>
      <c r="J1501">
        <v>601</v>
      </c>
      <c r="K1501">
        <v>4</v>
      </c>
      <c r="L1501" t="s">
        <v>71</v>
      </c>
      <c r="M1501">
        <v>73</v>
      </c>
      <c r="N1501">
        <v>45.7</v>
      </c>
      <c r="O1501">
        <v>66.099999999999994</v>
      </c>
      <c r="P1501">
        <v>4.92</v>
      </c>
      <c r="Q1501">
        <v>3.3</v>
      </c>
      <c r="R1501" t="s">
        <v>245</v>
      </c>
      <c r="S1501" t="s">
        <v>29</v>
      </c>
      <c r="T1501" t="s">
        <v>30</v>
      </c>
    </row>
    <row r="1502" spans="1:20" x14ac:dyDescent="0.3">
      <c r="A1502">
        <v>11483</v>
      </c>
      <c r="B1502" s="2">
        <v>46007</v>
      </c>
      <c r="C1502" t="s">
        <v>49</v>
      </c>
      <c r="D1502" t="s">
        <v>32</v>
      </c>
      <c r="E1502" t="s">
        <v>40</v>
      </c>
      <c r="F1502" t="s">
        <v>81</v>
      </c>
      <c r="G1502" t="s">
        <v>113</v>
      </c>
      <c r="H1502" t="s">
        <v>93</v>
      </c>
      <c r="I1502" t="s">
        <v>194</v>
      </c>
      <c r="J1502">
        <v>1234</v>
      </c>
      <c r="K1502">
        <v>13</v>
      </c>
      <c r="L1502" t="s">
        <v>27</v>
      </c>
      <c r="M1502">
        <v>117</v>
      </c>
      <c r="N1502">
        <v>39.200000000000003</v>
      </c>
      <c r="O1502">
        <v>72.5</v>
      </c>
      <c r="P1502">
        <v>4.51</v>
      </c>
      <c r="Q1502">
        <v>2.5499999999999998</v>
      </c>
      <c r="R1502" t="s">
        <v>137</v>
      </c>
      <c r="S1502" t="s">
        <v>29</v>
      </c>
      <c r="T1502" t="s">
        <v>30</v>
      </c>
    </row>
    <row r="1503" spans="1:20" x14ac:dyDescent="0.3">
      <c r="A1503">
        <v>10331</v>
      </c>
      <c r="B1503" s="2">
        <v>45877</v>
      </c>
      <c r="C1503" t="s">
        <v>20</v>
      </c>
      <c r="D1503" t="s">
        <v>64</v>
      </c>
      <c r="E1503" t="s">
        <v>22</v>
      </c>
      <c r="F1503" t="s">
        <v>23</v>
      </c>
      <c r="G1503" t="s">
        <v>74</v>
      </c>
      <c r="H1503" t="s">
        <v>141</v>
      </c>
      <c r="I1503" t="s">
        <v>197</v>
      </c>
      <c r="J1503">
        <v>816</v>
      </c>
      <c r="K1503">
        <v>12</v>
      </c>
      <c r="L1503" t="s">
        <v>37</v>
      </c>
      <c r="M1503">
        <v>160</v>
      </c>
      <c r="N1503">
        <v>37.799999999999997</v>
      </c>
      <c r="O1503">
        <v>87.6</v>
      </c>
      <c r="P1503">
        <v>4.04</v>
      </c>
      <c r="Q1503">
        <v>2.73</v>
      </c>
      <c r="R1503" t="s">
        <v>153</v>
      </c>
      <c r="S1503" t="s">
        <v>29</v>
      </c>
      <c r="T1503" t="s">
        <v>30</v>
      </c>
    </row>
    <row r="1504" spans="1:20" x14ac:dyDescent="0.3">
      <c r="A1504">
        <v>11239</v>
      </c>
      <c r="B1504" s="2">
        <v>45971</v>
      </c>
      <c r="C1504" t="s">
        <v>20</v>
      </c>
      <c r="D1504" t="s">
        <v>32</v>
      </c>
      <c r="E1504" t="s">
        <v>33</v>
      </c>
      <c r="F1504" t="s">
        <v>23</v>
      </c>
      <c r="G1504" t="s">
        <v>50</v>
      </c>
      <c r="H1504" t="s">
        <v>96</v>
      </c>
      <c r="I1504" t="s">
        <v>194</v>
      </c>
      <c r="J1504">
        <v>506</v>
      </c>
      <c r="K1504">
        <v>6</v>
      </c>
      <c r="M1504">
        <v>93</v>
      </c>
      <c r="N1504">
        <v>56.8</v>
      </c>
      <c r="O1504">
        <v>62.9</v>
      </c>
      <c r="P1504">
        <v>3.44</v>
      </c>
      <c r="Q1504">
        <v>2.17</v>
      </c>
      <c r="R1504" t="s">
        <v>222</v>
      </c>
      <c r="S1504" t="s">
        <v>47</v>
      </c>
      <c r="T1504" t="s">
        <v>30</v>
      </c>
    </row>
    <row r="1505" spans="1:20" x14ac:dyDescent="0.3">
      <c r="A1505">
        <v>10467</v>
      </c>
      <c r="B1505" s="2">
        <v>45785</v>
      </c>
      <c r="C1505" t="s">
        <v>49</v>
      </c>
      <c r="D1505" t="s">
        <v>32</v>
      </c>
      <c r="E1505" t="s">
        <v>22</v>
      </c>
      <c r="F1505" t="s">
        <v>23</v>
      </c>
      <c r="G1505" t="s">
        <v>54</v>
      </c>
      <c r="H1505" t="s">
        <v>96</v>
      </c>
      <c r="I1505" t="s">
        <v>178</v>
      </c>
      <c r="J1505">
        <v>1129</v>
      </c>
      <c r="K1505">
        <v>13</v>
      </c>
      <c r="L1505" t="s">
        <v>57</v>
      </c>
      <c r="M1505">
        <v>23</v>
      </c>
      <c r="N1505">
        <v>47.2</v>
      </c>
      <c r="O1505">
        <v>77.2</v>
      </c>
      <c r="P1505">
        <v>5.24</v>
      </c>
      <c r="Q1505">
        <v>2.81</v>
      </c>
      <c r="R1505" t="s">
        <v>103</v>
      </c>
      <c r="S1505" t="s">
        <v>73</v>
      </c>
      <c r="T1505" t="s">
        <v>30</v>
      </c>
    </row>
    <row r="1506" spans="1:20" x14ac:dyDescent="0.3">
      <c r="A1506">
        <v>10122</v>
      </c>
      <c r="B1506" s="2">
        <v>45964</v>
      </c>
      <c r="C1506" t="s">
        <v>31</v>
      </c>
      <c r="D1506" t="s">
        <v>59</v>
      </c>
      <c r="E1506" t="s">
        <v>33</v>
      </c>
      <c r="F1506" t="s">
        <v>41</v>
      </c>
      <c r="G1506" t="s">
        <v>50</v>
      </c>
      <c r="H1506" t="s">
        <v>192</v>
      </c>
      <c r="I1506" t="s">
        <v>335</v>
      </c>
      <c r="J1506">
        <v>605</v>
      </c>
      <c r="K1506">
        <v>8</v>
      </c>
      <c r="L1506" t="s">
        <v>45</v>
      </c>
      <c r="M1506">
        <v>154</v>
      </c>
      <c r="N1506">
        <v>47.6</v>
      </c>
      <c r="O1506">
        <v>76.900000000000006</v>
      </c>
      <c r="P1506">
        <v>4.82</v>
      </c>
      <c r="Q1506">
        <v>3.53</v>
      </c>
      <c r="R1506" t="s">
        <v>111</v>
      </c>
      <c r="S1506" t="s">
        <v>47</v>
      </c>
      <c r="T1506" t="s">
        <v>30</v>
      </c>
    </row>
    <row r="1507" spans="1:20" x14ac:dyDescent="0.3">
      <c r="A1507">
        <v>11045</v>
      </c>
      <c r="B1507" s="2">
        <v>45948</v>
      </c>
      <c r="C1507" t="s">
        <v>20</v>
      </c>
      <c r="D1507" t="s">
        <v>32</v>
      </c>
      <c r="E1507" t="s">
        <v>22</v>
      </c>
      <c r="F1507" t="s">
        <v>23</v>
      </c>
      <c r="G1507" t="s">
        <v>42</v>
      </c>
      <c r="H1507" t="s">
        <v>82</v>
      </c>
      <c r="I1507" t="s">
        <v>330</v>
      </c>
      <c r="J1507">
        <v>648</v>
      </c>
      <c r="K1507">
        <v>6</v>
      </c>
      <c r="L1507" t="s">
        <v>37</v>
      </c>
      <c r="M1507">
        <v>8</v>
      </c>
      <c r="N1507">
        <v>41.7</v>
      </c>
      <c r="O1507">
        <v>52.5</v>
      </c>
      <c r="P1507">
        <v>5.01</v>
      </c>
      <c r="Q1507">
        <v>2.78</v>
      </c>
      <c r="R1507" t="s">
        <v>174</v>
      </c>
      <c r="S1507" t="s">
        <v>39</v>
      </c>
      <c r="T1507" t="s">
        <v>30</v>
      </c>
    </row>
    <row r="1508" spans="1:20" x14ac:dyDescent="0.3">
      <c r="A1508">
        <v>11096</v>
      </c>
      <c r="B1508" s="2">
        <v>45871</v>
      </c>
      <c r="C1508" t="s">
        <v>31</v>
      </c>
      <c r="D1508" t="s">
        <v>21</v>
      </c>
      <c r="E1508" t="s">
        <v>40</v>
      </c>
      <c r="F1508" t="s">
        <v>23</v>
      </c>
      <c r="G1508" t="s">
        <v>34</v>
      </c>
      <c r="H1508" t="s">
        <v>205</v>
      </c>
      <c r="I1508" t="s">
        <v>356</v>
      </c>
      <c r="J1508">
        <v>855</v>
      </c>
      <c r="K1508">
        <v>11</v>
      </c>
      <c r="L1508" t="s">
        <v>71</v>
      </c>
      <c r="M1508">
        <v>25</v>
      </c>
      <c r="N1508">
        <v>53.2</v>
      </c>
      <c r="O1508">
        <v>72.900000000000006</v>
      </c>
      <c r="P1508">
        <v>4.78</v>
      </c>
      <c r="Q1508">
        <v>3.11</v>
      </c>
      <c r="R1508" t="s">
        <v>53</v>
      </c>
      <c r="S1508" t="s">
        <v>29</v>
      </c>
      <c r="T1508" t="s">
        <v>30</v>
      </c>
    </row>
    <row r="1509" spans="1:20" x14ac:dyDescent="0.3">
      <c r="A1509">
        <v>11131</v>
      </c>
      <c r="B1509" s="2">
        <v>45807</v>
      </c>
      <c r="C1509" t="s">
        <v>20</v>
      </c>
      <c r="D1509" t="s">
        <v>32</v>
      </c>
      <c r="E1509" t="s">
        <v>107</v>
      </c>
      <c r="F1509" t="s">
        <v>23</v>
      </c>
      <c r="G1509" t="s">
        <v>113</v>
      </c>
      <c r="I1509" t="s">
        <v>281</v>
      </c>
      <c r="J1509">
        <v>1512</v>
      </c>
      <c r="K1509">
        <v>124</v>
      </c>
      <c r="L1509" t="s">
        <v>68</v>
      </c>
      <c r="M1509">
        <v>76</v>
      </c>
      <c r="N1509">
        <v>33.4</v>
      </c>
      <c r="O1509">
        <v>80.8</v>
      </c>
      <c r="P1509">
        <v>4.88</v>
      </c>
      <c r="Q1509">
        <v>2.61</v>
      </c>
      <c r="R1509" t="s">
        <v>63</v>
      </c>
      <c r="S1509" t="s">
        <v>73</v>
      </c>
      <c r="T1509" t="s">
        <v>48</v>
      </c>
    </row>
    <row r="1510" spans="1:20" x14ac:dyDescent="0.3">
      <c r="A1510">
        <v>11295</v>
      </c>
      <c r="B1510" s="2">
        <v>45922</v>
      </c>
      <c r="C1510" t="s">
        <v>49</v>
      </c>
      <c r="D1510" t="s">
        <v>64</v>
      </c>
      <c r="E1510" t="s">
        <v>22</v>
      </c>
      <c r="F1510" t="s">
        <v>23</v>
      </c>
      <c r="G1510" t="s">
        <v>134</v>
      </c>
      <c r="H1510" t="s">
        <v>287</v>
      </c>
      <c r="I1510" t="s">
        <v>233</v>
      </c>
      <c r="J1510">
        <v>1233</v>
      </c>
      <c r="K1510">
        <v>18</v>
      </c>
      <c r="L1510" t="s">
        <v>71</v>
      </c>
      <c r="M1510">
        <v>78</v>
      </c>
      <c r="N1510">
        <v>35.700000000000003</v>
      </c>
      <c r="O1510">
        <v>69.099999999999994</v>
      </c>
      <c r="P1510">
        <v>5.59</v>
      </c>
      <c r="Q1510">
        <v>1.89</v>
      </c>
      <c r="R1510" t="s">
        <v>92</v>
      </c>
      <c r="S1510" t="s">
        <v>29</v>
      </c>
      <c r="T1510" t="s">
        <v>30</v>
      </c>
    </row>
    <row r="1511" spans="1:20" x14ac:dyDescent="0.3">
      <c r="A1511">
        <v>10861</v>
      </c>
      <c r="B1511" s="2">
        <v>45804</v>
      </c>
      <c r="C1511" t="s">
        <v>49</v>
      </c>
      <c r="D1511" t="s">
        <v>32</v>
      </c>
      <c r="E1511" t="s">
        <v>22</v>
      </c>
      <c r="F1511" t="s">
        <v>112</v>
      </c>
      <c r="G1511" t="s">
        <v>74</v>
      </c>
      <c r="H1511" t="s">
        <v>196</v>
      </c>
      <c r="I1511" t="s">
        <v>331</v>
      </c>
      <c r="J1511">
        <v>487</v>
      </c>
      <c r="K1511">
        <v>24</v>
      </c>
      <c r="L1511" t="s">
        <v>37</v>
      </c>
      <c r="M1511">
        <v>176</v>
      </c>
      <c r="N1511">
        <v>31.7</v>
      </c>
      <c r="O1511">
        <v>73.3</v>
      </c>
      <c r="P1511">
        <v>5.39</v>
      </c>
      <c r="Q1511">
        <v>5.37</v>
      </c>
      <c r="R1511" t="s">
        <v>122</v>
      </c>
      <c r="S1511" t="s">
        <v>47</v>
      </c>
      <c r="T1511" t="s">
        <v>48</v>
      </c>
    </row>
    <row r="1512" spans="1:20" x14ac:dyDescent="0.3">
      <c r="A1512">
        <v>11460</v>
      </c>
      <c r="B1512" s="2">
        <v>45818</v>
      </c>
      <c r="C1512" t="s">
        <v>31</v>
      </c>
      <c r="D1512" t="s">
        <v>64</v>
      </c>
      <c r="E1512" t="s">
        <v>107</v>
      </c>
      <c r="F1512" t="s">
        <v>41</v>
      </c>
      <c r="G1512" t="s">
        <v>50</v>
      </c>
      <c r="H1512" t="s">
        <v>165</v>
      </c>
      <c r="I1512" t="s">
        <v>217</v>
      </c>
      <c r="J1512">
        <v>816</v>
      </c>
      <c r="K1512">
        <v>7</v>
      </c>
      <c r="L1512" t="s">
        <v>68</v>
      </c>
      <c r="M1512">
        <v>120</v>
      </c>
      <c r="N1512">
        <v>52.5</v>
      </c>
      <c r="O1512">
        <v>64.5</v>
      </c>
      <c r="P1512">
        <v>4.92</v>
      </c>
      <c r="Q1512">
        <v>1.19</v>
      </c>
      <c r="R1512" t="s">
        <v>111</v>
      </c>
      <c r="S1512" t="s">
        <v>73</v>
      </c>
      <c r="T1512" t="s">
        <v>30</v>
      </c>
    </row>
    <row r="1513" spans="1:20" x14ac:dyDescent="0.3">
      <c r="A1513">
        <v>11127</v>
      </c>
      <c r="B1513" s="2">
        <v>45858</v>
      </c>
      <c r="C1513" t="s">
        <v>360</v>
      </c>
      <c r="D1513" t="s">
        <v>21</v>
      </c>
      <c r="E1513" t="s">
        <v>107</v>
      </c>
      <c r="F1513" t="s">
        <v>41</v>
      </c>
      <c r="G1513" t="s">
        <v>109</v>
      </c>
      <c r="H1513" t="s">
        <v>144</v>
      </c>
      <c r="I1513" t="s">
        <v>268</v>
      </c>
      <c r="J1513">
        <v>1037</v>
      </c>
      <c r="K1513">
        <v>88</v>
      </c>
      <c r="L1513" t="s">
        <v>71</v>
      </c>
      <c r="M1513">
        <v>20</v>
      </c>
      <c r="N1513">
        <v>47.8</v>
      </c>
      <c r="O1513">
        <v>77.900000000000006</v>
      </c>
      <c r="P1513">
        <v>5.09</v>
      </c>
      <c r="Q1513">
        <v>3.67</v>
      </c>
      <c r="R1513" t="s">
        <v>159</v>
      </c>
      <c r="S1513" t="s">
        <v>47</v>
      </c>
      <c r="T1513" t="s">
        <v>48</v>
      </c>
    </row>
  </sheetData>
  <autoFilter ref="A1:T1513" xr:uid="{00000000-0001-0000-0000-000000000000}"/>
  <conditionalFormatting sqref="A1:A1048576">
    <cfRule type="duplicateValues" dxfId="1" priority="1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3664B-E8A5-473A-A70C-F401D74A6315}">
  <dimension ref="A1:X1501"/>
  <sheetViews>
    <sheetView tabSelected="1" topLeftCell="A67" workbookViewId="0">
      <selection activeCell="J11" sqref="J11"/>
    </sheetView>
  </sheetViews>
  <sheetFormatPr defaultRowHeight="14.4" x14ac:dyDescent="0.3"/>
  <cols>
    <col min="1" max="1" width="14.44140625" customWidth="1"/>
    <col min="2" max="2" width="18.109375" bestFit="1" customWidth="1"/>
    <col min="3" max="3" width="7.88671875" bestFit="1" customWidth="1"/>
    <col min="4" max="4" width="16.6640625" customWidth="1"/>
    <col min="5" max="5" width="9.5546875" customWidth="1"/>
    <col min="6" max="6" width="9.5546875" bestFit="1" customWidth="1"/>
    <col min="7" max="7" width="13" customWidth="1"/>
    <col min="8" max="8" width="13.21875" customWidth="1"/>
    <col min="9" max="9" width="10.44140625" customWidth="1"/>
    <col min="10" max="10" width="16.21875" customWidth="1"/>
    <col min="11" max="11" width="12.33203125" customWidth="1"/>
    <col min="12" max="12" width="14.21875" bestFit="1" customWidth="1"/>
    <col min="13" max="13" width="15.88671875" customWidth="1"/>
    <col min="14" max="14" width="16.33203125" customWidth="1"/>
    <col min="15" max="15" width="15.88671875" customWidth="1"/>
    <col min="16" max="16" width="13.77734375" customWidth="1"/>
    <col min="17" max="17" width="16.77734375" customWidth="1"/>
    <col min="18" max="18" width="15.6640625" customWidth="1"/>
    <col min="19" max="19" width="9.77734375" customWidth="1"/>
    <col min="20" max="20" width="17.88671875" customWidth="1"/>
    <col min="21" max="21" width="18.109375" customWidth="1"/>
    <col min="22" max="22" width="16.88671875" bestFit="1" customWidth="1"/>
    <col min="23" max="23" width="17.6640625" bestFit="1" customWidth="1"/>
    <col min="24" max="24" width="22.44140625" bestFit="1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434</v>
      </c>
      <c r="V1" s="6" t="s">
        <v>436</v>
      </c>
      <c r="W1" s="6" t="s">
        <v>438</v>
      </c>
      <c r="X1" s="6" t="s">
        <v>440</v>
      </c>
    </row>
    <row r="2" spans="1:24" x14ac:dyDescent="0.3">
      <c r="A2">
        <v>10063</v>
      </c>
      <c r="B2" s="2">
        <v>45924</v>
      </c>
      <c r="C2" t="s">
        <v>20</v>
      </c>
      <c r="D2" t="s">
        <v>21</v>
      </c>
      <c r="E2" t="s">
        <v>40</v>
      </c>
      <c r="F2" t="s">
        <v>23</v>
      </c>
      <c r="G2" t="s">
        <v>24</v>
      </c>
      <c r="H2" t="s">
        <v>263</v>
      </c>
      <c r="I2" t="s">
        <v>76</v>
      </c>
      <c r="J2">
        <v>1230</v>
      </c>
      <c r="K2">
        <v>6</v>
      </c>
      <c r="L2" t="s">
        <v>37</v>
      </c>
      <c r="M2">
        <v>80</v>
      </c>
      <c r="N2">
        <v>41.5</v>
      </c>
      <c r="O2">
        <v>160</v>
      </c>
      <c r="P2">
        <v>5.3</v>
      </c>
      <c r="Q2">
        <v>3.05</v>
      </c>
      <c r="R2" t="s">
        <v>147</v>
      </c>
      <c r="S2" t="s">
        <v>47</v>
      </c>
      <c r="T2" t="s">
        <v>30</v>
      </c>
      <c r="U2" t="str">
        <f t="shared" ref="U2:U65" si="0">IF(OR(O2&lt;20,O2&gt;100),"Investigate","Normal")</f>
        <v>Investigate</v>
      </c>
      <c r="V2" t="str">
        <f t="shared" ref="V2:V65" si="1">IF(OR(P2&lt;2,P2&gt;10),"Investigate","Normal")</f>
        <v>Normal</v>
      </c>
      <c r="W2" t="str">
        <f t="shared" ref="W2:W65" si="2">IF(Q2&gt;10,"Investigate","Normal")</f>
        <v>Normal</v>
      </c>
    </row>
    <row r="3" spans="1:24" x14ac:dyDescent="0.3">
      <c r="A3">
        <v>10611</v>
      </c>
      <c r="B3" s="2">
        <v>45846</v>
      </c>
      <c r="C3" t="s">
        <v>20</v>
      </c>
      <c r="D3" t="s">
        <v>59</v>
      </c>
      <c r="E3" t="s">
        <v>33</v>
      </c>
      <c r="F3" t="s">
        <v>81</v>
      </c>
      <c r="G3" t="s">
        <v>74</v>
      </c>
      <c r="H3" t="s">
        <v>180</v>
      </c>
      <c r="I3" t="s">
        <v>212</v>
      </c>
      <c r="J3">
        <v>621</v>
      </c>
      <c r="K3">
        <v>19</v>
      </c>
      <c r="L3" t="s">
        <v>37</v>
      </c>
      <c r="M3">
        <v>37</v>
      </c>
      <c r="N3">
        <v>41.6</v>
      </c>
      <c r="O3">
        <v>145</v>
      </c>
      <c r="P3">
        <v>5.68</v>
      </c>
      <c r="Q3">
        <v>3.97</v>
      </c>
      <c r="R3" t="s">
        <v>80</v>
      </c>
      <c r="S3" t="s">
        <v>39</v>
      </c>
      <c r="T3" t="s">
        <v>48</v>
      </c>
      <c r="U3" t="str">
        <f t="shared" si="0"/>
        <v>Investigate</v>
      </c>
      <c r="V3" t="str">
        <f t="shared" si="1"/>
        <v>Normal</v>
      </c>
      <c r="W3" t="str">
        <f t="shared" si="2"/>
        <v>Normal</v>
      </c>
    </row>
    <row r="4" spans="1:24" x14ac:dyDescent="0.3">
      <c r="A4">
        <v>11147</v>
      </c>
      <c r="B4" s="2">
        <v>45675</v>
      </c>
      <c r="C4" t="s">
        <v>49</v>
      </c>
      <c r="D4" t="s">
        <v>32</v>
      </c>
      <c r="E4" t="s">
        <v>33</v>
      </c>
      <c r="F4" t="s">
        <v>41</v>
      </c>
      <c r="G4" t="s">
        <v>60</v>
      </c>
      <c r="H4" t="s">
        <v>265</v>
      </c>
      <c r="I4" t="s">
        <v>235</v>
      </c>
      <c r="J4">
        <v>1236</v>
      </c>
      <c r="K4">
        <v>43</v>
      </c>
      <c r="L4" t="s">
        <v>27</v>
      </c>
      <c r="M4">
        <v>159</v>
      </c>
      <c r="N4">
        <v>50.6</v>
      </c>
      <c r="O4">
        <v>95.6</v>
      </c>
      <c r="P4">
        <v>4.53</v>
      </c>
      <c r="Q4">
        <v>0.13</v>
      </c>
      <c r="R4" t="s">
        <v>84</v>
      </c>
      <c r="S4" t="s">
        <v>39</v>
      </c>
      <c r="T4" t="s">
        <v>48</v>
      </c>
      <c r="U4" t="str">
        <f t="shared" si="0"/>
        <v>Normal</v>
      </c>
      <c r="V4" t="str">
        <f t="shared" si="1"/>
        <v>Normal</v>
      </c>
      <c r="W4" t="str">
        <f t="shared" si="2"/>
        <v>Normal</v>
      </c>
    </row>
    <row r="5" spans="1:24" x14ac:dyDescent="0.3">
      <c r="A5">
        <v>10127</v>
      </c>
      <c r="B5" s="2">
        <v>45961</v>
      </c>
      <c r="C5" t="s">
        <v>20</v>
      </c>
      <c r="D5" t="s">
        <v>32</v>
      </c>
      <c r="E5" t="s">
        <v>107</v>
      </c>
      <c r="F5" t="s">
        <v>23</v>
      </c>
      <c r="G5" t="s">
        <v>24</v>
      </c>
      <c r="H5" t="s">
        <v>126</v>
      </c>
      <c r="I5" t="s">
        <v>306</v>
      </c>
      <c r="J5">
        <v>717</v>
      </c>
      <c r="K5">
        <v>7</v>
      </c>
      <c r="L5" t="s">
        <v>27</v>
      </c>
      <c r="M5">
        <v>39</v>
      </c>
      <c r="N5">
        <v>46.6</v>
      </c>
      <c r="O5">
        <v>93.5</v>
      </c>
      <c r="P5">
        <v>3.75</v>
      </c>
      <c r="Q5">
        <v>2.04</v>
      </c>
      <c r="R5" t="s">
        <v>28</v>
      </c>
      <c r="S5" t="s">
        <v>29</v>
      </c>
      <c r="T5" t="s">
        <v>30</v>
      </c>
      <c r="U5" t="str">
        <f t="shared" si="0"/>
        <v>Normal</v>
      </c>
      <c r="V5" t="str">
        <f t="shared" si="1"/>
        <v>Normal</v>
      </c>
      <c r="W5" t="str">
        <f t="shared" si="2"/>
        <v>Normal</v>
      </c>
    </row>
    <row r="6" spans="1:24" x14ac:dyDescent="0.3">
      <c r="A6">
        <v>10882</v>
      </c>
      <c r="B6" s="2">
        <v>45809</v>
      </c>
      <c r="C6" t="s">
        <v>20</v>
      </c>
      <c r="D6" t="s">
        <v>59</v>
      </c>
      <c r="E6" t="s">
        <v>40</v>
      </c>
      <c r="F6" t="s">
        <v>23</v>
      </c>
      <c r="G6" t="s">
        <v>113</v>
      </c>
      <c r="H6" t="s">
        <v>123</v>
      </c>
      <c r="I6" t="s">
        <v>298</v>
      </c>
      <c r="J6">
        <v>1332</v>
      </c>
      <c r="K6">
        <v>5</v>
      </c>
      <c r="L6" t="s">
        <v>71</v>
      </c>
      <c r="M6">
        <v>77</v>
      </c>
      <c r="N6">
        <v>44.6</v>
      </c>
      <c r="O6">
        <v>92.3</v>
      </c>
      <c r="P6">
        <v>5.27</v>
      </c>
      <c r="Q6">
        <v>2.5099999999999998</v>
      </c>
      <c r="R6" t="s">
        <v>164</v>
      </c>
      <c r="S6" t="s">
        <v>47</v>
      </c>
      <c r="T6" t="s">
        <v>30</v>
      </c>
      <c r="U6" t="str">
        <f t="shared" si="0"/>
        <v>Normal</v>
      </c>
      <c r="V6" t="str">
        <f t="shared" si="1"/>
        <v>Normal</v>
      </c>
      <c r="W6" t="str">
        <f t="shared" si="2"/>
        <v>Normal</v>
      </c>
    </row>
    <row r="7" spans="1:24" x14ac:dyDescent="0.3">
      <c r="A7">
        <v>10422</v>
      </c>
      <c r="B7" s="2">
        <v>45984</v>
      </c>
      <c r="C7" t="s">
        <v>31</v>
      </c>
      <c r="D7" t="s">
        <v>59</v>
      </c>
      <c r="E7" t="s">
        <v>22</v>
      </c>
      <c r="F7" t="s">
        <v>23</v>
      </c>
      <c r="G7" t="s">
        <v>54</v>
      </c>
      <c r="H7" t="s">
        <v>88</v>
      </c>
      <c r="I7" t="s">
        <v>262</v>
      </c>
      <c r="J7">
        <v>1441</v>
      </c>
      <c r="K7">
        <v>128</v>
      </c>
      <c r="L7" t="s">
        <v>27</v>
      </c>
      <c r="M7">
        <v>60</v>
      </c>
      <c r="N7">
        <v>42.6</v>
      </c>
      <c r="O7">
        <v>92.1</v>
      </c>
      <c r="P7">
        <v>5.34</v>
      </c>
      <c r="Q7">
        <v>0.03</v>
      </c>
      <c r="R7" t="s">
        <v>189</v>
      </c>
      <c r="S7" t="s">
        <v>73</v>
      </c>
      <c r="T7" t="s">
        <v>48</v>
      </c>
      <c r="U7" t="str">
        <f t="shared" si="0"/>
        <v>Normal</v>
      </c>
      <c r="V7" t="str">
        <f t="shared" si="1"/>
        <v>Normal</v>
      </c>
      <c r="W7" t="str">
        <f t="shared" si="2"/>
        <v>Normal</v>
      </c>
    </row>
    <row r="8" spans="1:24" x14ac:dyDescent="0.3">
      <c r="A8">
        <v>10796</v>
      </c>
      <c r="B8" s="2">
        <v>45783</v>
      </c>
      <c r="C8" t="s">
        <v>31</v>
      </c>
      <c r="D8" t="s">
        <v>32</v>
      </c>
      <c r="E8" t="s">
        <v>40</v>
      </c>
      <c r="F8" t="s">
        <v>41</v>
      </c>
      <c r="G8" t="s">
        <v>34</v>
      </c>
      <c r="H8" t="s">
        <v>82</v>
      </c>
      <c r="I8" t="s">
        <v>253</v>
      </c>
      <c r="J8">
        <v>725</v>
      </c>
      <c r="K8">
        <v>7</v>
      </c>
      <c r="L8" t="s">
        <v>71</v>
      </c>
      <c r="M8">
        <v>177</v>
      </c>
      <c r="N8">
        <v>33.5</v>
      </c>
      <c r="O8">
        <v>92</v>
      </c>
      <c r="P8">
        <v>5.42</v>
      </c>
      <c r="Q8">
        <v>3.24</v>
      </c>
      <c r="R8" t="s">
        <v>174</v>
      </c>
      <c r="S8" t="s">
        <v>39</v>
      </c>
      <c r="T8" t="s">
        <v>30</v>
      </c>
      <c r="U8" t="str">
        <f t="shared" si="0"/>
        <v>Normal</v>
      </c>
      <c r="V8" t="str">
        <f t="shared" si="1"/>
        <v>Normal</v>
      </c>
      <c r="W8" t="str">
        <f t="shared" si="2"/>
        <v>Normal</v>
      </c>
    </row>
    <row r="9" spans="1:24" x14ac:dyDescent="0.3">
      <c r="A9">
        <v>11500</v>
      </c>
      <c r="B9" s="2">
        <v>45921</v>
      </c>
      <c r="C9" t="s">
        <v>31</v>
      </c>
      <c r="D9" t="s">
        <v>59</v>
      </c>
      <c r="E9" t="s">
        <v>40</v>
      </c>
      <c r="F9" t="s">
        <v>41</v>
      </c>
      <c r="G9" t="s">
        <v>34</v>
      </c>
      <c r="H9" t="s">
        <v>123</v>
      </c>
      <c r="I9" t="s">
        <v>340</v>
      </c>
      <c r="J9">
        <v>1118</v>
      </c>
      <c r="K9">
        <v>12</v>
      </c>
      <c r="L9" t="s">
        <v>57</v>
      </c>
      <c r="M9">
        <v>50</v>
      </c>
      <c r="N9">
        <v>35.1</v>
      </c>
      <c r="O9">
        <v>91.4</v>
      </c>
      <c r="P9">
        <v>6.29</v>
      </c>
      <c r="Q9">
        <v>3.01</v>
      </c>
      <c r="R9" t="s">
        <v>119</v>
      </c>
      <c r="S9" t="s">
        <v>39</v>
      </c>
      <c r="T9" t="s">
        <v>30</v>
      </c>
      <c r="U9" t="str">
        <f t="shared" si="0"/>
        <v>Normal</v>
      </c>
      <c r="V9" t="str">
        <f t="shared" si="1"/>
        <v>Normal</v>
      </c>
      <c r="W9" t="str">
        <f t="shared" si="2"/>
        <v>Normal</v>
      </c>
    </row>
    <row r="10" spans="1:24" x14ac:dyDescent="0.3">
      <c r="A10">
        <v>11067</v>
      </c>
      <c r="B10" s="2">
        <v>45994</v>
      </c>
      <c r="C10" t="s">
        <v>49</v>
      </c>
      <c r="D10" t="s">
        <v>21</v>
      </c>
      <c r="E10" t="s">
        <v>40</v>
      </c>
      <c r="F10" t="s">
        <v>23</v>
      </c>
      <c r="G10" t="s">
        <v>42</v>
      </c>
      <c r="H10" t="s">
        <v>424</v>
      </c>
      <c r="I10" t="s">
        <v>333</v>
      </c>
      <c r="J10">
        <v>865</v>
      </c>
      <c r="K10">
        <v>20</v>
      </c>
      <c r="L10" t="s">
        <v>68</v>
      </c>
      <c r="M10">
        <v>22</v>
      </c>
      <c r="N10">
        <v>38.799999999999997</v>
      </c>
      <c r="O10">
        <v>91.4</v>
      </c>
      <c r="P10">
        <v>4.67</v>
      </c>
      <c r="Q10">
        <v>2.25</v>
      </c>
      <c r="R10" t="s">
        <v>128</v>
      </c>
      <c r="S10" t="s">
        <v>73</v>
      </c>
      <c r="T10" t="s">
        <v>30</v>
      </c>
      <c r="U10" t="str">
        <f t="shared" si="0"/>
        <v>Normal</v>
      </c>
      <c r="V10" t="str">
        <f t="shared" si="1"/>
        <v>Normal</v>
      </c>
      <c r="W10" t="str">
        <f t="shared" si="2"/>
        <v>Normal</v>
      </c>
    </row>
    <row r="11" spans="1:24" x14ac:dyDescent="0.3">
      <c r="A11">
        <v>10342</v>
      </c>
      <c r="B11" s="2">
        <v>45895</v>
      </c>
      <c r="C11" t="s">
        <v>20</v>
      </c>
      <c r="D11" t="s">
        <v>32</v>
      </c>
      <c r="E11" t="s">
        <v>107</v>
      </c>
      <c r="F11" t="s">
        <v>23</v>
      </c>
      <c r="G11" t="s">
        <v>89</v>
      </c>
      <c r="H11" t="s">
        <v>177</v>
      </c>
      <c r="I11" t="s">
        <v>254</v>
      </c>
      <c r="J11">
        <v>1237</v>
      </c>
      <c r="K11">
        <v>43</v>
      </c>
      <c r="L11" t="s">
        <v>57</v>
      </c>
      <c r="M11">
        <v>21</v>
      </c>
      <c r="N11">
        <v>46.4</v>
      </c>
      <c r="O11">
        <v>91.1</v>
      </c>
      <c r="P11">
        <v>5.51</v>
      </c>
      <c r="Q11">
        <v>2.85</v>
      </c>
      <c r="R11" t="s">
        <v>119</v>
      </c>
      <c r="S11" t="s">
        <v>73</v>
      </c>
      <c r="T11" t="s">
        <v>48</v>
      </c>
      <c r="U11" t="str">
        <f t="shared" si="0"/>
        <v>Normal</v>
      </c>
      <c r="V11" t="str">
        <f t="shared" si="1"/>
        <v>Normal</v>
      </c>
      <c r="W11" t="str">
        <f t="shared" si="2"/>
        <v>Normal</v>
      </c>
    </row>
    <row r="12" spans="1:24" x14ac:dyDescent="0.3">
      <c r="A12">
        <v>10927</v>
      </c>
      <c r="B12" s="2">
        <v>45805</v>
      </c>
      <c r="C12" t="s">
        <v>31</v>
      </c>
      <c r="D12" t="s">
        <v>59</v>
      </c>
      <c r="E12" t="s">
        <v>22</v>
      </c>
      <c r="F12" t="s">
        <v>23</v>
      </c>
      <c r="G12" t="s">
        <v>50</v>
      </c>
      <c r="H12" t="s">
        <v>169</v>
      </c>
      <c r="I12" t="s">
        <v>110</v>
      </c>
      <c r="J12">
        <v>672</v>
      </c>
      <c r="K12">
        <v>8</v>
      </c>
      <c r="L12" t="s">
        <v>68</v>
      </c>
      <c r="M12">
        <v>104</v>
      </c>
      <c r="N12">
        <v>40.700000000000003</v>
      </c>
      <c r="O12">
        <v>90.8</v>
      </c>
      <c r="P12">
        <v>5.31</v>
      </c>
      <c r="Q12">
        <v>3.97</v>
      </c>
      <c r="R12" t="s">
        <v>229</v>
      </c>
      <c r="S12" t="s">
        <v>29</v>
      </c>
      <c r="T12" t="s">
        <v>30</v>
      </c>
      <c r="U12" t="str">
        <f t="shared" si="0"/>
        <v>Normal</v>
      </c>
      <c r="V12" t="str">
        <f t="shared" si="1"/>
        <v>Normal</v>
      </c>
      <c r="W12" t="str">
        <f t="shared" si="2"/>
        <v>Normal</v>
      </c>
    </row>
    <row r="13" spans="1:24" x14ac:dyDescent="0.3">
      <c r="A13">
        <v>11072</v>
      </c>
      <c r="B13" s="2">
        <v>45769</v>
      </c>
      <c r="C13" t="s">
        <v>20</v>
      </c>
      <c r="D13" t="s">
        <v>21</v>
      </c>
      <c r="E13" t="s">
        <v>107</v>
      </c>
      <c r="F13" t="s">
        <v>41</v>
      </c>
      <c r="G13" t="s">
        <v>34</v>
      </c>
      <c r="H13" t="s">
        <v>215</v>
      </c>
      <c r="I13" t="s">
        <v>317</v>
      </c>
      <c r="J13">
        <v>749</v>
      </c>
      <c r="K13">
        <v>17</v>
      </c>
      <c r="L13" t="s">
        <v>68</v>
      </c>
      <c r="M13">
        <v>145</v>
      </c>
      <c r="N13">
        <v>42.1</v>
      </c>
      <c r="O13">
        <v>90.8</v>
      </c>
      <c r="P13">
        <v>5.81</v>
      </c>
      <c r="Q13">
        <v>0.33</v>
      </c>
      <c r="R13" t="s">
        <v>186</v>
      </c>
      <c r="S13" t="s">
        <v>39</v>
      </c>
      <c r="T13" t="s">
        <v>30</v>
      </c>
      <c r="U13" t="str">
        <f t="shared" si="0"/>
        <v>Normal</v>
      </c>
      <c r="V13" t="str">
        <f t="shared" si="1"/>
        <v>Normal</v>
      </c>
      <c r="W13" t="str">
        <f t="shared" si="2"/>
        <v>Normal</v>
      </c>
    </row>
    <row r="14" spans="1:24" x14ac:dyDescent="0.3">
      <c r="A14">
        <v>10684</v>
      </c>
      <c r="B14" s="2">
        <v>45794</v>
      </c>
      <c r="C14" t="s">
        <v>49</v>
      </c>
      <c r="D14" t="s">
        <v>32</v>
      </c>
      <c r="E14" t="s">
        <v>107</v>
      </c>
      <c r="F14" t="s">
        <v>41</v>
      </c>
      <c r="G14" t="s">
        <v>89</v>
      </c>
      <c r="H14" t="s">
        <v>85</v>
      </c>
      <c r="I14" t="s">
        <v>381</v>
      </c>
      <c r="J14">
        <v>1129</v>
      </c>
      <c r="K14">
        <v>14</v>
      </c>
      <c r="L14" t="s">
        <v>27</v>
      </c>
      <c r="M14">
        <v>162</v>
      </c>
      <c r="N14">
        <v>44.9</v>
      </c>
      <c r="O14">
        <v>90.6</v>
      </c>
      <c r="P14">
        <v>5.18</v>
      </c>
      <c r="Q14">
        <v>4.05</v>
      </c>
      <c r="R14" t="s">
        <v>243</v>
      </c>
      <c r="S14" t="s">
        <v>29</v>
      </c>
      <c r="T14" t="s">
        <v>30</v>
      </c>
      <c r="U14" t="str">
        <f t="shared" si="0"/>
        <v>Normal</v>
      </c>
      <c r="V14" t="str">
        <f t="shared" si="1"/>
        <v>Normal</v>
      </c>
      <c r="W14" t="str">
        <f t="shared" si="2"/>
        <v>Normal</v>
      </c>
    </row>
    <row r="15" spans="1:24" x14ac:dyDescent="0.3">
      <c r="A15">
        <v>10746</v>
      </c>
      <c r="B15" s="2">
        <v>45878</v>
      </c>
      <c r="C15" t="s">
        <v>31</v>
      </c>
      <c r="D15" t="s">
        <v>59</v>
      </c>
      <c r="E15" t="s">
        <v>107</v>
      </c>
      <c r="F15" t="s">
        <v>23</v>
      </c>
      <c r="G15" t="s">
        <v>54</v>
      </c>
      <c r="H15" t="s">
        <v>223</v>
      </c>
      <c r="I15" t="s">
        <v>160</v>
      </c>
      <c r="J15">
        <v>1047</v>
      </c>
      <c r="K15">
        <v>14</v>
      </c>
      <c r="L15" t="s">
        <v>57</v>
      </c>
      <c r="M15">
        <v>89</v>
      </c>
      <c r="N15">
        <v>42</v>
      </c>
      <c r="O15">
        <v>90.2</v>
      </c>
      <c r="P15">
        <v>5.15</v>
      </c>
      <c r="Q15">
        <v>2.71</v>
      </c>
      <c r="R15" t="s">
        <v>87</v>
      </c>
      <c r="S15" t="s">
        <v>29</v>
      </c>
      <c r="T15" t="s">
        <v>30</v>
      </c>
      <c r="U15" t="str">
        <f t="shared" si="0"/>
        <v>Normal</v>
      </c>
      <c r="V15" t="str">
        <f t="shared" si="1"/>
        <v>Normal</v>
      </c>
      <c r="W15" t="str">
        <f t="shared" si="2"/>
        <v>Normal</v>
      </c>
    </row>
    <row r="16" spans="1:24" x14ac:dyDescent="0.3">
      <c r="A16">
        <v>10110</v>
      </c>
      <c r="B16" s="2">
        <v>45908</v>
      </c>
      <c r="C16" t="s">
        <v>31</v>
      </c>
      <c r="D16" t="s">
        <v>32</v>
      </c>
      <c r="E16" t="s">
        <v>40</v>
      </c>
      <c r="F16" t="s">
        <v>41</v>
      </c>
      <c r="G16" t="s">
        <v>74</v>
      </c>
      <c r="H16" t="s">
        <v>90</v>
      </c>
      <c r="I16" t="s">
        <v>319</v>
      </c>
      <c r="J16">
        <v>1189</v>
      </c>
      <c r="K16">
        <v>4</v>
      </c>
      <c r="L16" t="s">
        <v>45</v>
      </c>
      <c r="M16">
        <v>149</v>
      </c>
      <c r="N16">
        <v>41.6</v>
      </c>
      <c r="O16">
        <v>90.2</v>
      </c>
      <c r="P16">
        <v>5.64</v>
      </c>
      <c r="Q16">
        <v>1.76</v>
      </c>
      <c r="R16" t="s">
        <v>229</v>
      </c>
      <c r="S16" t="s">
        <v>29</v>
      </c>
      <c r="T16" t="s">
        <v>30</v>
      </c>
      <c r="U16" t="str">
        <f t="shared" si="0"/>
        <v>Normal</v>
      </c>
      <c r="V16" t="str">
        <f t="shared" si="1"/>
        <v>Normal</v>
      </c>
      <c r="W16" t="str">
        <f t="shared" si="2"/>
        <v>Normal</v>
      </c>
    </row>
    <row r="17" spans="1:23" x14ac:dyDescent="0.3">
      <c r="A17">
        <v>10489</v>
      </c>
      <c r="B17" s="2">
        <v>45871</v>
      </c>
      <c r="C17" t="s">
        <v>20</v>
      </c>
      <c r="D17" t="s">
        <v>64</v>
      </c>
      <c r="E17" t="s">
        <v>40</v>
      </c>
      <c r="F17" t="s">
        <v>81</v>
      </c>
      <c r="G17" t="s">
        <v>74</v>
      </c>
      <c r="H17" t="s">
        <v>55</v>
      </c>
      <c r="I17" t="s">
        <v>379</v>
      </c>
      <c r="J17">
        <v>1161</v>
      </c>
      <c r="K17">
        <v>34</v>
      </c>
      <c r="L17" t="s">
        <v>57</v>
      </c>
      <c r="M17">
        <v>172</v>
      </c>
      <c r="N17">
        <v>42.7</v>
      </c>
      <c r="O17">
        <v>90.1</v>
      </c>
      <c r="P17">
        <v>5.84</v>
      </c>
      <c r="Q17">
        <v>3.38</v>
      </c>
      <c r="R17" t="s">
        <v>130</v>
      </c>
      <c r="S17" t="s">
        <v>29</v>
      </c>
      <c r="T17" t="s">
        <v>30</v>
      </c>
      <c r="U17" t="str">
        <f t="shared" si="0"/>
        <v>Normal</v>
      </c>
      <c r="V17" t="str">
        <f t="shared" si="1"/>
        <v>Normal</v>
      </c>
      <c r="W17" t="str">
        <f t="shared" si="2"/>
        <v>Normal</v>
      </c>
    </row>
    <row r="18" spans="1:23" x14ac:dyDescent="0.3">
      <c r="A18">
        <v>10960</v>
      </c>
      <c r="B18" s="2">
        <v>45723</v>
      </c>
      <c r="C18" t="s">
        <v>20</v>
      </c>
      <c r="D18" t="s">
        <v>64</v>
      </c>
      <c r="E18" t="s">
        <v>107</v>
      </c>
      <c r="F18" t="s">
        <v>23</v>
      </c>
      <c r="G18" t="s">
        <v>54</v>
      </c>
      <c r="H18" t="s">
        <v>69</v>
      </c>
      <c r="I18" t="s">
        <v>160</v>
      </c>
      <c r="J18">
        <v>915</v>
      </c>
      <c r="K18">
        <v>11</v>
      </c>
      <c r="L18" t="s">
        <v>27</v>
      </c>
      <c r="M18">
        <v>56</v>
      </c>
      <c r="N18">
        <v>36.1</v>
      </c>
      <c r="O18">
        <v>89.7</v>
      </c>
      <c r="P18">
        <v>5</v>
      </c>
      <c r="Q18">
        <v>2.0299999999999998</v>
      </c>
      <c r="R18" t="s">
        <v>80</v>
      </c>
      <c r="S18" t="s">
        <v>39</v>
      </c>
      <c r="T18" t="s">
        <v>30</v>
      </c>
      <c r="U18" t="str">
        <f t="shared" si="0"/>
        <v>Normal</v>
      </c>
      <c r="V18" t="str">
        <f t="shared" si="1"/>
        <v>Normal</v>
      </c>
      <c r="W18" t="str">
        <f t="shared" si="2"/>
        <v>Normal</v>
      </c>
    </row>
    <row r="19" spans="1:23" x14ac:dyDescent="0.3">
      <c r="A19">
        <v>10074</v>
      </c>
      <c r="B19" s="2">
        <v>45660</v>
      </c>
      <c r="C19" t="s">
        <v>31</v>
      </c>
      <c r="D19" t="s">
        <v>64</v>
      </c>
      <c r="E19" t="s">
        <v>107</v>
      </c>
      <c r="F19" t="s">
        <v>41</v>
      </c>
      <c r="G19" t="s">
        <v>113</v>
      </c>
      <c r="H19" t="s">
        <v>88</v>
      </c>
      <c r="I19" t="s">
        <v>129</v>
      </c>
      <c r="J19">
        <v>832</v>
      </c>
      <c r="K19">
        <v>31</v>
      </c>
      <c r="L19" t="s">
        <v>37</v>
      </c>
      <c r="M19">
        <v>91</v>
      </c>
      <c r="N19">
        <v>39.9</v>
      </c>
      <c r="O19">
        <v>89.3</v>
      </c>
      <c r="P19">
        <v>3.95</v>
      </c>
      <c r="Q19">
        <v>3.96</v>
      </c>
      <c r="R19" t="s">
        <v>243</v>
      </c>
      <c r="S19" t="s">
        <v>47</v>
      </c>
      <c r="T19" t="s">
        <v>48</v>
      </c>
      <c r="U19" t="str">
        <f t="shared" si="0"/>
        <v>Normal</v>
      </c>
      <c r="V19" t="str">
        <f t="shared" si="1"/>
        <v>Normal</v>
      </c>
      <c r="W19" t="str">
        <f t="shared" si="2"/>
        <v>Normal</v>
      </c>
    </row>
    <row r="20" spans="1:23" x14ac:dyDescent="0.3">
      <c r="A20">
        <v>10868</v>
      </c>
      <c r="B20" s="2">
        <v>45850</v>
      </c>
      <c r="C20" t="s">
        <v>20</v>
      </c>
      <c r="D20" t="s">
        <v>21</v>
      </c>
      <c r="E20" t="s">
        <v>40</v>
      </c>
      <c r="F20" t="s">
        <v>81</v>
      </c>
      <c r="G20" t="s">
        <v>109</v>
      </c>
      <c r="H20" t="s">
        <v>101</v>
      </c>
      <c r="I20" t="s">
        <v>310</v>
      </c>
      <c r="J20">
        <v>1261</v>
      </c>
      <c r="K20">
        <v>45</v>
      </c>
      <c r="L20" t="s">
        <v>37</v>
      </c>
      <c r="M20">
        <v>42</v>
      </c>
      <c r="N20">
        <v>44.6</v>
      </c>
      <c r="O20">
        <v>89.1</v>
      </c>
      <c r="P20">
        <v>5.31</v>
      </c>
      <c r="Q20">
        <v>2.67</v>
      </c>
      <c r="R20" t="s">
        <v>92</v>
      </c>
      <c r="S20" t="s">
        <v>47</v>
      </c>
      <c r="T20" t="s">
        <v>48</v>
      </c>
      <c r="U20" t="str">
        <f t="shared" si="0"/>
        <v>Normal</v>
      </c>
      <c r="V20" t="str">
        <f t="shared" si="1"/>
        <v>Normal</v>
      </c>
      <c r="W20" t="str">
        <f t="shared" si="2"/>
        <v>Normal</v>
      </c>
    </row>
    <row r="21" spans="1:23" x14ac:dyDescent="0.3">
      <c r="A21">
        <v>11176</v>
      </c>
      <c r="B21" s="2">
        <v>45984</v>
      </c>
      <c r="C21" t="s">
        <v>20</v>
      </c>
      <c r="D21" t="s">
        <v>32</v>
      </c>
      <c r="E21" t="s">
        <v>107</v>
      </c>
      <c r="F21" t="s">
        <v>23</v>
      </c>
      <c r="G21" t="s">
        <v>134</v>
      </c>
      <c r="H21" t="s">
        <v>205</v>
      </c>
      <c r="I21" t="s">
        <v>187</v>
      </c>
      <c r="J21">
        <v>1441</v>
      </c>
      <c r="K21">
        <v>12</v>
      </c>
      <c r="L21" t="s">
        <v>68</v>
      </c>
      <c r="M21">
        <v>137</v>
      </c>
      <c r="N21">
        <v>42.6</v>
      </c>
      <c r="O21">
        <v>88.9</v>
      </c>
      <c r="P21">
        <v>5.5</v>
      </c>
      <c r="Q21">
        <v>3.19</v>
      </c>
      <c r="R21" t="s">
        <v>227</v>
      </c>
      <c r="S21" t="s">
        <v>39</v>
      </c>
      <c r="T21" t="s">
        <v>30</v>
      </c>
      <c r="U21" t="str">
        <f t="shared" si="0"/>
        <v>Normal</v>
      </c>
      <c r="V21" t="str">
        <f t="shared" si="1"/>
        <v>Normal</v>
      </c>
      <c r="W21" t="str">
        <f t="shared" si="2"/>
        <v>Normal</v>
      </c>
    </row>
    <row r="22" spans="1:23" x14ac:dyDescent="0.3">
      <c r="A22">
        <v>11042</v>
      </c>
      <c r="B22" s="2">
        <v>45841</v>
      </c>
      <c r="C22" t="s">
        <v>20</v>
      </c>
      <c r="D22" t="s">
        <v>59</v>
      </c>
      <c r="E22" t="s">
        <v>107</v>
      </c>
      <c r="F22" t="s">
        <v>41</v>
      </c>
      <c r="G22" t="s">
        <v>50</v>
      </c>
      <c r="H22" t="s">
        <v>213</v>
      </c>
      <c r="I22" t="s">
        <v>361</v>
      </c>
      <c r="J22">
        <v>892</v>
      </c>
      <c r="K22">
        <v>77</v>
      </c>
      <c r="L22" t="s">
        <v>37</v>
      </c>
      <c r="M22">
        <v>90</v>
      </c>
      <c r="N22">
        <v>19.2</v>
      </c>
      <c r="O22">
        <v>88.9</v>
      </c>
      <c r="P22">
        <v>5.37</v>
      </c>
      <c r="Q22">
        <v>1.78</v>
      </c>
      <c r="R22" t="s">
        <v>125</v>
      </c>
      <c r="S22" t="s">
        <v>39</v>
      </c>
      <c r="T22" t="s">
        <v>48</v>
      </c>
      <c r="U22" t="str">
        <f t="shared" si="0"/>
        <v>Normal</v>
      </c>
      <c r="V22" t="str">
        <f t="shared" si="1"/>
        <v>Normal</v>
      </c>
      <c r="W22" t="str">
        <f t="shared" si="2"/>
        <v>Normal</v>
      </c>
    </row>
    <row r="23" spans="1:23" x14ac:dyDescent="0.3">
      <c r="A23">
        <v>10398</v>
      </c>
      <c r="B23" s="2">
        <v>45671</v>
      </c>
      <c r="C23" t="s">
        <v>49</v>
      </c>
      <c r="D23" t="s">
        <v>64</v>
      </c>
      <c r="E23" t="s">
        <v>33</v>
      </c>
      <c r="F23" t="s">
        <v>81</v>
      </c>
      <c r="G23" t="s">
        <v>60</v>
      </c>
      <c r="H23" t="s">
        <v>66</v>
      </c>
      <c r="I23" t="s">
        <v>356</v>
      </c>
      <c r="J23">
        <v>838</v>
      </c>
      <c r="K23">
        <v>5</v>
      </c>
      <c r="L23" t="s">
        <v>45</v>
      </c>
      <c r="M23">
        <v>18</v>
      </c>
      <c r="N23">
        <v>36.5</v>
      </c>
      <c r="O23">
        <v>88.8</v>
      </c>
      <c r="P23">
        <v>4.32</v>
      </c>
      <c r="Q23">
        <v>1.05</v>
      </c>
      <c r="R23" t="s">
        <v>137</v>
      </c>
      <c r="S23" t="s">
        <v>39</v>
      </c>
      <c r="T23" t="s">
        <v>30</v>
      </c>
      <c r="U23" t="str">
        <f t="shared" si="0"/>
        <v>Normal</v>
      </c>
      <c r="V23" t="str">
        <f t="shared" si="1"/>
        <v>Normal</v>
      </c>
      <c r="W23" t="str">
        <f t="shared" si="2"/>
        <v>Normal</v>
      </c>
    </row>
    <row r="24" spans="1:23" x14ac:dyDescent="0.3">
      <c r="A24">
        <v>10994</v>
      </c>
      <c r="B24" s="2">
        <v>45859</v>
      </c>
      <c r="C24" t="s">
        <v>20</v>
      </c>
      <c r="D24" t="s">
        <v>59</v>
      </c>
      <c r="E24" t="s">
        <v>40</v>
      </c>
      <c r="F24" t="s">
        <v>81</v>
      </c>
      <c r="G24" t="s">
        <v>74</v>
      </c>
      <c r="H24" t="s">
        <v>93</v>
      </c>
      <c r="I24" t="s">
        <v>239</v>
      </c>
      <c r="J24">
        <v>1153</v>
      </c>
      <c r="K24">
        <v>13</v>
      </c>
      <c r="L24" t="s">
        <v>45</v>
      </c>
      <c r="M24">
        <v>63</v>
      </c>
      <c r="N24">
        <v>38.700000000000003</v>
      </c>
      <c r="O24">
        <v>88.7</v>
      </c>
      <c r="P24">
        <v>5.24</v>
      </c>
      <c r="Q24">
        <v>1.48</v>
      </c>
      <c r="R24" t="s">
        <v>77</v>
      </c>
      <c r="S24" t="s">
        <v>29</v>
      </c>
      <c r="T24" t="s">
        <v>30</v>
      </c>
      <c r="U24" t="str">
        <f t="shared" si="0"/>
        <v>Normal</v>
      </c>
      <c r="V24" t="str">
        <f t="shared" si="1"/>
        <v>Normal</v>
      </c>
      <c r="W24" t="str">
        <f t="shared" si="2"/>
        <v>Normal</v>
      </c>
    </row>
    <row r="25" spans="1:23" x14ac:dyDescent="0.3">
      <c r="A25">
        <v>10125</v>
      </c>
      <c r="B25" s="2">
        <v>45740</v>
      </c>
      <c r="C25" t="s">
        <v>49</v>
      </c>
      <c r="D25" t="s">
        <v>32</v>
      </c>
      <c r="E25" t="s">
        <v>40</v>
      </c>
      <c r="F25" t="s">
        <v>41</v>
      </c>
      <c r="G25" t="s">
        <v>24</v>
      </c>
      <c r="H25" t="s">
        <v>25</v>
      </c>
      <c r="I25" t="s">
        <v>198</v>
      </c>
      <c r="J25">
        <v>1045</v>
      </c>
      <c r="K25">
        <v>44</v>
      </c>
      <c r="L25" t="s">
        <v>57</v>
      </c>
      <c r="M25">
        <v>75</v>
      </c>
      <c r="N25">
        <v>49</v>
      </c>
      <c r="O25">
        <v>88.5</v>
      </c>
      <c r="P25">
        <v>5.66</v>
      </c>
      <c r="Q25">
        <v>5.26</v>
      </c>
      <c r="R25" t="s">
        <v>155</v>
      </c>
      <c r="S25" t="s">
        <v>39</v>
      </c>
      <c r="T25" t="s">
        <v>48</v>
      </c>
      <c r="U25" t="str">
        <f t="shared" si="0"/>
        <v>Normal</v>
      </c>
      <c r="V25" t="str">
        <f t="shared" si="1"/>
        <v>Normal</v>
      </c>
      <c r="W25" t="str">
        <f t="shared" si="2"/>
        <v>Normal</v>
      </c>
    </row>
    <row r="26" spans="1:23" x14ac:dyDescent="0.3">
      <c r="A26">
        <v>10416</v>
      </c>
      <c r="B26" s="2">
        <v>45688</v>
      </c>
      <c r="C26" t="s">
        <v>20</v>
      </c>
      <c r="D26" t="s">
        <v>59</v>
      </c>
      <c r="E26" t="s">
        <v>107</v>
      </c>
      <c r="F26" t="s">
        <v>23</v>
      </c>
      <c r="G26" t="s">
        <v>50</v>
      </c>
      <c r="H26" t="s">
        <v>85</v>
      </c>
      <c r="I26" t="s">
        <v>212</v>
      </c>
      <c r="J26">
        <v>1015</v>
      </c>
      <c r="K26">
        <v>4</v>
      </c>
      <c r="L26" t="s">
        <v>71</v>
      </c>
      <c r="M26">
        <v>130</v>
      </c>
      <c r="N26">
        <v>51.7</v>
      </c>
      <c r="O26">
        <v>88.5</v>
      </c>
      <c r="P26">
        <v>5.82</v>
      </c>
      <c r="Q26">
        <v>3.45</v>
      </c>
      <c r="R26" t="s">
        <v>245</v>
      </c>
      <c r="S26" t="s">
        <v>39</v>
      </c>
      <c r="T26" t="s">
        <v>30</v>
      </c>
      <c r="U26" t="str">
        <f t="shared" si="0"/>
        <v>Normal</v>
      </c>
      <c r="V26" t="str">
        <f t="shared" si="1"/>
        <v>Normal</v>
      </c>
      <c r="W26" t="str">
        <f t="shared" si="2"/>
        <v>Normal</v>
      </c>
    </row>
    <row r="27" spans="1:23" x14ac:dyDescent="0.3">
      <c r="A27">
        <v>10631</v>
      </c>
      <c r="B27" s="2">
        <v>45874</v>
      </c>
      <c r="C27" t="s">
        <v>31</v>
      </c>
      <c r="D27" t="s">
        <v>64</v>
      </c>
      <c r="E27" t="s">
        <v>107</v>
      </c>
      <c r="F27" t="s">
        <v>23</v>
      </c>
      <c r="G27" t="s">
        <v>95</v>
      </c>
      <c r="H27" t="s">
        <v>123</v>
      </c>
      <c r="I27" t="s">
        <v>322</v>
      </c>
      <c r="J27">
        <v>682</v>
      </c>
      <c r="K27">
        <v>41</v>
      </c>
      <c r="L27" t="s">
        <v>45</v>
      </c>
      <c r="M27">
        <v>23</v>
      </c>
      <c r="N27">
        <v>34.1</v>
      </c>
      <c r="O27">
        <v>88.4</v>
      </c>
      <c r="P27">
        <v>5.62</v>
      </c>
      <c r="Q27">
        <v>3.13</v>
      </c>
      <c r="R27" t="s">
        <v>140</v>
      </c>
      <c r="S27" t="s">
        <v>73</v>
      </c>
      <c r="T27" t="s">
        <v>48</v>
      </c>
      <c r="U27" t="str">
        <f t="shared" si="0"/>
        <v>Normal</v>
      </c>
      <c r="V27" t="str">
        <f t="shared" si="1"/>
        <v>Normal</v>
      </c>
      <c r="W27" t="str">
        <f t="shared" si="2"/>
        <v>Normal</v>
      </c>
    </row>
    <row r="28" spans="1:23" x14ac:dyDescent="0.3">
      <c r="A28">
        <v>10869</v>
      </c>
      <c r="B28" s="2">
        <v>45776</v>
      </c>
      <c r="C28" t="s">
        <v>20</v>
      </c>
      <c r="D28" t="s">
        <v>59</v>
      </c>
      <c r="E28" t="s">
        <v>33</v>
      </c>
      <c r="F28" t="s">
        <v>23</v>
      </c>
      <c r="G28" t="s">
        <v>24</v>
      </c>
      <c r="H28" t="s">
        <v>138</v>
      </c>
      <c r="I28" t="s">
        <v>67</v>
      </c>
      <c r="J28">
        <v>925</v>
      </c>
      <c r="K28">
        <v>13</v>
      </c>
      <c r="L28" t="s">
        <v>45</v>
      </c>
      <c r="M28">
        <v>76</v>
      </c>
      <c r="N28">
        <v>41.9</v>
      </c>
      <c r="O28">
        <v>87.9</v>
      </c>
      <c r="P28">
        <v>5.38</v>
      </c>
      <c r="Q28">
        <v>1.32</v>
      </c>
      <c r="R28" t="s">
        <v>133</v>
      </c>
      <c r="S28" t="s">
        <v>29</v>
      </c>
      <c r="T28" t="s">
        <v>30</v>
      </c>
      <c r="U28" t="str">
        <f t="shared" si="0"/>
        <v>Normal</v>
      </c>
      <c r="V28" t="str">
        <f t="shared" si="1"/>
        <v>Normal</v>
      </c>
      <c r="W28" t="str">
        <f t="shared" si="2"/>
        <v>Normal</v>
      </c>
    </row>
    <row r="29" spans="1:23" x14ac:dyDescent="0.3">
      <c r="A29">
        <v>10037</v>
      </c>
      <c r="B29" s="2">
        <v>45724</v>
      </c>
      <c r="C29" t="s">
        <v>20</v>
      </c>
      <c r="D29" t="s">
        <v>64</v>
      </c>
      <c r="E29" t="s">
        <v>33</v>
      </c>
      <c r="F29" t="s">
        <v>23</v>
      </c>
      <c r="G29" t="s">
        <v>74</v>
      </c>
      <c r="H29" t="s">
        <v>172</v>
      </c>
      <c r="I29" t="s">
        <v>236</v>
      </c>
      <c r="J29">
        <v>535</v>
      </c>
      <c r="K29">
        <v>3</v>
      </c>
      <c r="L29" t="s">
        <v>68</v>
      </c>
      <c r="M29">
        <v>12</v>
      </c>
      <c r="N29">
        <v>52.4</v>
      </c>
      <c r="O29">
        <v>87.9</v>
      </c>
      <c r="P29">
        <v>3.98</v>
      </c>
      <c r="Q29">
        <v>1.55</v>
      </c>
      <c r="R29" t="s">
        <v>103</v>
      </c>
      <c r="S29" t="s">
        <v>47</v>
      </c>
      <c r="T29" t="s">
        <v>30</v>
      </c>
      <c r="U29" t="str">
        <f t="shared" si="0"/>
        <v>Normal</v>
      </c>
      <c r="V29" t="str">
        <f t="shared" si="1"/>
        <v>Normal</v>
      </c>
      <c r="W29" t="str">
        <f t="shared" si="2"/>
        <v>Normal</v>
      </c>
    </row>
    <row r="30" spans="1:23" x14ac:dyDescent="0.3">
      <c r="A30">
        <v>10505</v>
      </c>
      <c r="B30" s="2">
        <v>45858</v>
      </c>
      <c r="C30" t="s">
        <v>20</v>
      </c>
      <c r="D30" t="s">
        <v>21</v>
      </c>
      <c r="E30" t="s">
        <v>107</v>
      </c>
      <c r="F30" t="s">
        <v>41</v>
      </c>
      <c r="G30" t="s">
        <v>54</v>
      </c>
      <c r="H30" t="s">
        <v>85</v>
      </c>
      <c r="I30" t="s">
        <v>349</v>
      </c>
      <c r="J30">
        <v>941</v>
      </c>
      <c r="K30">
        <v>6</v>
      </c>
      <c r="L30" t="s">
        <v>71</v>
      </c>
      <c r="M30">
        <v>176</v>
      </c>
      <c r="N30">
        <v>42.9</v>
      </c>
      <c r="O30">
        <v>87.8</v>
      </c>
      <c r="P30">
        <v>6.89</v>
      </c>
      <c r="Q30">
        <v>2.12</v>
      </c>
      <c r="R30" t="s">
        <v>63</v>
      </c>
      <c r="S30" t="s">
        <v>39</v>
      </c>
      <c r="T30" t="s">
        <v>30</v>
      </c>
      <c r="U30" t="str">
        <f t="shared" si="0"/>
        <v>Normal</v>
      </c>
      <c r="V30" t="str">
        <f t="shared" si="1"/>
        <v>Normal</v>
      </c>
      <c r="W30" t="str">
        <f t="shared" si="2"/>
        <v>Normal</v>
      </c>
    </row>
    <row r="31" spans="1:23" x14ac:dyDescent="0.3">
      <c r="A31">
        <v>10363</v>
      </c>
      <c r="B31" s="2">
        <v>45849</v>
      </c>
      <c r="C31" t="s">
        <v>31</v>
      </c>
      <c r="D31" t="s">
        <v>21</v>
      </c>
      <c r="E31" t="s">
        <v>40</v>
      </c>
      <c r="F31" t="s">
        <v>23</v>
      </c>
      <c r="G31" t="s">
        <v>109</v>
      </c>
      <c r="H31" t="s">
        <v>138</v>
      </c>
      <c r="I31" t="s">
        <v>234</v>
      </c>
      <c r="J31">
        <v>582</v>
      </c>
      <c r="K31">
        <v>4</v>
      </c>
      <c r="L31" t="s">
        <v>57</v>
      </c>
      <c r="M31">
        <v>79</v>
      </c>
      <c r="N31">
        <v>34.299999999999997</v>
      </c>
      <c r="O31">
        <v>87.7</v>
      </c>
      <c r="P31">
        <v>5.81</v>
      </c>
      <c r="Q31">
        <v>1.0900000000000001</v>
      </c>
      <c r="R31" t="s">
        <v>183</v>
      </c>
      <c r="S31" t="s">
        <v>39</v>
      </c>
      <c r="T31" t="s">
        <v>30</v>
      </c>
      <c r="U31" t="str">
        <f t="shared" si="0"/>
        <v>Normal</v>
      </c>
      <c r="V31" t="str">
        <f t="shared" si="1"/>
        <v>Normal</v>
      </c>
      <c r="W31" t="str">
        <f t="shared" si="2"/>
        <v>Normal</v>
      </c>
    </row>
    <row r="32" spans="1:23" x14ac:dyDescent="0.3">
      <c r="A32">
        <v>10886</v>
      </c>
      <c r="B32" s="2">
        <v>45984</v>
      </c>
      <c r="C32" t="s">
        <v>49</v>
      </c>
      <c r="D32" t="s">
        <v>59</v>
      </c>
      <c r="E32" t="s">
        <v>107</v>
      </c>
      <c r="F32" t="s">
        <v>41</v>
      </c>
      <c r="G32" t="s">
        <v>42</v>
      </c>
      <c r="H32" t="s">
        <v>101</v>
      </c>
      <c r="I32" t="s">
        <v>326</v>
      </c>
      <c r="J32">
        <v>1058</v>
      </c>
      <c r="K32">
        <v>12</v>
      </c>
      <c r="L32" t="s">
        <v>68</v>
      </c>
      <c r="M32">
        <v>31</v>
      </c>
      <c r="N32">
        <v>36</v>
      </c>
      <c r="O32">
        <v>87.7</v>
      </c>
      <c r="P32">
        <v>4.57</v>
      </c>
      <c r="Q32">
        <v>1.49</v>
      </c>
      <c r="R32" t="s">
        <v>103</v>
      </c>
      <c r="S32" t="s">
        <v>39</v>
      </c>
      <c r="T32" t="s">
        <v>30</v>
      </c>
      <c r="U32" t="str">
        <f t="shared" si="0"/>
        <v>Normal</v>
      </c>
      <c r="V32" t="str">
        <f t="shared" si="1"/>
        <v>Normal</v>
      </c>
      <c r="W32" t="str">
        <f t="shared" si="2"/>
        <v>Normal</v>
      </c>
    </row>
    <row r="33" spans="1:23" x14ac:dyDescent="0.3">
      <c r="A33">
        <v>11169</v>
      </c>
      <c r="B33" s="2">
        <v>46015</v>
      </c>
      <c r="C33" t="s">
        <v>31</v>
      </c>
      <c r="D33" t="s">
        <v>59</v>
      </c>
      <c r="E33" t="s">
        <v>22</v>
      </c>
      <c r="F33" t="s">
        <v>41</v>
      </c>
      <c r="G33" t="s">
        <v>34</v>
      </c>
      <c r="H33" t="s">
        <v>123</v>
      </c>
      <c r="I33" t="s">
        <v>273</v>
      </c>
      <c r="J33">
        <v>846</v>
      </c>
      <c r="K33">
        <v>3</v>
      </c>
      <c r="L33" t="s">
        <v>45</v>
      </c>
      <c r="M33">
        <v>70</v>
      </c>
      <c r="N33">
        <v>40.5</v>
      </c>
      <c r="O33">
        <v>87.6</v>
      </c>
      <c r="P33">
        <v>4.96</v>
      </c>
      <c r="Q33">
        <v>0.73</v>
      </c>
      <c r="R33" t="s">
        <v>128</v>
      </c>
      <c r="S33" t="s">
        <v>47</v>
      </c>
      <c r="T33" t="s">
        <v>30</v>
      </c>
      <c r="U33" t="str">
        <f t="shared" si="0"/>
        <v>Normal</v>
      </c>
      <c r="V33" t="str">
        <f t="shared" si="1"/>
        <v>Normal</v>
      </c>
      <c r="W33" t="str">
        <f t="shared" si="2"/>
        <v>Normal</v>
      </c>
    </row>
    <row r="34" spans="1:23" x14ac:dyDescent="0.3">
      <c r="A34">
        <v>10331</v>
      </c>
      <c r="B34" s="2">
        <v>45877</v>
      </c>
      <c r="C34" t="s">
        <v>20</v>
      </c>
      <c r="D34" t="s">
        <v>64</v>
      </c>
      <c r="E34" t="s">
        <v>22</v>
      </c>
      <c r="F34" t="s">
        <v>23</v>
      </c>
      <c r="G34" t="s">
        <v>74</v>
      </c>
      <c r="H34" t="s">
        <v>141</v>
      </c>
      <c r="I34" t="s">
        <v>197</v>
      </c>
      <c r="J34">
        <v>816</v>
      </c>
      <c r="K34">
        <v>12</v>
      </c>
      <c r="L34" t="s">
        <v>37</v>
      </c>
      <c r="M34">
        <v>160</v>
      </c>
      <c r="N34">
        <v>37.799999999999997</v>
      </c>
      <c r="O34">
        <v>87.6</v>
      </c>
      <c r="P34">
        <v>4.04</v>
      </c>
      <c r="Q34">
        <v>2.73</v>
      </c>
      <c r="R34" t="s">
        <v>153</v>
      </c>
      <c r="S34" t="s">
        <v>29</v>
      </c>
      <c r="T34" t="s">
        <v>30</v>
      </c>
      <c r="U34" t="str">
        <f t="shared" si="0"/>
        <v>Normal</v>
      </c>
      <c r="V34" t="str">
        <f t="shared" si="1"/>
        <v>Normal</v>
      </c>
      <c r="W34" t="str">
        <f t="shared" si="2"/>
        <v>Normal</v>
      </c>
    </row>
    <row r="35" spans="1:23" x14ac:dyDescent="0.3">
      <c r="A35">
        <v>11253</v>
      </c>
      <c r="B35" s="2">
        <v>45965</v>
      </c>
      <c r="C35" t="s">
        <v>49</v>
      </c>
      <c r="D35" t="s">
        <v>32</v>
      </c>
      <c r="E35" t="s">
        <v>40</v>
      </c>
      <c r="F35" t="s">
        <v>81</v>
      </c>
      <c r="G35" t="s">
        <v>60</v>
      </c>
      <c r="H35" t="s">
        <v>99</v>
      </c>
      <c r="I35" t="s">
        <v>191</v>
      </c>
      <c r="J35">
        <v>710</v>
      </c>
      <c r="K35">
        <v>10</v>
      </c>
      <c r="L35" t="s">
        <v>68</v>
      </c>
      <c r="M35">
        <v>180</v>
      </c>
      <c r="N35">
        <v>35.9</v>
      </c>
      <c r="O35">
        <v>87.4</v>
      </c>
      <c r="P35">
        <v>4.4800000000000004</v>
      </c>
      <c r="Q35">
        <v>3.14</v>
      </c>
      <c r="R35" t="s">
        <v>105</v>
      </c>
      <c r="S35" t="s">
        <v>73</v>
      </c>
      <c r="T35" t="s">
        <v>30</v>
      </c>
      <c r="U35" t="str">
        <f t="shared" si="0"/>
        <v>Normal</v>
      </c>
      <c r="V35" t="str">
        <f t="shared" si="1"/>
        <v>Normal</v>
      </c>
      <c r="W35" t="str">
        <f t="shared" si="2"/>
        <v>Normal</v>
      </c>
    </row>
    <row r="36" spans="1:23" x14ac:dyDescent="0.3">
      <c r="A36">
        <v>10607</v>
      </c>
      <c r="B36" s="2">
        <v>45774</v>
      </c>
      <c r="C36" t="s">
        <v>49</v>
      </c>
      <c r="D36" t="s">
        <v>59</v>
      </c>
      <c r="E36" t="s">
        <v>107</v>
      </c>
      <c r="F36" t="s">
        <v>23</v>
      </c>
      <c r="G36" t="s">
        <v>34</v>
      </c>
      <c r="H36" t="s">
        <v>278</v>
      </c>
      <c r="I36" t="s">
        <v>310</v>
      </c>
      <c r="J36">
        <v>1124</v>
      </c>
      <c r="K36">
        <v>37</v>
      </c>
      <c r="L36" t="s">
        <v>27</v>
      </c>
      <c r="M36">
        <v>141</v>
      </c>
      <c r="N36">
        <v>42.4</v>
      </c>
      <c r="O36">
        <v>87.4</v>
      </c>
      <c r="P36">
        <v>5.27</v>
      </c>
      <c r="Q36">
        <v>4.0999999999999996</v>
      </c>
      <c r="R36" t="s">
        <v>216</v>
      </c>
      <c r="S36" t="s">
        <v>39</v>
      </c>
      <c r="T36" t="s">
        <v>48</v>
      </c>
      <c r="U36" t="str">
        <f t="shared" si="0"/>
        <v>Normal</v>
      </c>
      <c r="V36" t="str">
        <f t="shared" si="1"/>
        <v>Normal</v>
      </c>
      <c r="W36" t="str">
        <f t="shared" si="2"/>
        <v>Normal</v>
      </c>
    </row>
    <row r="37" spans="1:23" x14ac:dyDescent="0.3">
      <c r="A37">
        <v>10283</v>
      </c>
      <c r="B37" s="2">
        <v>45674</v>
      </c>
      <c r="C37" t="s">
        <v>49</v>
      </c>
      <c r="D37" t="s">
        <v>64</v>
      </c>
      <c r="E37" t="s">
        <v>107</v>
      </c>
      <c r="F37" t="s">
        <v>23</v>
      </c>
      <c r="G37" t="s">
        <v>113</v>
      </c>
      <c r="H37" t="s">
        <v>165</v>
      </c>
      <c r="I37" t="s">
        <v>368</v>
      </c>
      <c r="J37">
        <v>827</v>
      </c>
      <c r="K37">
        <v>10</v>
      </c>
      <c r="L37" t="s">
        <v>57</v>
      </c>
      <c r="M37">
        <v>110</v>
      </c>
      <c r="N37">
        <v>36.9</v>
      </c>
      <c r="O37">
        <v>87.1</v>
      </c>
      <c r="P37">
        <v>5.24</v>
      </c>
      <c r="Q37">
        <v>3.65</v>
      </c>
      <c r="R37" t="s">
        <v>243</v>
      </c>
      <c r="S37" t="s">
        <v>29</v>
      </c>
      <c r="T37" t="s">
        <v>30</v>
      </c>
      <c r="U37" t="str">
        <f t="shared" si="0"/>
        <v>Normal</v>
      </c>
      <c r="V37" t="str">
        <f t="shared" si="1"/>
        <v>Normal</v>
      </c>
      <c r="W37" t="str">
        <f t="shared" si="2"/>
        <v>Normal</v>
      </c>
    </row>
    <row r="38" spans="1:23" x14ac:dyDescent="0.3">
      <c r="A38">
        <v>10215</v>
      </c>
      <c r="B38" s="2">
        <v>45760</v>
      </c>
      <c r="C38" t="s">
        <v>31</v>
      </c>
      <c r="D38" t="s">
        <v>59</v>
      </c>
      <c r="E38" t="s">
        <v>22</v>
      </c>
      <c r="F38" t="s">
        <v>23</v>
      </c>
      <c r="G38" t="s">
        <v>42</v>
      </c>
      <c r="H38" t="s">
        <v>85</v>
      </c>
      <c r="I38" t="s">
        <v>166</v>
      </c>
      <c r="J38">
        <v>1340</v>
      </c>
      <c r="K38">
        <v>16</v>
      </c>
      <c r="L38" t="s">
        <v>57</v>
      </c>
      <c r="M38">
        <v>93</v>
      </c>
      <c r="N38">
        <v>39.1</v>
      </c>
      <c r="O38">
        <v>87.1</v>
      </c>
      <c r="P38">
        <v>5.65</v>
      </c>
      <c r="Q38">
        <v>1.33</v>
      </c>
      <c r="R38" t="s">
        <v>38</v>
      </c>
      <c r="S38" t="s">
        <v>73</v>
      </c>
      <c r="T38" t="s">
        <v>30</v>
      </c>
      <c r="U38" t="str">
        <f t="shared" si="0"/>
        <v>Normal</v>
      </c>
      <c r="V38" t="str">
        <f t="shared" si="1"/>
        <v>Normal</v>
      </c>
      <c r="W38" t="str">
        <f t="shared" si="2"/>
        <v>Normal</v>
      </c>
    </row>
    <row r="39" spans="1:23" x14ac:dyDescent="0.3">
      <c r="A39">
        <v>10469</v>
      </c>
      <c r="B39" s="2">
        <v>45827</v>
      </c>
      <c r="C39" t="s">
        <v>49</v>
      </c>
      <c r="D39" t="s">
        <v>64</v>
      </c>
      <c r="E39" t="s">
        <v>40</v>
      </c>
      <c r="F39" t="s">
        <v>23</v>
      </c>
      <c r="G39" t="s">
        <v>134</v>
      </c>
      <c r="H39" t="s">
        <v>351</v>
      </c>
      <c r="I39" t="s">
        <v>70</v>
      </c>
      <c r="J39">
        <v>489</v>
      </c>
      <c r="K39">
        <v>16</v>
      </c>
      <c r="L39" t="s">
        <v>27</v>
      </c>
      <c r="M39">
        <v>118</v>
      </c>
      <c r="N39">
        <v>51.3</v>
      </c>
      <c r="O39">
        <v>87.1</v>
      </c>
      <c r="P39">
        <v>5.69</v>
      </c>
      <c r="Q39">
        <v>3.22</v>
      </c>
      <c r="R39" t="s">
        <v>147</v>
      </c>
      <c r="S39" t="s">
        <v>47</v>
      </c>
      <c r="T39" t="s">
        <v>48</v>
      </c>
      <c r="U39" t="str">
        <f t="shared" si="0"/>
        <v>Normal</v>
      </c>
      <c r="V39" t="str">
        <f t="shared" si="1"/>
        <v>Normal</v>
      </c>
      <c r="W39" t="str">
        <f t="shared" si="2"/>
        <v>Normal</v>
      </c>
    </row>
    <row r="40" spans="1:23" x14ac:dyDescent="0.3">
      <c r="A40">
        <v>10019</v>
      </c>
      <c r="B40" s="2">
        <v>45935</v>
      </c>
      <c r="C40" t="s">
        <v>20</v>
      </c>
      <c r="D40" t="s">
        <v>32</v>
      </c>
      <c r="E40" t="s">
        <v>40</v>
      </c>
      <c r="F40" t="s">
        <v>23</v>
      </c>
      <c r="G40" t="s">
        <v>95</v>
      </c>
      <c r="H40" t="s">
        <v>193</v>
      </c>
      <c r="I40" t="s">
        <v>289</v>
      </c>
      <c r="J40">
        <v>937</v>
      </c>
      <c r="K40">
        <v>13</v>
      </c>
      <c r="L40" t="s">
        <v>27</v>
      </c>
      <c r="M40">
        <v>33</v>
      </c>
      <c r="N40">
        <v>40.299999999999997</v>
      </c>
      <c r="O40">
        <v>87</v>
      </c>
      <c r="P40">
        <v>5.18</v>
      </c>
      <c r="Q40">
        <v>1.77</v>
      </c>
      <c r="R40" t="s">
        <v>209</v>
      </c>
      <c r="S40" t="s">
        <v>47</v>
      </c>
      <c r="T40" t="s">
        <v>30</v>
      </c>
      <c r="U40" t="str">
        <f t="shared" si="0"/>
        <v>Normal</v>
      </c>
      <c r="V40" t="str">
        <f t="shared" si="1"/>
        <v>Normal</v>
      </c>
      <c r="W40" t="str">
        <f t="shared" si="2"/>
        <v>Normal</v>
      </c>
    </row>
    <row r="41" spans="1:23" x14ac:dyDescent="0.3">
      <c r="A41">
        <v>10417</v>
      </c>
      <c r="B41" s="2">
        <v>45911</v>
      </c>
      <c r="C41" t="s">
        <v>20</v>
      </c>
      <c r="D41" t="s">
        <v>32</v>
      </c>
      <c r="E41" t="s">
        <v>107</v>
      </c>
      <c r="F41" t="s">
        <v>41</v>
      </c>
      <c r="G41" t="s">
        <v>95</v>
      </c>
      <c r="H41" t="s">
        <v>180</v>
      </c>
      <c r="I41" t="s">
        <v>182</v>
      </c>
      <c r="J41">
        <v>583</v>
      </c>
      <c r="K41">
        <v>6</v>
      </c>
      <c r="L41" t="s">
        <v>57</v>
      </c>
      <c r="M41">
        <v>61</v>
      </c>
      <c r="N41">
        <v>31.8</v>
      </c>
      <c r="O41">
        <v>86.9</v>
      </c>
      <c r="P41">
        <v>3.9</v>
      </c>
      <c r="Q41">
        <v>2.41</v>
      </c>
      <c r="R41" t="s">
        <v>105</v>
      </c>
      <c r="S41" t="s">
        <v>39</v>
      </c>
      <c r="T41" t="s">
        <v>30</v>
      </c>
      <c r="U41" t="str">
        <f t="shared" si="0"/>
        <v>Normal</v>
      </c>
      <c r="V41" t="str">
        <f t="shared" si="1"/>
        <v>Normal</v>
      </c>
      <c r="W41" t="str">
        <f t="shared" si="2"/>
        <v>Normal</v>
      </c>
    </row>
    <row r="42" spans="1:23" x14ac:dyDescent="0.3">
      <c r="A42">
        <v>11311</v>
      </c>
      <c r="B42" s="2">
        <v>45796</v>
      </c>
      <c r="C42" t="s">
        <v>31</v>
      </c>
      <c r="D42" t="s">
        <v>32</v>
      </c>
      <c r="E42" t="s">
        <v>22</v>
      </c>
      <c r="F42" t="s">
        <v>23</v>
      </c>
      <c r="G42" t="s">
        <v>54</v>
      </c>
      <c r="H42" t="s">
        <v>90</v>
      </c>
      <c r="I42" t="s">
        <v>44</v>
      </c>
      <c r="J42">
        <v>1115</v>
      </c>
      <c r="K42">
        <v>18</v>
      </c>
      <c r="L42" t="s">
        <v>68</v>
      </c>
      <c r="M42">
        <v>174</v>
      </c>
      <c r="N42">
        <v>28.8</v>
      </c>
      <c r="O42">
        <v>86.9</v>
      </c>
      <c r="P42">
        <v>4.78</v>
      </c>
      <c r="Q42">
        <v>2.4900000000000002</v>
      </c>
      <c r="R42" t="s">
        <v>84</v>
      </c>
      <c r="S42" t="s">
        <v>47</v>
      </c>
      <c r="T42" t="s">
        <v>30</v>
      </c>
      <c r="U42" t="str">
        <f t="shared" si="0"/>
        <v>Normal</v>
      </c>
      <c r="V42" t="str">
        <f t="shared" si="1"/>
        <v>Normal</v>
      </c>
      <c r="W42" t="str">
        <f t="shared" si="2"/>
        <v>Normal</v>
      </c>
    </row>
    <row r="43" spans="1:23" x14ac:dyDescent="0.3">
      <c r="A43">
        <v>11482</v>
      </c>
      <c r="B43" s="2">
        <v>45739</v>
      </c>
      <c r="C43" t="s">
        <v>31</v>
      </c>
      <c r="D43" t="s">
        <v>21</v>
      </c>
      <c r="E43" t="s">
        <v>22</v>
      </c>
      <c r="F43" t="s">
        <v>23</v>
      </c>
      <c r="G43" t="s">
        <v>60</v>
      </c>
      <c r="H43" t="s">
        <v>213</v>
      </c>
      <c r="I43" t="s">
        <v>124</v>
      </c>
      <c r="J43">
        <v>1252</v>
      </c>
      <c r="K43">
        <v>11</v>
      </c>
      <c r="L43" t="s">
        <v>71</v>
      </c>
      <c r="M43">
        <v>16</v>
      </c>
      <c r="N43">
        <v>44.5</v>
      </c>
      <c r="O43">
        <v>86.8</v>
      </c>
      <c r="P43">
        <v>5.56</v>
      </c>
      <c r="Q43">
        <v>0.62</v>
      </c>
      <c r="R43" t="s">
        <v>125</v>
      </c>
      <c r="S43" t="s">
        <v>39</v>
      </c>
      <c r="T43" t="s">
        <v>30</v>
      </c>
      <c r="U43" t="str">
        <f t="shared" si="0"/>
        <v>Normal</v>
      </c>
      <c r="V43" t="str">
        <f t="shared" si="1"/>
        <v>Normal</v>
      </c>
      <c r="W43" t="str">
        <f t="shared" si="2"/>
        <v>Normal</v>
      </c>
    </row>
    <row r="44" spans="1:23" x14ac:dyDescent="0.3">
      <c r="A44">
        <v>10329</v>
      </c>
      <c r="B44" s="2">
        <v>45683</v>
      </c>
      <c r="C44" t="s">
        <v>20</v>
      </c>
      <c r="D44" t="s">
        <v>59</v>
      </c>
      <c r="E44" t="s">
        <v>107</v>
      </c>
      <c r="F44" t="s">
        <v>41</v>
      </c>
      <c r="G44" t="s">
        <v>113</v>
      </c>
      <c r="H44" t="s">
        <v>35</v>
      </c>
      <c r="I44" t="s">
        <v>327</v>
      </c>
      <c r="J44">
        <v>1446</v>
      </c>
      <c r="K44">
        <v>12</v>
      </c>
      <c r="L44" t="s">
        <v>71</v>
      </c>
      <c r="M44">
        <v>15</v>
      </c>
      <c r="N44">
        <v>33.9</v>
      </c>
      <c r="O44">
        <v>86.7</v>
      </c>
      <c r="P44">
        <v>4.6100000000000003</v>
      </c>
      <c r="Q44">
        <v>2.06</v>
      </c>
      <c r="R44" t="s">
        <v>153</v>
      </c>
      <c r="S44" t="s">
        <v>47</v>
      </c>
      <c r="T44" t="s">
        <v>30</v>
      </c>
      <c r="U44" t="str">
        <f t="shared" si="0"/>
        <v>Normal</v>
      </c>
      <c r="V44" t="str">
        <f t="shared" si="1"/>
        <v>Normal</v>
      </c>
      <c r="W44" t="str">
        <f t="shared" si="2"/>
        <v>Normal</v>
      </c>
    </row>
    <row r="45" spans="1:23" x14ac:dyDescent="0.3">
      <c r="A45">
        <v>10182</v>
      </c>
      <c r="B45" s="2">
        <v>45791</v>
      </c>
      <c r="C45" t="s">
        <v>49</v>
      </c>
      <c r="D45" t="s">
        <v>59</v>
      </c>
      <c r="E45" t="s">
        <v>33</v>
      </c>
      <c r="F45" t="s">
        <v>41</v>
      </c>
      <c r="G45" t="s">
        <v>89</v>
      </c>
      <c r="H45" t="s">
        <v>69</v>
      </c>
      <c r="I45" t="s">
        <v>238</v>
      </c>
      <c r="J45">
        <v>1102</v>
      </c>
      <c r="K45">
        <v>13</v>
      </c>
      <c r="L45" t="s">
        <v>27</v>
      </c>
      <c r="M45">
        <v>174</v>
      </c>
      <c r="N45">
        <v>49.8</v>
      </c>
      <c r="O45">
        <v>86.7</v>
      </c>
      <c r="P45">
        <v>5</v>
      </c>
      <c r="Q45">
        <v>2.4300000000000002</v>
      </c>
      <c r="R45" t="s">
        <v>280</v>
      </c>
      <c r="S45" t="s">
        <v>424</v>
      </c>
      <c r="T45" t="s">
        <v>30</v>
      </c>
      <c r="U45" t="str">
        <f t="shared" si="0"/>
        <v>Normal</v>
      </c>
      <c r="V45" t="str">
        <f t="shared" si="1"/>
        <v>Normal</v>
      </c>
      <c r="W45" t="str">
        <f t="shared" si="2"/>
        <v>Normal</v>
      </c>
    </row>
    <row r="46" spans="1:23" x14ac:dyDescent="0.3">
      <c r="A46">
        <v>10228</v>
      </c>
      <c r="B46" s="2">
        <v>45947</v>
      </c>
      <c r="C46" t="s">
        <v>20</v>
      </c>
      <c r="D46" t="s">
        <v>59</v>
      </c>
      <c r="E46" t="s">
        <v>22</v>
      </c>
      <c r="F46" t="s">
        <v>23</v>
      </c>
      <c r="G46" t="s">
        <v>50</v>
      </c>
      <c r="H46" t="s">
        <v>190</v>
      </c>
      <c r="I46" t="s">
        <v>91</v>
      </c>
      <c r="J46">
        <v>1365</v>
      </c>
      <c r="K46">
        <v>14</v>
      </c>
      <c r="L46" t="s">
        <v>68</v>
      </c>
      <c r="M46">
        <v>163</v>
      </c>
      <c r="N46">
        <v>48.3</v>
      </c>
      <c r="O46">
        <v>86.6</v>
      </c>
      <c r="P46">
        <v>4.87</v>
      </c>
      <c r="Q46">
        <v>3.58</v>
      </c>
      <c r="R46" t="s">
        <v>202</v>
      </c>
      <c r="S46" t="s">
        <v>29</v>
      </c>
      <c r="T46" t="s">
        <v>30</v>
      </c>
      <c r="U46" t="str">
        <f t="shared" si="0"/>
        <v>Normal</v>
      </c>
      <c r="V46" t="str">
        <f t="shared" si="1"/>
        <v>Normal</v>
      </c>
      <c r="W46" t="str">
        <f t="shared" si="2"/>
        <v>Normal</v>
      </c>
    </row>
    <row r="47" spans="1:23" x14ac:dyDescent="0.3">
      <c r="A47">
        <v>10779</v>
      </c>
      <c r="B47" s="2">
        <v>45968</v>
      </c>
      <c r="C47" t="s">
        <v>49</v>
      </c>
      <c r="D47" t="s">
        <v>32</v>
      </c>
      <c r="E47" t="s">
        <v>22</v>
      </c>
      <c r="F47" t="s">
        <v>23</v>
      </c>
      <c r="G47" t="s">
        <v>113</v>
      </c>
      <c r="H47" t="s">
        <v>138</v>
      </c>
      <c r="I47" t="s">
        <v>298</v>
      </c>
      <c r="J47">
        <v>1425</v>
      </c>
      <c r="K47">
        <v>19</v>
      </c>
      <c r="L47" t="s">
        <v>37</v>
      </c>
      <c r="M47">
        <v>161</v>
      </c>
      <c r="N47">
        <v>38.9</v>
      </c>
      <c r="O47">
        <v>86.6</v>
      </c>
      <c r="P47">
        <v>6.81</v>
      </c>
      <c r="Q47">
        <v>5.82</v>
      </c>
      <c r="R47" t="s">
        <v>155</v>
      </c>
      <c r="S47" t="s">
        <v>47</v>
      </c>
      <c r="T47" t="s">
        <v>30</v>
      </c>
      <c r="U47" t="str">
        <f t="shared" si="0"/>
        <v>Normal</v>
      </c>
      <c r="V47" t="str">
        <f t="shared" si="1"/>
        <v>Normal</v>
      </c>
      <c r="W47" t="str">
        <f t="shared" si="2"/>
        <v>Normal</v>
      </c>
    </row>
    <row r="48" spans="1:23" x14ac:dyDescent="0.3">
      <c r="A48">
        <v>10657</v>
      </c>
      <c r="B48" s="2">
        <v>45774</v>
      </c>
      <c r="C48" t="s">
        <v>20</v>
      </c>
      <c r="D48" t="s">
        <v>64</v>
      </c>
      <c r="E48" t="s">
        <v>107</v>
      </c>
      <c r="F48" t="s">
        <v>23</v>
      </c>
      <c r="G48" t="s">
        <v>60</v>
      </c>
      <c r="H48" t="s">
        <v>25</v>
      </c>
      <c r="I48" t="s">
        <v>373</v>
      </c>
      <c r="J48">
        <v>1231</v>
      </c>
      <c r="K48">
        <v>11</v>
      </c>
      <c r="L48" t="s">
        <v>37</v>
      </c>
      <c r="M48">
        <v>88</v>
      </c>
      <c r="N48">
        <v>54.3</v>
      </c>
      <c r="O48">
        <v>86.6</v>
      </c>
      <c r="P48">
        <v>4.17</v>
      </c>
      <c r="Q48">
        <v>2.39</v>
      </c>
      <c r="R48" t="s">
        <v>125</v>
      </c>
      <c r="S48" t="s">
        <v>39</v>
      </c>
      <c r="T48" t="s">
        <v>30</v>
      </c>
      <c r="U48" t="str">
        <f t="shared" si="0"/>
        <v>Normal</v>
      </c>
      <c r="V48" t="str">
        <f t="shared" si="1"/>
        <v>Normal</v>
      </c>
      <c r="W48" t="str">
        <f t="shared" si="2"/>
        <v>Normal</v>
      </c>
    </row>
    <row r="49" spans="1:23" x14ac:dyDescent="0.3">
      <c r="A49">
        <v>10049</v>
      </c>
      <c r="B49" s="2">
        <v>45962</v>
      </c>
      <c r="C49" t="s">
        <v>20</v>
      </c>
      <c r="D49" t="s">
        <v>64</v>
      </c>
      <c r="E49" t="s">
        <v>33</v>
      </c>
      <c r="F49" t="s">
        <v>81</v>
      </c>
      <c r="G49" t="s">
        <v>95</v>
      </c>
      <c r="H49" t="s">
        <v>88</v>
      </c>
      <c r="I49" t="s">
        <v>266</v>
      </c>
      <c r="J49">
        <v>1439</v>
      </c>
      <c r="K49">
        <v>17</v>
      </c>
      <c r="L49" t="s">
        <v>27</v>
      </c>
      <c r="M49">
        <v>82</v>
      </c>
      <c r="N49">
        <v>43.6</v>
      </c>
      <c r="O49">
        <v>86.5</v>
      </c>
      <c r="P49">
        <v>3.97</v>
      </c>
      <c r="Q49">
        <v>5.88</v>
      </c>
      <c r="R49" t="s">
        <v>153</v>
      </c>
      <c r="S49" t="s">
        <v>29</v>
      </c>
      <c r="T49" t="s">
        <v>30</v>
      </c>
      <c r="U49" t="str">
        <f t="shared" si="0"/>
        <v>Normal</v>
      </c>
      <c r="V49" t="str">
        <f t="shared" si="1"/>
        <v>Normal</v>
      </c>
      <c r="W49" t="str">
        <f t="shared" si="2"/>
        <v>Normal</v>
      </c>
    </row>
    <row r="50" spans="1:23" x14ac:dyDescent="0.3">
      <c r="A50">
        <v>11051</v>
      </c>
      <c r="B50" s="2">
        <v>46018</v>
      </c>
      <c r="C50" t="s">
        <v>31</v>
      </c>
      <c r="D50" t="s">
        <v>59</v>
      </c>
      <c r="E50" t="s">
        <v>40</v>
      </c>
      <c r="F50" t="s">
        <v>81</v>
      </c>
      <c r="G50" t="s">
        <v>60</v>
      </c>
      <c r="H50" t="s">
        <v>172</v>
      </c>
      <c r="I50" t="s">
        <v>204</v>
      </c>
      <c r="J50">
        <v>1431</v>
      </c>
      <c r="K50">
        <v>41</v>
      </c>
      <c r="L50" t="s">
        <v>68</v>
      </c>
      <c r="M50">
        <v>25</v>
      </c>
      <c r="N50">
        <v>44.1</v>
      </c>
      <c r="O50">
        <v>86.5</v>
      </c>
      <c r="P50">
        <v>5.0999999999999996</v>
      </c>
      <c r="Q50">
        <v>2.6</v>
      </c>
      <c r="R50" t="s">
        <v>153</v>
      </c>
      <c r="S50" t="s">
        <v>73</v>
      </c>
      <c r="T50" t="s">
        <v>30</v>
      </c>
      <c r="U50" t="str">
        <f t="shared" si="0"/>
        <v>Normal</v>
      </c>
      <c r="V50" t="str">
        <f t="shared" si="1"/>
        <v>Normal</v>
      </c>
      <c r="W50" t="str">
        <f t="shared" si="2"/>
        <v>Normal</v>
      </c>
    </row>
    <row r="51" spans="1:23" x14ac:dyDescent="0.3">
      <c r="A51">
        <v>10481</v>
      </c>
      <c r="B51" s="2">
        <v>45706</v>
      </c>
      <c r="C51" t="s">
        <v>20</v>
      </c>
      <c r="D51" t="s">
        <v>32</v>
      </c>
      <c r="E51" t="s">
        <v>33</v>
      </c>
      <c r="F51" t="s">
        <v>81</v>
      </c>
      <c r="G51" t="s">
        <v>60</v>
      </c>
      <c r="H51" t="s">
        <v>190</v>
      </c>
      <c r="I51" t="s">
        <v>372</v>
      </c>
      <c r="J51">
        <v>1391</v>
      </c>
      <c r="K51">
        <v>137</v>
      </c>
      <c r="L51" t="s">
        <v>71</v>
      </c>
      <c r="M51">
        <v>97</v>
      </c>
      <c r="N51">
        <v>35.799999999999997</v>
      </c>
      <c r="O51">
        <v>86.4</v>
      </c>
      <c r="P51">
        <v>4.67</v>
      </c>
      <c r="Q51">
        <v>3.84</v>
      </c>
      <c r="R51" t="s">
        <v>80</v>
      </c>
      <c r="S51" t="s">
        <v>47</v>
      </c>
      <c r="T51" t="s">
        <v>48</v>
      </c>
      <c r="U51" t="str">
        <f t="shared" si="0"/>
        <v>Normal</v>
      </c>
      <c r="V51" t="str">
        <f t="shared" si="1"/>
        <v>Normal</v>
      </c>
      <c r="W51" t="str">
        <f t="shared" si="2"/>
        <v>Normal</v>
      </c>
    </row>
    <row r="52" spans="1:23" x14ac:dyDescent="0.3">
      <c r="A52">
        <v>10461</v>
      </c>
      <c r="B52" s="2">
        <v>45983</v>
      </c>
      <c r="C52" t="s">
        <v>20</v>
      </c>
      <c r="D52" t="s">
        <v>59</v>
      </c>
      <c r="E52" t="s">
        <v>22</v>
      </c>
      <c r="F52" t="s">
        <v>23</v>
      </c>
      <c r="G52" t="s">
        <v>60</v>
      </c>
      <c r="H52" t="s">
        <v>35</v>
      </c>
      <c r="I52" t="s">
        <v>110</v>
      </c>
      <c r="J52">
        <v>1081</v>
      </c>
      <c r="K52">
        <v>6</v>
      </c>
      <c r="L52" t="s">
        <v>68</v>
      </c>
      <c r="M52">
        <v>161</v>
      </c>
      <c r="N52">
        <v>46.5</v>
      </c>
      <c r="O52">
        <v>86.4</v>
      </c>
      <c r="P52">
        <v>6.33</v>
      </c>
      <c r="Q52">
        <v>2.2599999999999998</v>
      </c>
      <c r="R52" t="s">
        <v>245</v>
      </c>
      <c r="S52" t="s">
        <v>47</v>
      </c>
      <c r="T52" t="s">
        <v>30</v>
      </c>
      <c r="U52" t="str">
        <f t="shared" si="0"/>
        <v>Normal</v>
      </c>
      <c r="V52" t="str">
        <f t="shared" si="1"/>
        <v>Normal</v>
      </c>
      <c r="W52" t="str">
        <f t="shared" si="2"/>
        <v>Normal</v>
      </c>
    </row>
    <row r="53" spans="1:23" x14ac:dyDescent="0.3">
      <c r="A53">
        <v>10715</v>
      </c>
      <c r="B53" s="2">
        <v>45762</v>
      </c>
      <c r="C53" t="s">
        <v>31</v>
      </c>
      <c r="D53" t="s">
        <v>59</v>
      </c>
      <c r="E53" t="s">
        <v>107</v>
      </c>
      <c r="F53" t="s">
        <v>41</v>
      </c>
      <c r="G53" t="s">
        <v>134</v>
      </c>
      <c r="H53" t="s">
        <v>223</v>
      </c>
      <c r="I53" t="s">
        <v>219</v>
      </c>
      <c r="J53">
        <v>1156</v>
      </c>
      <c r="K53">
        <v>4</v>
      </c>
      <c r="L53" t="s">
        <v>71</v>
      </c>
      <c r="M53">
        <v>159</v>
      </c>
      <c r="N53">
        <v>48.2</v>
      </c>
      <c r="O53">
        <v>86.3</v>
      </c>
      <c r="P53">
        <v>4.1100000000000003</v>
      </c>
      <c r="Q53">
        <v>2.74</v>
      </c>
      <c r="R53" t="s">
        <v>245</v>
      </c>
      <c r="S53" t="s">
        <v>29</v>
      </c>
      <c r="T53" t="s">
        <v>30</v>
      </c>
      <c r="U53" t="str">
        <f t="shared" si="0"/>
        <v>Normal</v>
      </c>
      <c r="V53" t="str">
        <f t="shared" si="1"/>
        <v>Normal</v>
      </c>
      <c r="W53" t="str">
        <f t="shared" si="2"/>
        <v>Normal</v>
      </c>
    </row>
    <row r="54" spans="1:23" x14ac:dyDescent="0.3">
      <c r="A54">
        <v>10534</v>
      </c>
      <c r="B54" s="2">
        <v>45705</v>
      </c>
      <c r="C54" t="s">
        <v>31</v>
      </c>
      <c r="D54" t="s">
        <v>59</v>
      </c>
      <c r="E54" t="s">
        <v>40</v>
      </c>
      <c r="F54" t="s">
        <v>81</v>
      </c>
      <c r="G54" t="s">
        <v>113</v>
      </c>
      <c r="H54" t="s">
        <v>278</v>
      </c>
      <c r="I54" t="s">
        <v>358</v>
      </c>
      <c r="J54">
        <v>527</v>
      </c>
      <c r="K54">
        <v>5</v>
      </c>
      <c r="L54" t="s">
        <v>27</v>
      </c>
      <c r="M54">
        <v>33</v>
      </c>
      <c r="N54">
        <v>43.7</v>
      </c>
      <c r="O54">
        <v>86.3</v>
      </c>
      <c r="P54">
        <v>3.9</v>
      </c>
      <c r="Q54">
        <v>1.75</v>
      </c>
      <c r="R54" t="s">
        <v>133</v>
      </c>
      <c r="S54" t="s">
        <v>39</v>
      </c>
      <c r="T54" t="s">
        <v>30</v>
      </c>
      <c r="U54" t="str">
        <f t="shared" si="0"/>
        <v>Normal</v>
      </c>
      <c r="V54" t="str">
        <f t="shared" si="1"/>
        <v>Normal</v>
      </c>
      <c r="W54" t="str">
        <f t="shared" si="2"/>
        <v>Normal</v>
      </c>
    </row>
    <row r="55" spans="1:23" x14ac:dyDescent="0.3">
      <c r="A55">
        <v>10015</v>
      </c>
      <c r="B55" s="2">
        <v>45937</v>
      </c>
      <c r="C55" t="s">
        <v>49</v>
      </c>
      <c r="D55" t="s">
        <v>21</v>
      </c>
      <c r="E55" t="s">
        <v>40</v>
      </c>
      <c r="F55" t="s">
        <v>81</v>
      </c>
      <c r="G55" t="s">
        <v>42</v>
      </c>
      <c r="H55" t="s">
        <v>287</v>
      </c>
      <c r="I55" t="s">
        <v>270</v>
      </c>
      <c r="J55">
        <v>577</v>
      </c>
      <c r="K55">
        <v>14</v>
      </c>
      <c r="L55" t="s">
        <v>57</v>
      </c>
      <c r="M55">
        <v>21</v>
      </c>
      <c r="N55">
        <v>45.1</v>
      </c>
      <c r="O55">
        <v>86.2</v>
      </c>
      <c r="P55">
        <v>4.67</v>
      </c>
      <c r="Q55">
        <v>0.94</v>
      </c>
      <c r="R55" t="s">
        <v>183</v>
      </c>
      <c r="S55" t="s">
        <v>73</v>
      </c>
      <c r="T55" t="s">
        <v>30</v>
      </c>
      <c r="U55" t="str">
        <f t="shared" si="0"/>
        <v>Normal</v>
      </c>
      <c r="V55" t="str">
        <f t="shared" si="1"/>
        <v>Normal</v>
      </c>
      <c r="W55" t="str">
        <f t="shared" si="2"/>
        <v>Normal</v>
      </c>
    </row>
    <row r="56" spans="1:23" x14ac:dyDescent="0.3">
      <c r="A56">
        <v>10091</v>
      </c>
      <c r="B56" s="2">
        <v>45715</v>
      </c>
      <c r="C56" t="s">
        <v>31</v>
      </c>
      <c r="D56" t="s">
        <v>59</v>
      </c>
      <c r="E56" t="s">
        <v>33</v>
      </c>
      <c r="F56" t="s">
        <v>23</v>
      </c>
      <c r="G56" t="s">
        <v>54</v>
      </c>
      <c r="H56" t="s">
        <v>252</v>
      </c>
      <c r="I56" t="s">
        <v>239</v>
      </c>
      <c r="J56">
        <v>609</v>
      </c>
      <c r="K56">
        <v>5</v>
      </c>
      <c r="L56" t="s">
        <v>27</v>
      </c>
      <c r="M56">
        <v>39</v>
      </c>
      <c r="N56">
        <v>40.200000000000003</v>
      </c>
      <c r="O56">
        <v>85.8</v>
      </c>
      <c r="P56">
        <v>5.2</v>
      </c>
      <c r="Q56">
        <v>2.0499999999999998</v>
      </c>
      <c r="R56" t="s">
        <v>77</v>
      </c>
      <c r="S56" t="s">
        <v>73</v>
      </c>
      <c r="T56" t="s">
        <v>30</v>
      </c>
      <c r="U56" t="str">
        <f t="shared" si="0"/>
        <v>Normal</v>
      </c>
      <c r="V56" t="str">
        <f t="shared" si="1"/>
        <v>Normal</v>
      </c>
      <c r="W56" t="str">
        <f t="shared" si="2"/>
        <v>Normal</v>
      </c>
    </row>
    <row r="57" spans="1:23" x14ac:dyDescent="0.3">
      <c r="A57">
        <v>10726</v>
      </c>
      <c r="B57" s="2">
        <v>45681</v>
      </c>
      <c r="C57" t="s">
        <v>20</v>
      </c>
      <c r="D57" t="s">
        <v>64</v>
      </c>
      <c r="E57" t="s">
        <v>33</v>
      </c>
      <c r="F57" t="s">
        <v>81</v>
      </c>
      <c r="G57" t="s">
        <v>54</v>
      </c>
      <c r="H57" t="s">
        <v>138</v>
      </c>
      <c r="I57" t="s">
        <v>168</v>
      </c>
      <c r="J57">
        <v>1496</v>
      </c>
      <c r="K57">
        <v>15</v>
      </c>
      <c r="L57" t="s">
        <v>68</v>
      </c>
      <c r="M57">
        <v>160</v>
      </c>
      <c r="N57">
        <v>45.2</v>
      </c>
      <c r="O57">
        <v>85.8</v>
      </c>
      <c r="P57">
        <v>4.4000000000000004</v>
      </c>
      <c r="Q57">
        <v>1.71</v>
      </c>
      <c r="R57" t="s">
        <v>229</v>
      </c>
      <c r="S57" t="s">
        <v>47</v>
      </c>
      <c r="T57" t="s">
        <v>30</v>
      </c>
      <c r="U57" t="str">
        <f t="shared" si="0"/>
        <v>Normal</v>
      </c>
      <c r="V57" t="str">
        <f t="shared" si="1"/>
        <v>Normal</v>
      </c>
      <c r="W57" t="str">
        <f t="shared" si="2"/>
        <v>Normal</v>
      </c>
    </row>
    <row r="58" spans="1:23" x14ac:dyDescent="0.3">
      <c r="A58">
        <v>11453</v>
      </c>
      <c r="B58" s="2">
        <v>45779</v>
      </c>
      <c r="C58" t="s">
        <v>49</v>
      </c>
      <c r="D58" t="s">
        <v>59</v>
      </c>
      <c r="E58" t="s">
        <v>40</v>
      </c>
      <c r="F58" t="s">
        <v>81</v>
      </c>
      <c r="G58" t="s">
        <v>34</v>
      </c>
      <c r="H58" t="s">
        <v>252</v>
      </c>
      <c r="I58" t="s">
        <v>303</v>
      </c>
      <c r="J58">
        <v>1149</v>
      </c>
      <c r="K58">
        <v>31</v>
      </c>
      <c r="L58" t="s">
        <v>71</v>
      </c>
      <c r="M58">
        <v>50</v>
      </c>
      <c r="N58">
        <v>41.4</v>
      </c>
      <c r="O58">
        <v>85.7</v>
      </c>
      <c r="P58">
        <v>5.37</v>
      </c>
      <c r="Q58">
        <v>2.38</v>
      </c>
      <c r="R58" t="s">
        <v>242</v>
      </c>
      <c r="S58" t="s">
        <v>39</v>
      </c>
      <c r="T58" t="s">
        <v>30</v>
      </c>
      <c r="U58" t="str">
        <f t="shared" si="0"/>
        <v>Normal</v>
      </c>
      <c r="V58" t="str">
        <f t="shared" si="1"/>
        <v>Normal</v>
      </c>
      <c r="W58" t="str">
        <f t="shared" si="2"/>
        <v>Normal</v>
      </c>
    </row>
    <row r="59" spans="1:23" x14ac:dyDescent="0.3">
      <c r="A59">
        <v>11358</v>
      </c>
      <c r="B59" s="2">
        <v>45882</v>
      </c>
      <c r="C59" t="s">
        <v>49</v>
      </c>
      <c r="D59" t="s">
        <v>32</v>
      </c>
      <c r="E59" t="s">
        <v>33</v>
      </c>
      <c r="F59" t="s">
        <v>23</v>
      </c>
      <c r="G59" t="s">
        <v>54</v>
      </c>
      <c r="H59" t="s">
        <v>180</v>
      </c>
      <c r="I59" t="s">
        <v>241</v>
      </c>
      <c r="J59">
        <v>778</v>
      </c>
      <c r="K59">
        <v>4</v>
      </c>
      <c r="L59" t="s">
        <v>71</v>
      </c>
      <c r="M59">
        <v>153</v>
      </c>
      <c r="N59">
        <v>40.6</v>
      </c>
      <c r="O59">
        <v>85.7</v>
      </c>
      <c r="P59">
        <v>4.51</v>
      </c>
      <c r="Q59">
        <v>3.07</v>
      </c>
      <c r="R59" t="s">
        <v>130</v>
      </c>
      <c r="S59" t="s">
        <v>39</v>
      </c>
      <c r="T59" t="s">
        <v>30</v>
      </c>
      <c r="U59" t="str">
        <f t="shared" si="0"/>
        <v>Normal</v>
      </c>
      <c r="V59" t="str">
        <f t="shared" si="1"/>
        <v>Normal</v>
      </c>
      <c r="W59" t="str">
        <f t="shared" si="2"/>
        <v>Normal</v>
      </c>
    </row>
    <row r="60" spans="1:23" x14ac:dyDescent="0.3">
      <c r="A60">
        <v>10126</v>
      </c>
      <c r="B60" s="2">
        <v>45922</v>
      </c>
      <c r="C60" t="s">
        <v>20</v>
      </c>
      <c r="D60" t="s">
        <v>21</v>
      </c>
      <c r="E60" t="s">
        <v>107</v>
      </c>
      <c r="F60" t="s">
        <v>23</v>
      </c>
      <c r="G60" t="s">
        <v>113</v>
      </c>
      <c r="H60" t="s">
        <v>61</v>
      </c>
      <c r="I60" t="s">
        <v>204</v>
      </c>
      <c r="J60">
        <v>1461</v>
      </c>
      <c r="K60">
        <v>5</v>
      </c>
      <c r="L60" t="s">
        <v>57</v>
      </c>
      <c r="M60">
        <v>82</v>
      </c>
      <c r="N60">
        <v>48.7</v>
      </c>
      <c r="O60">
        <v>85.7</v>
      </c>
      <c r="P60">
        <v>5.12</v>
      </c>
      <c r="Q60">
        <v>2.61</v>
      </c>
      <c r="R60" t="s">
        <v>240</v>
      </c>
      <c r="S60" t="s">
        <v>47</v>
      </c>
      <c r="T60" t="s">
        <v>30</v>
      </c>
      <c r="U60" t="str">
        <f t="shared" si="0"/>
        <v>Normal</v>
      </c>
      <c r="V60" t="str">
        <f t="shared" si="1"/>
        <v>Normal</v>
      </c>
      <c r="W60" t="str">
        <f t="shared" si="2"/>
        <v>Normal</v>
      </c>
    </row>
    <row r="61" spans="1:23" x14ac:dyDescent="0.3">
      <c r="A61">
        <v>11020</v>
      </c>
      <c r="B61" s="2">
        <v>45723</v>
      </c>
      <c r="C61" t="s">
        <v>49</v>
      </c>
      <c r="D61" t="s">
        <v>32</v>
      </c>
      <c r="E61" t="s">
        <v>33</v>
      </c>
      <c r="F61" t="s">
        <v>41</v>
      </c>
      <c r="G61" t="s">
        <v>109</v>
      </c>
      <c r="H61" t="s">
        <v>424</v>
      </c>
      <c r="I61" t="s">
        <v>231</v>
      </c>
      <c r="J61">
        <v>1558</v>
      </c>
      <c r="K61">
        <v>13</v>
      </c>
      <c r="L61" t="s">
        <v>68</v>
      </c>
      <c r="M61">
        <v>163</v>
      </c>
      <c r="N61">
        <v>37.4</v>
      </c>
      <c r="O61">
        <v>85.7</v>
      </c>
      <c r="P61">
        <v>5.86</v>
      </c>
      <c r="Q61">
        <v>3.75</v>
      </c>
      <c r="R61" t="s">
        <v>209</v>
      </c>
      <c r="S61" t="s">
        <v>73</v>
      </c>
      <c r="T61" t="s">
        <v>30</v>
      </c>
      <c r="U61" t="str">
        <f t="shared" si="0"/>
        <v>Normal</v>
      </c>
      <c r="V61" t="str">
        <f t="shared" si="1"/>
        <v>Normal</v>
      </c>
      <c r="W61" t="str">
        <f t="shared" si="2"/>
        <v>Normal</v>
      </c>
    </row>
    <row r="62" spans="1:23" x14ac:dyDescent="0.3">
      <c r="A62">
        <v>10465</v>
      </c>
      <c r="B62" s="2">
        <v>45984</v>
      </c>
      <c r="C62" t="s">
        <v>49</v>
      </c>
      <c r="D62" t="s">
        <v>59</v>
      </c>
      <c r="E62" t="s">
        <v>33</v>
      </c>
      <c r="F62" t="s">
        <v>41</v>
      </c>
      <c r="G62" t="s">
        <v>60</v>
      </c>
      <c r="H62" t="s">
        <v>148</v>
      </c>
      <c r="I62" t="s">
        <v>149</v>
      </c>
      <c r="J62">
        <v>1069</v>
      </c>
      <c r="K62">
        <v>7</v>
      </c>
      <c r="L62" t="s">
        <v>45</v>
      </c>
      <c r="M62">
        <v>104</v>
      </c>
      <c r="N62">
        <v>42.5</v>
      </c>
      <c r="O62">
        <v>85.6</v>
      </c>
      <c r="P62">
        <v>3.71</v>
      </c>
      <c r="Q62">
        <v>1.25</v>
      </c>
      <c r="R62" t="s">
        <v>111</v>
      </c>
      <c r="S62" t="s">
        <v>29</v>
      </c>
      <c r="T62" t="s">
        <v>30</v>
      </c>
      <c r="U62" t="str">
        <f t="shared" si="0"/>
        <v>Normal</v>
      </c>
      <c r="V62" t="str">
        <f t="shared" si="1"/>
        <v>Normal</v>
      </c>
      <c r="W62" t="str">
        <f t="shared" si="2"/>
        <v>Normal</v>
      </c>
    </row>
    <row r="63" spans="1:23" x14ac:dyDescent="0.3">
      <c r="A63">
        <v>11292</v>
      </c>
      <c r="B63" s="2">
        <v>45775</v>
      </c>
      <c r="C63" t="s">
        <v>49</v>
      </c>
      <c r="D63" t="s">
        <v>32</v>
      </c>
      <c r="E63" t="s">
        <v>107</v>
      </c>
      <c r="F63" t="s">
        <v>41</v>
      </c>
      <c r="G63" t="s">
        <v>54</v>
      </c>
      <c r="H63" t="s">
        <v>196</v>
      </c>
      <c r="I63" t="s">
        <v>151</v>
      </c>
      <c r="J63">
        <v>1399</v>
      </c>
      <c r="K63">
        <v>19</v>
      </c>
      <c r="L63" t="s">
        <v>37</v>
      </c>
      <c r="M63">
        <v>134</v>
      </c>
      <c r="N63">
        <v>43</v>
      </c>
      <c r="O63">
        <v>85.5</v>
      </c>
      <c r="P63">
        <v>4.6100000000000003</v>
      </c>
      <c r="Q63">
        <v>1.74</v>
      </c>
      <c r="R63" t="s">
        <v>125</v>
      </c>
      <c r="S63" t="s">
        <v>73</v>
      </c>
      <c r="T63" t="s">
        <v>30</v>
      </c>
      <c r="U63" t="str">
        <f t="shared" si="0"/>
        <v>Normal</v>
      </c>
      <c r="V63" t="str">
        <f t="shared" si="1"/>
        <v>Normal</v>
      </c>
      <c r="W63" t="str">
        <f t="shared" si="2"/>
        <v>Normal</v>
      </c>
    </row>
    <row r="64" spans="1:23" x14ac:dyDescent="0.3">
      <c r="A64">
        <v>10676</v>
      </c>
      <c r="B64" s="2">
        <v>46010</v>
      </c>
      <c r="C64" t="s">
        <v>49</v>
      </c>
      <c r="D64" t="s">
        <v>32</v>
      </c>
      <c r="E64" t="s">
        <v>33</v>
      </c>
      <c r="F64" t="s">
        <v>41</v>
      </c>
      <c r="G64" t="s">
        <v>74</v>
      </c>
      <c r="H64" t="s">
        <v>131</v>
      </c>
      <c r="I64" t="s">
        <v>219</v>
      </c>
      <c r="J64">
        <v>1320</v>
      </c>
      <c r="K64">
        <v>18</v>
      </c>
      <c r="L64" t="s">
        <v>68</v>
      </c>
      <c r="M64">
        <v>77</v>
      </c>
      <c r="N64">
        <v>35.4</v>
      </c>
      <c r="O64">
        <v>85.3</v>
      </c>
      <c r="P64">
        <v>6.8</v>
      </c>
      <c r="Q64">
        <v>3.79</v>
      </c>
      <c r="R64" t="s">
        <v>92</v>
      </c>
      <c r="S64" t="s">
        <v>29</v>
      </c>
      <c r="T64" t="s">
        <v>30</v>
      </c>
      <c r="U64" t="str">
        <f t="shared" si="0"/>
        <v>Normal</v>
      </c>
      <c r="V64" t="str">
        <f t="shared" si="1"/>
        <v>Normal</v>
      </c>
      <c r="W64" t="str">
        <f t="shared" si="2"/>
        <v>Normal</v>
      </c>
    </row>
    <row r="65" spans="1:23" x14ac:dyDescent="0.3">
      <c r="A65">
        <v>10280</v>
      </c>
      <c r="B65" s="2">
        <v>45993</v>
      </c>
      <c r="C65" t="s">
        <v>31</v>
      </c>
      <c r="D65" t="s">
        <v>64</v>
      </c>
      <c r="E65" t="s">
        <v>33</v>
      </c>
      <c r="F65" t="s">
        <v>41</v>
      </c>
      <c r="G65" t="s">
        <v>60</v>
      </c>
      <c r="H65" t="s">
        <v>82</v>
      </c>
      <c r="I65" t="s">
        <v>326</v>
      </c>
      <c r="J65">
        <v>1591</v>
      </c>
      <c r="K65">
        <v>17</v>
      </c>
      <c r="L65" t="s">
        <v>68</v>
      </c>
      <c r="M65">
        <v>165</v>
      </c>
      <c r="N65">
        <v>41.2</v>
      </c>
      <c r="O65">
        <v>85.3</v>
      </c>
      <c r="P65">
        <v>4.49</v>
      </c>
      <c r="Q65">
        <v>0.05</v>
      </c>
      <c r="R65" t="s">
        <v>28</v>
      </c>
      <c r="S65" t="s">
        <v>29</v>
      </c>
      <c r="T65" t="s">
        <v>30</v>
      </c>
      <c r="U65" t="str">
        <f t="shared" si="0"/>
        <v>Normal</v>
      </c>
      <c r="V65" t="str">
        <f t="shared" si="1"/>
        <v>Normal</v>
      </c>
      <c r="W65" t="str">
        <f t="shared" si="2"/>
        <v>Normal</v>
      </c>
    </row>
    <row r="66" spans="1:23" x14ac:dyDescent="0.3">
      <c r="A66">
        <v>11156</v>
      </c>
      <c r="B66" s="2">
        <v>45659</v>
      </c>
      <c r="C66" t="s">
        <v>49</v>
      </c>
      <c r="D66" t="s">
        <v>59</v>
      </c>
      <c r="E66" t="s">
        <v>22</v>
      </c>
      <c r="F66" t="s">
        <v>41</v>
      </c>
      <c r="G66" t="s">
        <v>134</v>
      </c>
      <c r="H66" t="s">
        <v>90</v>
      </c>
      <c r="I66" t="s">
        <v>334</v>
      </c>
      <c r="J66">
        <v>1073</v>
      </c>
      <c r="K66">
        <v>16</v>
      </c>
      <c r="L66" t="s">
        <v>45</v>
      </c>
      <c r="M66">
        <v>97</v>
      </c>
      <c r="N66">
        <v>36.1</v>
      </c>
      <c r="O66">
        <v>85.1</v>
      </c>
      <c r="P66">
        <v>6.48</v>
      </c>
      <c r="Q66">
        <v>2.88</v>
      </c>
      <c r="R66" t="s">
        <v>140</v>
      </c>
      <c r="S66" t="s">
        <v>29</v>
      </c>
      <c r="T66" t="s">
        <v>30</v>
      </c>
      <c r="U66" t="str">
        <f t="shared" ref="U66:U129" si="3">IF(OR(O66&lt;20,O66&gt;100),"Investigate","Normal")</f>
        <v>Normal</v>
      </c>
      <c r="V66" t="str">
        <f t="shared" ref="V66:V129" si="4">IF(OR(P66&lt;2,P66&gt;10),"Investigate","Normal")</f>
        <v>Normal</v>
      </c>
      <c r="W66" t="str">
        <f t="shared" ref="W66:W129" si="5">IF(Q66&gt;10,"Investigate","Normal")</f>
        <v>Normal</v>
      </c>
    </row>
    <row r="67" spans="1:23" x14ac:dyDescent="0.3">
      <c r="A67">
        <v>11168</v>
      </c>
      <c r="B67" s="2">
        <v>45842</v>
      </c>
      <c r="C67" t="s">
        <v>31</v>
      </c>
      <c r="D67" t="s">
        <v>32</v>
      </c>
      <c r="E67" t="s">
        <v>107</v>
      </c>
      <c r="F67" t="s">
        <v>41</v>
      </c>
      <c r="G67" t="s">
        <v>74</v>
      </c>
      <c r="H67" t="s">
        <v>88</v>
      </c>
      <c r="I67" t="s">
        <v>347</v>
      </c>
      <c r="J67">
        <v>570</v>
      </c>
      <c r="K67">
        <v>20</v>
      </c>
      <c r="L67" t="s">
        <v>27</v>
      </c>
      <c r="M67">
        <v>26</v>
      </c>
      <c r="N67">
        <v>48.3</v>
      </c>
      <c r="O67">
        <v>85</v>
      </c>
      <c r="P67">
        <v>5.99</v>
      </c>
      <c r="Q67">
        <v>2.87</v>
      </c>
      <c r="R67" t="s">
        <v>122</v>
      </c>
      <c r="S67" t="s">
        <v>29</v>
      </c>
      <c r="T67" t="s">
        <v>48</v>
      </c>
      <c r="U67" t="str">
        <f t="shared" si="3"/>
        <v>Normal</v>
      </c>
      <c r="V67" t="str">
        <f t="shared" si="4"/>
        <v>Normal</v>
      </c>
      <c r="W67" t="str">
        <f t="shared" si="5"/>
        <v>Normal</v>
      </c>
    </row>
    <row r="68" spans="1:23" x14ac:dyDescent="0.3">
      <c r="A68">
        <v>10061</v>
      </c>
      <c r="B68" s="2">
        <v>45719</v>
      </c>
      <c r="C68" t="s">
        <v>20</v>
      </c>
      <c r="D68" t="s">
        <v>59</v>
      </c>
      <c r="E68" t="s">
        <v>22</v>
      </c>
      <c r="F68" t="s">
        <v>41</v>
      </c>
      <c r="G68" t="s">
        <v>34</v>
      </c>
      <c r="H68" t="s">
        <v>123</v>
      </c>
      <c r="I68" t="s">
        <v>244</v>
      </c>
      <c r="J68">
        <v>510</v>
      </c>
      <c r="K68">
        <v>15</v>
      </c>
      <c r="L68" t="s">
        <v>71</v>
      </c>
      <c r="M68">
        <v>97</v>
      </c>
      <c r="N68">
        <v>50.2</v>
      </c>
      <c r="O68">
        <v>85</v>
      </c>
      <c r="P68">
        <v>3.94</v>
      </c>
      <c r="Q68">
        <v>2.88</v>
      </c>
      <c r="R68" t="s">
        <v>147</v>
      </c>
      <c r="S68" t="s">
        <v>73</v>
      </c>
      <c r="T68" t="s">
        <v>30</v>
      </c>
      <c r="U68" t="str">
        <f t="shared" si="3"/>
        <v>Normal</v>
      </c>
      <c r="V68" t="str">
        <f t="shared" si="4"/>
        <v>Normal</v>
      </c>
      <c r="W68" t="str">
        <f t="shared" si="5"/>
        <v>Normal</v>
      </c>
    </row>
    <row r="69" spans="1:23" x14ac:dyDescent="0.3">
      <c r="A69">
        <v>11328</v>
      </c>
      <c r="B69" s="2">
        <v>45872</v>
      </c>
      <c r="C69" t="s">
        <v>20</v>
      </c>
      <c r="D69" t="s">
        <v>59</v>
      </c>
      <c r="E69" t="s">
        <v>22</v>
      </c>
      <c r="F69" t="s">
        <v>81</v>
      </c>
      <c r="G69" t="s">
        <v>113</v>
      </c>
      <c r="H69" t="s">
        <v>123</v>
      </c>
      <c r="I69" t="s">
        <v>91</v>
      </c>
      <c r="J69">
        <v>568</v>
      </c>
      <c r="K69">
        <v>8</v>
      </c>
      <c r="L69" t="s">
        <v>37</v>
      </c>
      <c r="M69">
        <v>164</v>
      </c>
      <c r="N69">
        <v>37.200000000000003</v>
      </c>
      <c r="O69">
        <v>85</v>
      </c>
      <c r="P69">
        <v>6.57</v>
      </c>
      <c r="Q69">
        <v>1.79</v>
      </c>
      <c r="R69" t="s">
        <v>125</v>
      </c>
      <c r="S69" t="s">
        <v>47</v>
      </c>
      <c r="T69" t="s">
        <v>30</v>
      </c>
      <c r="U69" t="str">
        <f t="shared" si="3"/>
        <v>Normal</v>
      </c>
      <c r="V69" t="str">
        <f t="shared" si="4"/>
        <v>Normal</v>
      </c>
      <c r="W69" t="str">
        <f t="shared" si="5"/>
        <v>Normal</v>
      </c>
    </row>
    <row r="70" spans="1:23" x14ac:dyDescent="0.3">
      <c r="A70">
        <v>10370</v>
      </c>
      <c r="B70" s="2">
        <v>45999</v>
      </c>
      <c r="C70" t="s">
        <v>20</v>
      </c>
      <c r="D70" t="s">
        <v>21</v>
      </c>
      <c r="E70" t="s">
        <v>107</v>
      </c>
      <c r="F70" t="s">
        <v>81</v>
      </c>
      <c r="G70" t="s">
        <v>109</v>
      </c>
      <c r="H70" t="s">
        <v>196</v>
      </c>
      <c r="I70" t="s">
        <v>110</v>
      </c>
      <c r="J70">
        <v>1054</v>
      </c>
      <c r="K70">
        <v>6</v>
      </c>
      <c r="L70" t="s">
        <v>37</v>
      </c>
      <c r="M70">
        <v>93</v>
      </c>
      <c r="N70">
        <v>44.3</v>
      </c>
      <c r="O70">
        <v>85</v>
      </c>
      <c r="P70">
        <v>4.1900000000000004</v>
      </c>
      <c r="Q70">
        <v>2.6</v>
      </c>
      <c r="R70" t="s">
        <v>245</v>
      </c>
      <c r="S70" t="s">
        <v>73</v>
      </c>
      <c r="T70" t="s">
        <v>30</v>
      </c>
      <c r="U70" t="str">
        <f t="shared" si="3"/>
        <v>Normal</v>
      </c>
      <c r="V70" t="str">
        <f t="shared" si="4"/>
        <v>Normal</v>
      </c>
      <c r="W70" t="str">
        <f t="shared" si="5"/>
        <v>Normal</v>
      </c>
    </row>
    <row r="71" spans="1:23" x14ac:dyDescent="0.3">
      <c r="A71">
        <v>11083</v>
      </c>
      <c r="B71" s="2">
        <v>45684</v>
      </c>
      <c r="C71" t="s">
        <v>20</v>
      </c>
      <c r="D71" t="s">
        <v>64</v>
      </c>
      <c r="E71" t="s">
        <v>40</v>
      </c>
      <c r="F71" t="s">
        <v>41</v>
      </c>
      <c r="G71" t="s">
        <v>113</v>
      </c>
      <c r="H71" t="s">
        <v>101</v>
      </c>
      <c r="I71" t="s">
        <v>299</v>
      </c>
      <c r="J71">
        <v>732</v>
      </c>
      <c r="K71">
        <v>9</v>
      </c>
      <c r="L71" t="s">
        <v>71</v>
      </c>
      <c r="M71">
        <v>37</v>
      </c>
      <c r="N71">
        <v>36.1</v>
      </c>
      <c r="O71">
        <v>85</v>
      </c>
      <c r="P71">
        <v>3.91</v>
      </c>
      <c r="Q71">
        <v>2.1</v>
      </c>
      <c r="R71" t="s">
        <v>267</v>
      </c>
      <c r="S71" t="s">
        <v>73</v>
      </c>
      <c r="T71" t="s">
        <v>30</v>
      </c>
      <c r="U71" t="str">
        <f t="shared" si="3"/>
        <v>Normal</v>
      </c>
      <c r="V71" t="str">
        <f t="shared" si="4"/>
        <v>Normal</v>
      </c>
      <c r="W71" t="str">
        <f t="shared" si="5"/>
        <v>Normal</v>
      </c>
    </row>
    <row r="72" spans="1:23" x14ac:dyDescent="0.3">
      <c r="A72">
        <v>10637</v>
      </c>
      <c r="B72" s="2">
        <v>45904</v>
      </c>
      <c r="C72" t="s">
        <v>49</v>
      </c>
      <c r="D72" t="s">
        <v>59</v>
      </c>
      <c r="E72" t="s">
        <v>107</v>
      </c>
      <c r="F72" t="s">
        <v>41</v>
      </c>
      <c r="G72" t="s">
        <v>74</v>
      </c>
      <c r="H72" t="s">
        <v>263</v>
      </c>
      <c r="I72" t="s">
        <v>343</v>
      </c>
      <c r="J72">
        <v>893</v>
      </c>
      <c r="K72">
        <v>3</v>
      </c>
      <c r="L72" t="s">
        <v>37</v>
      </c>
      <c r="M72">
        <v>103</v>
      </c>
      <c r="N72">
        <v>38.1</v>
      </c>
      <c r="O72">
        <v>84.8</v>
      </c>
      <c r="P72">
        <v>5.79</v>
      </c>
      <c r="Q72">
        <v>2.1</v>
      </c>
      <c r="R72" t="s">
        <v>103</v>
      </c>
      <c r="S72" t="s">
        <v>47</v>
      </c>
      <c r="T72" t="s">
        <v>30</v>
      </c>
      <c r="U72" t="str">
        <f t="shared" si="3"/>
        <v>Normal</v>
      </c>
      <c r="V72" t="str">
        <f t="shared" si="4"/>
        <v>Normal</v>
      </c>
      <c r="W72" t="str">
        <f t="shared" si="5"/>
        <v>Normal</v>
      </c>
    </row>
    <row r="73" spans="1:23" x14ac:dyDescent="0.3">
      <c r="A73">
        <v>11471</v>
      </c>
      <c r="B73" s="2">
        <v>45706</v>
      </c>
      <c r="C73" t="s">
        <v>31</v>
      </c>
      <c r="D73" t="s">
        <v>21</v>
      </c>
      <c r="E73" t="s">
        <v>33</v>
      </c>
      <c r="F73" t="s">
        <v>23</v>
      </c>
      <c r="G73" t="s">
        <v>54</v>
      </c>
      <c r="H73" t="s">
        <v>66</v>
      </c>
      <c r="I73" t="s">
        <v>378</v>
      </c>
      <c r="J73">
        <v>827</v>
      </c>
      <c r="K73">
        <v>28</v>
      </c>
      <c r="L73" t="s">
        <v>57</v>
      </c>
      <c r="M73">
        <v>119</v>
      </c>
      <c r="N73">
        <v>39.6</v>
      </c>
      <c r="O73">
        <v>84.8</v>
      </c>
      <c r="P73">
        <v>4.5999999999999996</v>
      </c>
      <c r="Q73">
        <v>5.13</v>
      </c>
      <c r="R73" t="s">
        <v>202</v>
      </c>
      <c r="S73" t="s">
        <v>73</v>
      </c>
      <c r="T73" t="s">
        <v>48</v>
      </c>
      <c r="U73" t="str">
        <f t="shared" si="3"/>
        <v>Normal</v>
      </c>
      <c r="V73" t="str">
        <f t="shared" si="4"/>
        <v>Normal</v>
      </c>
      <c r="W73" t="str">
        <f t="shared" si="5"/>
        <v>Normal</v>
      </c>
    </row>
    <row r="74" spans="1:23" x14ac:dyDescent="0.3">
      <c r="A74">
        <v>11004</v>
      </c>
      <c r="B74" s="2">
        <v>45861</v>
      </c>
      <c r="C74" t="s">
        <v>31</v>
      </c>
      <c r="D74" t="s">
        <v>32</v>
      </c>
      <c r="E74" t="s">
        <v>107</v>
      </c>
      <c r="F74" t="s">
        <v>81</v>
      </c>
      <c r="G74" t="s">
        <v>109</v>
      </c>
      <c r="H74" t="s">
        <v>61</v>
      </c>
      <c r="I74" t="s">
        <v>158</v>
      </c>
      <c r="J74">
        <v>471</v>
      </c>
      <c r="K74">
        <v>4</v>
      </c>
      <c r="L74" t="s">
        <v>27</v>
      </c>
      <c r="M74">
        <v>80</v>
      </c>
      <c r="N74">
        <v>45.8</v>
      </c>
      <c r="O74">
        <v>84.8</v>
      </c>
      <c r="P74">
        <v>4.57</v>
      </c>
      <c r="Q74">
        <v>1.84</v>
      </c>
      <c r="R74" t="s">
        <v>159</v>
      </c>
      <c r="S74" t="s">
        <v>39</v>
      </c>
      <c r="T74" t="s">
        <v>30</v>
      </c>
      <c r="U74" t="str">
        <f t="shared" si="3"/>
        <v>Normal</v>
      </c>
      <c r="V74" t="str">
        <f t="shared" si="4"/>
        <v>Normal</v>
      </c>
      <c r="W74" t="str">
        <f t="shared" si="5"/>
        <v>Normal</v>
      </c>
    </row>
    <row r="75" spans="1:23" x14ac:dyDescent="0.3">
      <c r="A75">
        <v>10305</v>
      </c>
      <c r="B75" s="2">
        <v>45792</v>
      </c>
      <c r="C75" t="s">
        <v>20</v>
      </c>
      <c r="D75" t="s">
        <v>32</v>
      </c>
      <c r="E75" t="s">
        <v>107</v>
      </c>
      <c r="F75" t="s">
        <v>81</v>
      </c>
      <c r="G75" t="s">
        <v>54</v>
      </c>
      <c r="H75" t="s">
        <v>138</v>
      </c>
      <c r="I75" t="s">
        <v>327</v>
      </c>
      <c r="J75">
        <v>1265</v>
      </c>
      <c r="K75">
        <v>15</v>
      </c>
      <c r="L75" t="s">
        <v>45</v>
      </c>
      <c r="M75">
        <v>106</v>
      </c>
      <c r="N75">
        <v>42.6</v>
      </c>
      <c r="O75">
        <v>84.8</v>
      </c>
      <c r="P75">
        <v>5.3</v>
      </c>
      <c r="Q75">
        <v>14</v>
      </c>
      <c r="R75" t="s">
        <v>133</v>
      </c>
      <c r="S75" t="s">
        <v>29</v>
      </c>
      <c r="T75" t="s">
        <v>30</v>
      </c>
      <c r="U75" t="str">
        <f t="shared" si="3"/>
        <v>Normal</v>
      </c>
      <c r="V75" t="str">
        <f t="shared" si="4"/>
        <v>Normal</v>
      </c>
      <c r="W75" t="str">
        <f t="shared" si="5"/>
        <v>Investigate</v>
      </c>
    </row>
    <row r="76" spans="1:23" x14ac:dyDescent="0.3">
      <c r="A76">
        <v>11318</v>
      </c>
      <c r="B76" s="2">
        <v>45978</v>
      </c>
      <c r="C76" t="s">
        <v>20</v>
      </c>
      <c r="D76" t="s">
        <v>59</v>
      </c>
      <c r="E76" t="s">
        <v>33</v>
      </c>
      <c r="F76" t="s">
        <v>23</v>
      </c>
      <c r="G76" t="s">
        <v>74</v>
      </c>
      <c r="H76" t="s">
        <v>99</v>
      </c>
      <c r="I76" t="s">
        <v>374</v>
      </c>
      <c r="J76">
        <v>909</v>
      </c>
      <c r="K76">
        <v>3</v>
      </c>
      <c r="L76" t="s">
        <v>68</v>
      </c>
      <c r="M76">
        <v>151</v>
      </c>
      <c r="N76">
        <v>54.1</v>
      </c>
      <c r="O76">
        <v>84.6</v>
      </c>
      <c r="P76">
        <v>5.05</v>
      </c>
      <c r="Q76">
        <v>3.21</v>
      </c>
      <c r="R76" t="s">
        <v>72</v>
      </c>
      <c r="S76" t="s">
        <v>39</v>
      </c>
      <c r="T76" t="s">
        <v>30</v>
      </c>
      <c r="U76" t="str">
        <f t="shared" si="3"/>
        <v>Normal</v>
      </c>
      <c r="V76" t="str">
        <f t="shared" si="4"/>
        <v>Normal</v>
      </c>
      <c r="W76" t="str">
        <f t="shared" si="5"/>
        <v>Normal</v>
      </c>
    </row>
    <row r="77" spans="1:23" x14ac:dyDescent="0.3">
      <c r="A77">
        <v>10220</v>
      </c>
      <c r="B77" s="2">
        <v>45755</v>
      </c>
      <c r="C77" t="s">
        <v>31</v>
      </c>
      <c r="D77" t="s">
        <v>59</v>
      </c>
      <c r="E77" t="s">
        <v>22</v>
      </c>
      <c r="F77" t="s">
        <v>41</v>
      </c>
      <c r="G77" t="s">
        <v>74</v>
      </c>
      <c r="H77" t="s">
        <v>215</v>
      </c>
      <c r="I77" t="s">
        <v>279</v>
      </c>
      <c r="J77">
        <v>1247</v>
      </c>
      <c r="K77">
        <v>15</v>
      </c>
      <c r="L77" t="s">
        <v>68</v>
      </c>
      <c r="M77">
        <v>8</v>
      </c>
      <c r="N77">
        <v>42</v>
      </c>
      <c r="O77">
        <v>84.6</v>
      </c>
      <c r="P77">
        <v>3.95</v>
      </c>
      <c r="Q77">
        <v>2.34</v>
      </c>
      <c r="R77" t="s">
        <v>202</v>
      </c>
      <c r="S77" t="s">
        <v>73</v>
      </c>
      <c r="T77" t="s">
        <v>30</v>
      </c>
      <c r="U77" t="str">
        <f t="shared" si="3"/>
        <v>Normal</v>
      </c>
      <c r="V77" t="str">
        <f t="shared" si="4"/>
        <v>Normal</v>
      </c>
      <c r="W77" t="str">
        <f t="shared" si="5"/>
        <v>Normal</v>
      </c>
    </row>
    <row r="78" spans="1:23" x14ac:dyDescent="0.3">
      <c r="A78">
        <v>11387</v>
      </c>
      <c r="B78" s="2">
        <v>45851</v>
      </c>
      <c r="C78" t="s">
        <v>20</v>
      </c>
      <c r="D78" t="s">
        <v>21</v>
      </c>
      <c r="E78" t="s">
        <v>40</v>
      </c>
      <c r="F78" t="s">
        <v>41</v>
      </c>
      <c r="G78" t="s">
        <v>42</v>
      </c>
      <c r="H78" t="s">
        <v>43</v>
      </c>
      <c r="I78" t="s">
        <v>44</v>
      </c>
      <c r="J78">
        <v>1284</v>
      </c>
      <c r="K78">
        <v>49</v>
      </c>
      <c r="L78" t="s">
        <v>45</v>
      </c>
      <c r="M78">
        <v>7</v>
      </c>
      <c r="N78">
        <v>40.700000000000003</v>
      </c>
      <c r="O78">
        <v>84.5</v>
      </c>
      <c r="P78">
        <v>6.13</v>
      </c>
      <c r="Q78">
        <v>3.13</v>
      </c>
      <c r="R78" t="s">
        <v>46</v>
      </c>
      <c r="S78" t="s">
        <v>47</v>
      </c>
      <c r="T78" t="s">
        <v>48</v>
      </c>
      <c r="U78" t="str">
        <f t="shared" si="3"/>
        <v>Normal</v>
      </c>
      <c r="V78" t="str">
        <f t="shared" si="4"/>
        <v>Normal</v>
      </c>
      <c r="W78" t="str">
        <f t="shared" si="5"/>
        <v>Normal</v>
      </c>
    </row>
    <row r="79" spans="1:23" x14ac:dyDescent="0.3">
      <c r="A79">
        <v>11462</v>
      </c>
      <c r="B79" s="2">
        <v>45951</v>
      </c>
      <c r="C79" t="s">
        <v>31</v>
      </c>
      <c r="D79" t="s">
        <v>59</v>
      </c>
      <c r="E79" t="s">
        <v>40</v>
      </c>
      <c r="F79" t="s">
        <v>23</v>
      </c>
      <c r="G79" t="s">
        <v>54</v>
      </c>
      <c r="H79" t="s">
        <v>25</v>
      </c>
      <c r="I79" t="s">
        <v>344</v>
      </c>
      <c r="J79">
        <v>463</v>
      </c>
      <c r="K79">
        <v>1</v>
      </c>
      <c r="L79" t="s">
        <v>45</v>
      </c>
      <c r="M79">
        <v>133</v>
      </c>
      <c r="N79">
        <v>35.200000000000003</v>
      </c>
      <c r="O79">
        <v>84.5</v>
      </c>
      <c r="P79">
        <v>5.68</v>
      </c>
      <c r="Q79">
        <v>5.21</v>
      </c>
      <c r="R79" t="s">
        <v>72</v>
      </c>
      <c r="S79" t="s">
        <v>29</v>
      </c>
      <c r="T79" t="s">
        <v>30</v>
      </c>
      <c r="U79" t="str">
        <f t="shared" si="3"/>
        <v>Normal</v>
      </c>
      <c r="V79" t="str">
        <f t="shared" si="4"/>
        <v>Normal</v>
      </c>
      <c r="W79" t="str">
        <f t="shared" si="5"/>
        <v>Normal</v>
      </c>
    </row>
    <row r="80" spans="1:23" x14ac:dyDescent="0.3">
      <c r="A80">
        <v>11408</v>
      </c>
      <c r="B80" s="2">
        <v>45718</v>
      </c>
      <c r="C80" t="s">
        <v>20</v>
      </c>
      <c r="D80" t="s">
        <v>32</v>
      </c>
      <c r="E80" t="s">
        <v>40</v>
      </c>
      <c r="F80" t="s">
        <v>23</v>
      </c>
      <c r="G80" t="s">
        <v>34</v>
      </c>
      <c r="H80" t="s">
        <v>61</v>
      </c>
      <c r="I80" t="s">
        <v>297</v>
      </c>
      <c r="J80">
        <v>1487</v>
      </c>
      <c r="K80">
        <v>58</v>
      </c>
      <c r="L80" t="s">
        <v>68</v>
      </c>
      <c r="M80">
        <v>115</v>
      </c>
      <c r="N80">
        <v>44.7</v>
      </c>
      <c r="O80">
        <v>84.5</v>
      </c>
      <c r="P80">
        <v>5.66</v>
      </c>
      <c r="Q80">
        <v>16</v>
      </c>
      <c r="R80" t="s">
        <v>130</v>
      </c>
      <c r="S80" t="s">
        <v>39</v>
      </c>
      <c r="T80" t="s">
        <v>48</v>
      </c>
      <c r="U80" t="str">
        <f t="shared" si="3"/>
        <v>Normal</v>
      </c>
      <c r="V80" t="str">
        <f t="shared" si="4"/>
        <v>Normal</v>
      </c>
      <c r="W80" t="str">
        <f t="shared" si="5"/>
        <v>Investigate</v>
      </c>
    </row>
    <row r="81" spans="1:23" x14ac:dyDescent="0.3">
      <c r="A81">
        <v>10490</v>
      </c>
      <c r="B81" s="2">
        <v>45949</v>
      </c>
      <c r="C81" t="s">
        <v>20</v>
      </c>
      <c r="D81" t="s">
        <v>21</v>
      </c>
      <c r="E81" t="s">
        <v>22</v>
      </c>
      <c r="F81" t="s">
        <v>41</v>
      </c>
      <c r="G81" t="s">
        <v>54</v>
      </c>
      <c r="H81" t="s">
        <v>175</v>
      </c>
      <c r="I81" t="s">
        <v>354</v>
      </c>
      <c r="J81">
        <v>1364</v>
      </c>
      <c r="K81">
        <v>38</v>
      </c>
      <c r="L81" t="s">
        <v>45</v>
      </c>
      <c r="M81">
        <v>176</v>
      </c>
      <c r="N81">
        <v>37.299999999999997</v>
      </c>
      <c r="O81">
        <v>84.5</v>
      </c>
      <c r="P81">
        <v>4.72</v>
      </c>
      <c r="Q81">
        <v>1.49</v>
      </c>
      <c r="R81" t="s">
        <v>280</v>
      </c>
      <c r="S81" t="s">
        <v>73</v>
      </c>
      <c r="T81" t="s">
        <v>30</v>
      </c>
      <c r="U81" t="str">
        <f t="shared" si="3"/>
        <v>Normal</v>
      </c>
      <c r="V81" t="str">
        <f t="shared" si="4"/>
        <v>Normal</v>
      </c>
      <c r="W81" t="str">
        <f t="shared" si="5"/>
        <v>Normal</v>
      </c>
    </row>
    <row r="82" spans="1:23" x14ac:dyDescent="0.3">
      <c r="A82">
        <v>11180</v>
      </c>
      <c r="B82" s="2">
        <v>45744</v>
      </c>
      <c r="C82" t="s">
        <v>49</v>
      </c>
      <c r="D82" t="s">
        <v>64</v>
      </c>
      <c r="E82" t="s">
        <v>107</v>
      </c>
      <c r="F82" t="s">
        <v>23</v>
      </c>
      <c r="G82" t="s">
        <v>109</v>
      </c>
      <c r="H82" t="s">
        <v>141</v>
      </c>
      <c r="I82" t="s">
        <v>142</v>
      </c>
      <c r="J82">
        <v>719</v>
      </c>
      <c r="K82">
        <v>7</v>
      </c>
      <c r="L82" t="s">
        <v>27</v>
      </c>
      <c r="M82">
        <v>43</v>
      </c>
      <c r="N82">
        <v>41.2</v>
      </c>
      <c r="O82">
        <v>84.4</v>
      </c>
      <c r="P82">
        <v>5.38</v>
      </c>
      <c r="Q82">
        <v>1.31</v>
      </c>
      <c r="R82" t="s">
        <v>159</v>
      </c>
      <c r="S82" t="s">
        <v>73</v>
      </c>
      <c r="T82" t="s">
        <v>30</v>
      </c>
      <c r="U82" t="str">
        <f t="shared" si="3"/>
        <v>Normal</v>
      </c>
      <c r="V82" t="str">
        <f t="shared" si="4"/>
        <v>Normal</v>
      </c>
      <c r="W82" t="str">
        <f t="shared" si="5"/>
        <v>Normal</v>
      </c>
    </row>
    <row r="83" spans="1:23" x14ac:dyDescent="0.3">
      <c r="A83">
        <v>10514</v>
      </c>
      <c r="B83" s="2">
        <v>45684</v>
      </c>
      <c r="C83" t="s">
        <v>49</v>
      </c>
      <c r="D83" t="s">
        <v>21</v>
      </c>
      <c r="E83" t="s">
        <v>107</v>
      </c>
      <c r="F83" t="s">
        <v>41</v>
      </c>
      <c r="G83" t="s">
        <v>60</v>
      </c>
      <c r="H83" t="s">
        <v>131</v>
      </c>
      <c r="I83" t="s">
        <v>145</v>
      </c>
      <c r="J83">
        <v>757</v>
      </c>
      <c r="K83">
        <v>4</v>
      </c>
      <c r="L83" t="s">
        <v>27</v>
      </c>
      <c r="M83">
        <v>25</v>
      </c>
      <c r="N83">
        <v>37.9</v>
      </c>
      <c r="O83">
        <v>84.4</v>
      </c>
      <c r="P83">
        <v>4.3099999999999996</v>
      </c>
      <c r="Q83">
        <v>0.89</v>
      </c>
      <c r="R83" t="s">
        <v>137</v>
      </c>
      <c r="S83" t="s">
        <v>29</v>
      </c>
      <c r="T83" t="s">
        <v>30</v>
      </c>
      <c r="U83" t="str">
        <f t="shared" si="3"/>
        <v>Normal</v>
      </c>
      <c r="V83" t="str">
        <f t="shared" si="4"/>
        <v>Normal</v>
      </c>
      <c r="W83" t="str">
        <f t="shared" si="5"/>
        <v>Normal</v>
      </c>
    </row>
    <row r="84" spans="1:23" x14ac:dyDescent="0.3">
      <c r="A84">
        <v>11263</v>
      </c>
      <c r="B84" s="2">
        <v>45941</v>
      </c>
      <c r="C84" t="s">
        <v>49</v>
      </c>
      <c r="D84" t="s">
        <v>59</v>
      </c>
      <c r="E84" t="s">
        <v>40</v>
      </c>
      <c r="F84" t="s">
        <v>81</v>
      </c>
      <c r="G84" t="s">
        <v>74</v>
      </c>
      <c r="H84" t="s">
        <v>165</v>
      </c>
      <c r="I84" t="s">
        <v>275</v>
      </c>
      <c r="J84">
        <v>1327</v>
      </c>
      <c r="K84">
        <v>9</v>
      </c>
      <c r="L84" t="s">
        <v>45</v>
      </c>
      <c r="M84">
        <v>112</v>
      </c>
      <c r="N84">
        <v>38.700000000000003</v>
      </c>
      <c r="O84">
        <v>84.4</v>
      </c>
      <c r="P84">
        <v>5.77</v>
      </c>
      <c r="Q84">
        <v>3.24</v>
      </c>
      <c r="R84" t="s">
        <v>167</v>
      </c>
      <c r="S84" t="s">
        <v>39</v>
      </c>
      <c r="T84" t="s">
        <v>30</v>
      </c>
      <c r="U84" t="str">
        <f t="shared" si="3"/>
        <v>Normal</v>
      </c>
      <c r="V84" t="str">
        <f t="shared" si="4"/>
        <v>Normal</v>
      </c>
      <c r="W84" t="str">
        <f t="shared" si="5"/>
        <v>Normal</v>
      </c>
    </row>
    <row r="85" spans="1:23" x14ac:dyDescent="0.3">
      <c r="A85">
        <v>10153</v>
      </c>
      <c r="B85" s="2">
        <v>45838</v>
      </c>
      <c r="C85" t="s">
        <v>49</v>
      </c>
      <c r="D85" t="s">
        <v>32</v>
      </c>
      <c r="E85" t="s">
        <v>40</v>
      </c>
      <c r="F85" t="s">
        <v>81</v>
      </c>
      <c r="G85" t="s">
        <v>42</v>
      </c>
      <c r="H85" t="s">
        <v>193</v>
      </c>
      <c r="I85" t="s">
        <v>118</v>
      </c>
      <c r="J85">
        <v>568</v>
      </c>
      <c r="K85">
        <v>40</v>
      </c>
      <c r="L85" t="s">
        <v>71</v>
      </c>
      <c r="M85">
        <v>139</v>
      </c>
      <c r="N85">
        <v>42.7</v>
      </c>
      <c r="O85">
        <v>84.4</v>
      </c>
      <c r="P85">
        <v>4.21</v>
      </c>
      <c r="Q85">
        <v>1.19</v>
      </c>
      <c r="R85" t="s">
        <v>227</v>
      </c>
      <c r="S85" t="s">
        <v>47</v>
      </c>
      <c r="T85" t="s">
        <v>48</v>
      </c>
      <c r="U85" t="str">
        <f t="shared" si="3"/>
        <v>Normal</v>
      </c>
      <c r="V85" t="str">
        <f t="shared" si="4"/>
        <v>Normal</v>
      </c>
      <c r="W85" t="str">
        <f t="shared" si="5"/>
        <v>Normal</v>
      </c>
    </row>
    <row r="86" spans="1:23" x14ac:dyDescent="0.3">
      <c r="A86">
        <v>11049</v>
      </c>
      <c r="B86" s="2">
        <v>45767</v>
      </c>
      <c r="C86" t="s">
        <v>20</v>
      </c>
      <c r="D86" t="s">
        <v>64</v>
      </c>
      <c r="E86" t="s">
        <v>33</v>
      </c>
      <c r="F86" t="s">
        <v>23</v>
      </c>
      <c r="G86" t="s">
        <v>113</v>
      </c>
      <c r="H86" t="s">
        <v>51</v>
      </c>
      <c r="I86" t="s">
        <v>118</v>
      </c>
      <c r="J86">
        <v>706</v>
      </c>
      <c r="K86">
        <v>71</v>
      </c>
      <c r="L86" t="s">
        <v>71</v>
      </c>
      <c r="M86">
        <v>145</v>
      </c>
      <c r="N86">
        <v>39.5</v>
      </c>
      <c r="O86">
        <v>84.3</v>
      </c>
      <c r="P86">
        <v>5.55</v>
      </c>
      <c r="Q86">
        <v>3.52</v>
      </c>
      <c r="R86" t="s">
        <v>38</v>
      </c>
      <c r="S86" t="s">
        <v>29</v>
      </c>
      <c r="T86" t="s">
        <v>48</v>
      </c>
      <c r="U86" t="str">
        <f t="shared" si="3"/>
        <v>Normal</v>
      </c>
      <c r="V86" t="str">
        <f t="shared" si="4"/>
        <v>Normal</v>
      </c>
      <c r="W86" t="str">
        <f t="shared" si="5"/>
        <v>Normal</v>
      </c>
    </row>
    <row r="87" spans="1:23" x14ac:dyDescent="0.3">
      <c r="A87">
        <v>10873</v>
      </c>
      <c r="B87" s="2">
        <v>45889</v>
      </c>
      <c r="C87" t="s">
        <v>49</v>
      </c>
      <c r="D87" t="s">
        <v>59</v>
      </c>
      <c r="E87" t="s">
        <v>40</v>
      </c>
      <c r="F87" t="s">
        <v>23</v>
      </c>
      <c r="G87" t="s">
        <v>95</v>
      </c>
      <c r="H87" t="s">
        <v>141</v>
      </c>
      <c r="I87" t="s">
        <v>319</v>
      </c>
      <c r="J87">
        <v>989</v>
      </c>
      <c r="K87">
        <v>11</v>
      </c>
      <c r="L87" t="s">
        <v>37</v>
      </c>
      <c r="M87">
        <v>69</v>
      </c>
      <c r="N87">
        <v>40.799999999999997</v>
      </c>
      <c r="O87">
        <v>84.3</v>
      </c>
      <c r="P87">
        <v>6.03</v>
      </c>
      <c r="Q87">
        <v>1.83</v>
      </c>
      <c r="R87" t="s">
        <v>267</v>
      </c>
      <c r="S87" t="s">
        <v>47</v>
      </c>
      <c r="T87" t="s">
        <v>30</v>
      </c>
      <c r="U87" t="str">
        <f t="shared" si="3"/>
        <v>Normal</v>
      </c>
      <c r="V87" t="str">
        <f t="shared" si="4"/>
        <v>Normal</v>
      </c>
      <c r="W87" t="str">
        <f t="shared" si="5"/>
        <v>Normal</v>
      </c>
    </row>
    <row r="88" spans="1:23" x14ac:dyDescent="0.3">
      <c r="A88">
        <v>11244</v>
      </c>
      <c r="B88" s="2">
        <v>45812</v>
      </c>
      <c r="C88" t="s">
        <v>31</v>
      </c>
      <c r="D88" t="s">
        <v>32</v>
      </c>
      <c r="E88" t="s">
        <v>40</v>
      </c>
      <c r="F88" t="s">
        <v>41</v>
      </c>
      <c r="G88" t="s">
        <v>24</v>
      </c>
      <c r="H88" t="s">
        <v>252</v>
      </c>
      <c r="I88" t="s">
        <v>178</v>
      </c>
      <c r="J88">
        <v>604</v>
      </c>
      <c r="K88">
        <v>6</v>
      </c>
      <c r="L88" t="s">
        <v>37</v>
      </c>
      <c r="M88">
        <v>137</v>
      </c>
      <c r="N88">
        <v>40.299999999999997</v>
      </c>
      <c r="O88">
        <v>84.1</v>
      </c>
      <c r="P88">
        <v>6.33</v>
      </c>
      <c r="Q88">
        <v>3.74</v>
      </c>
      <c r="R88" t="s">
        <v>105</v>
      </c>
      <c r="S88" t="s">
        <v>73</v>
      </c>
      <c r="T88" t="s">
        <v>30</v>
      </c>
      <c r="U88" t="str">
        <f t="shared" si="3"/>
        <v>Normal</v>
      </c>
      <c r="V88" t="str">
        <f t="shared" si="4"/>
        <v>Normal</v>
      </c>
      <c r="W88" t="str">
        <f t="shared" si="5"/>
        <v>Normal</v>
      </c>
    </row>
    <row r="89" spans="1:23" x14ac:dyDescent="0.3">
      <c r="A89">
        <v>11307</v>
      </c>
      <c r="B89" s="2">
        <v>45817</v>
      </c>
      <c r="C89" t="s">
        <v>49</v>
      </c>
      <c r="D89" t="s">
        <v>59</v>
      </c>
      <c r="E89" t="s">
        <v>107</v>
      </c>
      <c r="F89" t="s">
        <v>23</v>
      </c>
      <c r="G89" t="s">
        <v>134</v>
      </c>
      <c r="H89" t="s">
        <v>190</v>
      </c>
      <c r="I89" t="s">
        <v>157</v>
      </c>
      <c r="J89">
        <v>1335</v>
      </c>
      <c r="K89">
        <v>6</v>
      </c>
      <c r="L89" t="s">
        <v>37</v>
      </c>
      <c r="M89">
        <v>147</v>
      </c>
      <c r="N89">
        <v>45.9</v>
      </c>
      <c r="O89">
        <v>84</v>
      </c>
      <c r="P89">
        <v>3.9</v>
      </c>
      <c r="Q89">
        <v>3.09</v>
      </c>
      <c r="R89" t="s">
        <v>245</v>
      </c>
      <c r="S89" t="s">
        <v>39</v>
      </c>
      <c r="T89" t="s">
        <v>30</v>
      </c>
      <c r="U89" t="str">
        <f t="shared" si="3"/>
        <v>Normal</v>
      </c>
      <c r="V89" t="str">
        <f t="shared" si="4"/>
        <v>Normal</v>
      </c>
      <c r="W89" t="str">
        <f t="shared" si="5"/>
        <v>Normal</v>
      </c>
    </row>
    <row r="90" spans="1:23" x14ac:dyDescent="0.3">
      <c r="A90">
        <v>10859</v>
      </c>
      <c r="B90" s="2">
        <v>46020</v>
      </c>
      <c r="C90" t="s">
        <v>49</v>
      </c>
      <c r="D90" t="s">
        <v>64</v>
      </c>
      <c r="E90" t="s">
        <v>107</v>
      </c>
      <c r="F90" t="s">
        <v>81</v>
      </c>
      <c r="G90" t="s">
        <v>95</v>
      </c>
      <c r="H90" t="s">
        <v>200</v>
      </c>
      <c r="I90" t="s">
        <v>319</v>
      </c>
      <c r="J90">
        <v>497</v>
      </c>
      <c r="K90">
        <v>3</v>
      </c>
      <c r="L90" t="s">
        <v>57</v>
      </c>
      <c r="M90">
        <v>82</v>
      </c>
      <c r="N90">
        <v>45.5</v>
      </c>
      <c r="O90">
        <v>83.9</v>
      </c>
      <c r="P90">
        <v>5.76</v>
      </c>
      <c r="Q90">
        <v>3.69</v>
      </c>
      <c r="R90" t="s">
        <v>240</v>
      </c>
      <c r="S90" t="s">
        <v>47</v>
      </c>
      <c r="T90" t="s">
        <v>30</v>
      </c>
      <c r="U90" t="str">
        <f t="shared" si="3"/>
        <v>Normal</v>
      </c>
      <c r="V90" t="str">
        <f t="shared" si="4"/>
        <v>Normal</v>
      </c>
      <c r="W90" t="str">
        <f t="shared" si="5"/>
        <v>Normal</v>
      </c>
    </row>
    <row r="91" spans="1:23" x14ac:dyDescent="0.3">
      <c r="A91">
        <v>10907</v>
      </c>
      <c r="B91" s="2">
        <v>45694</v>
      </c>
      <c r="C91" t="s">
        <v>49</v>
      </c>
      <c r="D91" t="s">
        <v>21</v>
      </c>
      <c r="E91" t="s">
        <v>107</v>
      </c>
      <c r="F91" t="s">
        <v>23</v>
      </c>
      <c r="G91" t="s">
        <v>113</v>
      </c>
      <c r="H91" t="s">
        <v>131</v>
      </c>
      <c r="I91" t="s">
        <v>118</v>
      </c>
      <c r="J91">
        <v>1082</v>
      </c>
      <c r="K91">
        <v>7</v>
      </c>
      <c r="L91" t="s">
        <v>37</v>
      </c>
      <c r="M91">
        <v>91</v>
      </c>
      <c r="N91">
        <v>44</v>
      </c>
      <c r="O91">
        <v>83.8</v>
      </c>
      <c r="P91">
        <v>4.12</v>
      </c>
      <c r="Q91">
        <v>4.07</v>
      </c>
      <c r="R91" t="s">
        <v>133</v>
      </c>
      <c r="S91" t="s">
        <v>39</v>
      </c>
      <c r="T91" t="s">
        <v>30</v>
      </c>
      <c r="U91" t="str">
        <f t="shared" si="3"/>
        <v>Normal</v>
      </c>
      <c r="V91" t="str">
        <f t="shared" si="4"/>
        <v>Normal</v>
      </c>
      <c r="W91" t="str">
        <f t="shared" si="5"/>
        <v>Normal</v>
      </c>
    </row>
    <row r="92" spans="1:23" x14ac:dyDescent="0.3">
      <c r="A92">
        <v>10974</v>
      </c>
      <c r="B92" s="2">
        <v>46008</v>
      </c>
      <c r="C92" t="s">
        <v>49</v>
      </c>
      <c r="D92" t="s">
        <v>59</v>
      </c>
      <c r="E92" t="s">
        <v>40</v>
      </c>
      <c r="F92" t="s">
        <v>23</v>
      </c>
      <c r="G92" t="s">
        <v>95</v>
      </c>
      <c r="H92" t="s">
        <v>43</v>
      </c>
      <c r="I92" t="s">
        <v>328</v>
      </c>
      <c r="J92">
        <v>1587</v>
      </c>
      <c r="K92">
        <v>13</v>
      </c>
      <c r="L92" t="s">
        <v>68</v>
      </c>
      <c r="M92">
        <v>131</v>
      </c>
      <c r="N92">
        <v>47.5</v>
      </c>
      <c r="O92">
        <v>83.8</v>
      </c>
      <c r="P92">
        <v>4.4000000000000004</v>
      </c>
      <c r="Q92">
        <v>3.55</v>
      </c>
      <c r="R92" t="s">
        <v>183</v>
      </c>
      <c r="S92" t="s">
        <v>47</v>
      </c>
      <c r="T92" t="s">
        <v>30</v>
      </c>
      <c r="U92" t="str">
        <f t="shared" si="3"/>
        <v>Normal</v>
      </c>
      <c r="V92" t="str">
        <f t="shared" si="4"/>
        <v>Normal</v>
      </c>
      <c r="W92" t="str">
        <f t="shared" si="5"/>
        <v>Normal</v>
      </c>
    </row>
    <row r="93" spans="1:23" x14ac:dyDescent="0.3">
      <c r="A93">
        <v>10323</v>
      </c>
      <c r="B93" s="2">
        <v>45838</v>
      </c>
      <c r="C93" t="s">
        <v>49</v>
      </c>
      <c r="D93" t="s">
        <v>59</v>
      </c>
      <c r="E93" t="s">
        <v>107</v>
      </c>
      <c r="F93" t="s">
        <v>41</v>
      </c>
      <c r="G93" t="s">
        <v>74</v>
      </c>
      <c r="H93" t="s">
        <v>252</v>
      </c>
      <c r="I93" t="s">
        <v>345</v>
      </c>
      <c r="J93">
        <v>1068</v>
      </c>
      <c r="K93">
        <v>12</v>
      </c>
      <c r="L93" t="s">
        <v>68</v>
      </c>
      <c r="M93">
        <v>104</v>
      </c>
      <c r="N93">
        <v>49.2</v>
      </c>
      <c r="O93">
        <v>83.7</v>
      </c>
      <c r="P93">
        <v>5.98</v>
      </c>
      <c r="Q93">
        <v>2.68</v>
      </c>
      <c r="R93" t="s">
        <v>125</v>
      </c>
      <c r="S93" t="s">
        <v>39</v>
      </c>
      <c r="T93" t="s">
        <v>30</v>
      </c>
      <c r="U93" t="str">
        <f t="shared" si="3"/>
        <v>Normal</v>
      </c>
      <c r="V93" t="str">
        <f t="shared" si="4"/>
        <v>Normal</v>
      </c>
      <c r="W93" t="str">
        <f t="shared" si="5"/>
        <v>Normal</v>
      </c>
    </row>
    <row r="94" spans="1:23" x14ac:dyDescent="0.3">
      <c r="A94">
        <v>10663</v>
      </c>
      <c r="B94" s="2">
        <v>45926</v>
      </c>
      <c r="C94" t="s">
        <v>20</v>
      </c>
      <c r="D94" t="s">
        <v>32</v>
      </c>
      <c r="E94" t="s">
        <v>33</v>
      </c>
      <c r="F94" t="s">
        <v>23</v>
      </c>
      <c r="G94" t="s">
        <v>50</v>
      </c>
      <c r="H94" t="s">
        <v>96</v>
      </c>
      <c r="I94" t="s">
        <v>264</v>
      </c>
      <c r="J94">
        <v>549</v>
      </c>
      <c r="K94">
        <v>14</v>
      </c>
      <c r="L94" t="s">
        <v>27</v>
      </c>
      <c r="M94">
        <v>62</v>
      </c>
      <c r="N94">
        <v>40.6</v>
      </c>
      <c r="O94">
        <v>83.7</v>
      </c>
      <c r="P94">
        <v>5.67</v>
      </c>
      <c r="Q94">
        <v>3.22</v>
      </c>
      <c r="R94" t="s">
        <v>189</v>
      </c>
      <c r="S94" t="s">
        <v>73</v>
      </c>
      <c r="T94" t="s">
        <v>30</v>
      </c>
      <c r="U94" t="str">
        <f t="shared" si="3"/>
        <v>Normal</v>
      </c>
      <c r="V94" t="str">
        <f t="shared" si="4"/>
        <v>Normal</v>
      </c>
      <c r="W94" t="str">
        <f t="shared" si="5"/>
        <v>Normal</v>
      </c>
    </row>
    <row r="95" spans="1:23" x14ac:dyDescent="0.3">
      <c r="A95">
        <v>10522</v>
      </c>
      <c r="B95" s="2">
        <v>45661</v>
      </c>
      <c r="C95" t="s">
        <v>49</v>
      </c>
      <c r="D95" t="s">
        <v>32</v>
      </c>
      <c r="E95" t="s">
        <v>107</v>
      </c>
      <c r="F95" t="s">
        <v>81</v>
      </c>
      <c r="G95" t="s">
        <v>42</v>
      </c>
      <c r="H95" t="s">
        <v>175</v>
      </c>
      <c r="I95" t="s">
        <v>345</v>
      </c>
      <c r="J95">
        <v>933</v>
      </c>
      <c r="K95">
        <v>31</v>
      </c>
      <c r="L95" t="s">
        <v>68</v>
      </c>
      <c r="M95">
        <v>83</v>
      </c>
      <c r="N95">
        <v>49.9</v>
      </c>
      <c r="O95">
        <v>83.7</v>
      </c>
      <c r="P95">
        <v>5.22</v>
      </c>
      <c r="Q95">
        <v>2.4</v>
      </c>
      <c r="R95" t="s">
        <v>28</v>
      </c>
      <c r="S95" t="s">
        <v>47</v>
      </c>
      <c r="T95" t="s">
        <v>48</v>
      </c>
      <c r="U95" t="str">
        <f t="shared" si="3"/>
        <v>Normal</v>
      </c>
      <c r="V95" t="str">
        <f t="shared" si="4"/>
        <v>Normal</v>
      </c>
      <c r="W95" t="str">
        <f t="shared" si="5"/>
        <v>Normal</v>
      </c>
    </row>
    <row r="96" spans="1:23" x14ac:dyDescent="0.3">
      <c r="A96">
        <v>10613</v>
      </c>
      <c r="B96" s="2">
        <v>45754</v>
      </c>
      <c r="C96" t="s">
        <v>49</v>
      </c>
      <c r="D96" t="s">
        <v>32</v>
      </c>
      <c r="E96" t="s">
        <v>40</v>
      </c>
      <c r="F96" t="s">
        <v>23</v>
      </c>
      <c r="G96" t="s">
        <v>34</v>
      </c>
      <c r="H96" t="s">
        <v>263</v>
      </c>
      <c r="I96" t="s">
        <v>214</v>
      </c>
      <c r="J96">
        <v>1555</v>
      </c>
      <c r="K96">
        <v>3</v>
      </c>
      <c r="L96" t="s">
        <v>37</v>
      </c>
      <c r="M96">
        <v>172</v>
      </c>
      <c r="N96">
        <v>39.5</v>
      </c>
      <c r="O96">
        <v>83.7</v>
      </c>
      <c r="P96">
        <v>5.24</v>
      </c>
      <c r="Q96">
        <v>2.59</v>
      </c>
      <c r="R96" t="s">
        <v>243</v>
      </c>
      <c r="S96" t="s">
        <v>73</v>
      </c>
      <c r="T96" t="s">
        <v>30</v>
      </c>
      <c r="U96" t="str">
        <f t="shared" si="3"/>
        <v>Normal</v>
      </c>
      <c r="V96" t="str">
        <f t="shared" si="4"/>
        <v>Normal</v>
      </c>
      <c r="W96" t="str">
        <f t="shared" si="5"/>
        <v>Normal</v>
      </c>
    </row>
    <row r="97" spans="1:23" x14ac:dyDescent="0.3">
      <c r="A97">
        <v>10013</v>
      </c>
      <c r="B97" s="2">
        <v>45895</v>
      </c>
      <c r="C97" t="s">
        <v>49</v>
      </c>
      <c r="D97" t="s">
        <v>59</v>
      </c>
      <c r="E97" t="s">
        <v>33</v>
      </c>
      <c r="F97" t="s">
        <v>23</v>
      </c>
      <c r="G97" t="s">
        <v>74</v>
      </c>
      <c r="H97" t="s">
        <v>123</v>
      </c>
      <c r="I97" t="s">
        <v>372</v>
      </c>
      <c r="J97">
        <v>850</v>
      </c>
      <c r="K97">
        <v>5</v>
      </c>
      <c r="L97" t="s">
        <v>57</v>
      </c>
      <c r="M97">
        <v>31</v>
      </c>
      <c r="N97">
        <v>42.1</v>
      </c>
      <c r="O97">
        <v>83.6</v>
      </c>
      <c r="P97">
        <v>4.99</v>
      </c>
      <c r="Q97">
        <v>5.79</v>
      </c>
      <c r="R97" t="s">
        <v>189</v>
      </c>
      <c r="S97" t="s">
        <v>47</v>
      </c>
      <c r="T97" t="s">
        <v>30</v>
      </c>
      <c r="U97" t="str">
        <f t="shared" si="3"/>
        <v>Normal</v>
      </c>
      <c r="V97" t="str">
        <f t="shared" si="4"/>
        <v>Normal</v>
      </c>
      <c r="W97" t="str">
        <f t="shared" si="5"/>
        <v>Normal</v>
      </c>
    </row>
    <row r="98" spans="1:23" x14ac:dyDescent="0.3">
      <c r="A98">
        <v>10107</v>
      </c>
      <c r="B98" s="2">
        <v>45667</v>
      </c>
      <c r="C98" t="s">
        <v>20</v>
      </c>
      <c r="D98" t="s">
        <v>21</v>
      </c>
      <c r="E98" t="s">
        <v>33</v>
      </c>
      <c r="F98" t="s">
        <v>41</v>
      </c>
      <c r="G98" t="s">
        <v>113</v>
      </c>
      <c r="H98" t="s">
        <v>252</v>
      </c>
      <c r="I98" t="s">
        <v>211</v>
      </c>
      <c r="J98">
        <v>964</v>
      </c>
      <c r="K98">
        <v>17</v>
      </c>
      <c r="L98" t="s">
        <v>71</v>
      </c>
      <c r="M98">
        <v>116</v>
      </c>
      <c r="N98">
        <v>43.9</v>
      </c>
      <c r="O98">
        <v>83.6</v>
      </c>
      <c r="P98">
        <v>4.04</v>
      </c>
      <c r="Q98">
        <v>1.58</v>
      </c>
      <c r="R98" t="s">
        <v>186</v>
      </c>
      <c r="S98" t="s">
        <v>39</v>
      </c>
      <c r="T98" t="s">
        <v>30</v>
      </c>
      <c r="U98" t="str">
        <f t="shared" si="3"/>
        <v>Normal</v>
      </c>
      <c r="V98" t="str">
        <f t="shared" si="4"/>
        <v>Normal</v>
      </c>
      <c r="W98" t="str">
        <f t="shared" si="5"/>
        <v>Normal</v>
      </c>
    </row>
    <row r="99" spans="1:23" x14ac:dyDescent="0.3">
      <c r="A99">
        <v>11499</v>
      </c>
      <c r="B99" s="2">
        <v>45990</v>
      </c>
      <c r="C99" t="s">
        <v>31</v>
      </c>
      <c r="D99" t="s">
        <v>32</v>
      </c>
      <c r="E99" t="s">
        <v>40</v>
      </c>
      <c r="F99" t="s">
        <v>81</v>
      </c>
      <c r="G99" t="s">
        <v>95</v>
      </c>
      <c r="H99" t="s">
        <v>141</v>
      </c>
      <c r="I99" t="s">
        <v>157</v>
      </c>
      <c r="J99">
        <v>522</v>
      </c>
      <c r="K99">
        <v>15</v>
      </c>
      <c r="L99" t="s">
        <v>68</v>
      </c>
      <c r="M99">
        <v>119</v>
      </c>
      <c r="N99">
        <v>53.2</v>
      </c>
      <c r="O99">
        <v>83.5</v>
      </c>
      <c r="P99">
        <v>6.02</v>
      </c>
      <c r="Q99">
        <v>2.34</v>
      </c>
      <c r="R99" t="s">
        <v>280</v>
      </c>
      <c r="S99" t="s">
        <v>73</v>
      </c>
      <c r="T99" t="s">
        <v>30</v>
      </c>
      <c r="U99" t="str">
        <f t="shared" si="3"/>
        <v>Normal</v>
      </c>
      <c r="V99" t="str">
        <f t="shared" si="4"/>
        <v>Normal</v>
      </c>
      <c r="W99" t="str">
        <f t="shared" si="5"/>
        <v>Normal</v>
      </c>
    </row>
    <row r="100" spans="1:23" x14ac:dyDescent="0.3">
      <c r="A100">
        <v>10185</v>
      </c>
      <c r="B100" s="2">
        <v>45730</v>
      </c>
      <c r="C100" t="s">
        <v>20</v>
      </c>
      <c r="D100" t="s">
        <v>64</v>
      </c>
      <c r="E100" t="s">
        <v>22</v>
      </c>
      <c r="F100" t="s">
        <v>81</v>
      </c>
      <c r="G100" t="s">
        <v>24</v>
      </c>
      <c r="H100" t="s">
        <v>169</v>
      </c>
      <c r="I100" t="s">
        <v>268</v>
      </c>
      <c r="J100">
        <v>990</v>
      </c>
      <c r="K100">
        <v>10</v>
      </c>
      <c r="L100" t="s">
        <v>68</v>
      </c>
      <c r="M100">
        <v>122</v>
      </c>
      <c r="N100">
        <v>40.299999999999997</v>
      </c>
      <c r="O100">
        <v>83.4</v>
      </c>
      <c r="P100">
        <v>5.47</v>
      </c>
      <c r="Q100">
        <v>2.4700000000000002</v>
      </c>
      <c r="R100" t="s">
        <v>87</v>
      </c>
      <c r="S100" t="s">
        <v>39</v>
      </c>
      <c r="T100" t="s">
        <v>30</v>
      </c>
      <c r="U100" t="str">
        <f t="shared" si="3"/>
        <v>Normal</v>
      </c>
      <c r="V100" t="str">
        <f t="shared" si="4"/>
        <v>Normal</v>
      </c>
      <c r="W100" t="str">
        <f t="shared" si="5"/>
        <v>Normal</v>
      </c>
    </row>
    <row r="101" spans="1:23" x14ac:dyDescent="0.3">
      <c r="A101">
        <v>10939</v>
      </c>
      <c r="B101" s="2">
        <v>45899</v>
      </c>
      <c r="C101" t="s">
        <v>31</v>
      </c>
      <c r="D101" t="s">
        <v>32</v>
      </c>
      <c r="E101" t="s">
        <v>33</v>
      </c>
      <c r="F101" t="s">
        <v>41</v>
      </c>
      <c r="G101" t="s">
        <v>109</v>
      </c>
      <c r="H101" t="s">
        <v>165</v>
      </c>
      <c r="I101" t="s">
        <v>231</v>
      </c>
      <c r="J101">
        <v>1448</v>
      </c>
      <c r="K101">
        <v>36</v>
      </c>
      <c r="L101" t="s">
        <v>68</v>
      </c>
      <c r="M101">
        <v>29</v>
      </c>
      <c r="N101">
        <v>42.2</v>
      </c>
      <c r="O101">
        <v>83.4</v>
      </c>
      <c r="P101">
        <v>6.39</v>
      </c>
      <c r="Q101">
        <v>1.78</v>
      </c>
      <c r="R101" t="s">
        <v>133</v>
      </c>
      <c r="S101" t="s">
        <v>73</v>
      </c>
      <c r="T101" t="s">
        <v>30</v>
      </c>
      <c r="U101" t="str">
        <f t="shared" si="3"/>
        <v>Normal</v>
      </c>
      <c r="V101" t="str">
        <f t="shared" si="4"/>
        <v>Normal</v>
      </c>
      <c r="W101" t="str">
        <f t="shared" si="5"/>
        <v>Normal</v>
      </c>
    </row>
    <row r="102" spans="1:23" x14ac:dyDescent="0.3">
      <c r="A102">
        <v>10292</v>
      </c>
      <c r="B102" s="2">
        <v>45877</v>
      </c>
      <c r="C102" t="s">
        <v>20</v>
      </c>
      <c r="D102" t="s">
        <v>21</v>
      </c>
      <c r="E102" t="s">
        <v>22</v>
      </c>
      <c r="F102" t="s">
        <v>81</v>
      </c>
      <c r="G102" t="s">
        <v>74</v>
      </c>
      <c r="H102" t="s">
        <v>25</v>
      </c>
      <c r="I102" t="s">
        <v>257</v>
      </c>
      <c r="J102">
        <v>785</v>
      </c>
      <c r="K102">
        <v>10</v>
      </c>
      <c r="L102" t="s">
        <v>45</v>
      </c>
      <c r="M102">
        <v>103</v>
      </c>
      <c r="N102">
        <v>34.299999999999997</v>
      </c>
      <c r="O102">
        <v>83.4</v>
      </c>
      <c r="P102">
        <v>5.1100000000000003</v>
      </c>
      <c r="Q102">
        <v>3.04</v>
      </c>
      <c r="R102" t="s">
        <v>111</v>
      </c>
      <c r="S102" t="s">
        <v>39</v>
      </c>
      <c r="T102" t="s">
        <v>30</v>
      </c>
      <c r="U102" t="str">
        <f t="shared" si="3"/>
        <v>Normal</v>
      </c>
      <c r="V102" t="str">
        <f t="shared" si="4"/>
        <v>Normal</v>
      </c>
      <c r="W102" t="str">
        <f t="shared" si="5"/>
        <v>Normal</v>
      </c>
    </row>
    <row r="103" spans="1:23" x14ac:dyDescent="0.3">
      <c r="A103">
        <v>10500</v>
      </c>
      <c r="B103" s="2">
        <v>45818</v>
      </c>
      <c r="C103" t="s">
        <v>31</v>
      </c>
      <c r="D103" t="s">
        <v>64</v>
      </c>
      <c r="E103" t="s">
        <v>40</v>
      </c>
      <c r="F103" t="s">
        <v>23</v>
      </c>
      <c r="G103" t="s">
        <v>42</v>
      </c>
      <c r="H103" t="s">
        <v>196</v>
      </c>
      <c r="I103" t="s">
        <v>115</v>
      </c>
      <c r="J103">
        <v>1017</v>
      </c>
      <c r="K103">
        <v>9</v>
      </c>
      <c r="L103" t="s">
        <v>57</v>
      </c>
      <c r="M103">
        <v>136</v>
      </c>
      <c r="N103">
        <v>46.1</v>
      </c>
      <c r="O103">
        <v>83.4</v>
      </c>
      <c r="P103">
        <v>6.37</v>
      </c>
      <c r="Q103">
        <v>4.2699999999999996</v>
      </c>
      <c r="R103" t="s">
        <v>152</v>
      </c>
      <c r="S103" t="s">
        <v>424</v>
      </c>
      <c r="T103" t="s">
        <v>30</v>
      </c>
      <c r="U103" t="str">
        <f t="shared" si="3"/>
        <v>Normal</v>
      </c>
      <c r="V103" t="str">
        <f t="shared" si="4"/>
        <v>Normal</v>
      </c>
      <c r="W103" t="str">
        <f t="shared" si="5"/>
        <v>Normal</v>
      </c>
    </row>
    <row r="104" spans="1:23" x14ac:dyDescent="0.3">
      <c r="A104">
        <v>11038</v>
      </c>
      <c r="B104" s="2">
        <v>45865</v>
      </c>
      <c r="C104" t="s">
        <v>49</v>
      </c>
      <c r="D104" t="s">
        <v>32</v>
      </c>
      <c r="E104" t="s">
        <v>40</v>
      </c>
      <c r="F104" t="s">
        <v>81</v>
      </c>
      <c r="G104" t="s">
        <v>113</v>
      </c>
      <c r="H104" t="s">
        <v>177</v>
      </c>
      <c r="I104" t="s">
        <v>233</v>
      </c>
      <c r="J104">
        <v>453</v>
      </c>
      <c r="K104">
        <v>8</v>
      </c>
      <c r="L104" t="s">
        <v>27</v>
      </c>
      <c r="M104">
        <v>56</v>
      </c>
      <c r="N104">
        <v>28.8</v>
      </c>
      <c r="O104">
        <v>83.1</v>
      </c>
      <c r="P104">
        <v>5.4</v>
      </c>
      <c r="Q104">
        <v>4.5999999999999996</v>
      </c>
      <c r="R104" t="s">
        <v>137</v>
      </c>
      <c r="S104" t="s">
        <v>73</v>
      </c>
      <c r="T104" t="s">
        <v>30</v>
      </c>
      <c r="U104" t="str">
        <f t="shared" si="3"/>
        <v>Normal</v>
      </c>
      <c r="V104" t="str">
        <f t="shared" si="4"/>
        <v>Normal</v>
      </c>
      <c r="W104" t="str">
        <f t="shared" si="5"/>
        <v>Normal</v>
      </c>
    </row>
    <row r="105" spans="1:23" x14ac:dyDescent="0.3">
      <c r="A105">
        <v>10670</v>
      </c>
      <c r="B105" s="2">
        <v>45801</v>
      </c>
      <c r="C105" t="s">
        <v>49</v>
      </c>
      <c r="D105" t="s">
        <v>32</v>
      </c>
      <c r="E105" t="s">
        <v>22</v>
      </c>
      <c r="F105" t="s">
        <v>81</v>
      </c>
      <c r="G105" t="s">
        <v>34</v>
      </c>
      <c r="H105" t="s">
        <v>131</v>
      </c>
      <c r="I105" t="s">
        <v>309</v>
      </c>
      <c r="J105">
        <v>1148</v>
      </c>
      <c r="K105">
        <v>96</v>
      </c>
      <c r="L105" t="s">
        <v>27</v>
      </c>
      <c r="M105">
        <v>56</v>
      </c>
      <c r="N105">
        <v>35.4</v>
      </c>
      <c r="O105">
        <v>83.1</v>
      </c>
      <c r="P105">
        <v>5.41</v>
      </c>
      <c r="Q105">
        <v>1.65</v>
      </c>
      <c r="R105" t="s">
        <v>105</v>
      </c>
      <c r="S105" t="s">
        <v>47</v>
      </c>
      <c r="T105" t="s">
        <v>48</v>
      </c>
      <c r="U105" t="str">
        <f t="shared" si="3"/>
        <v>Normal</v>
      </c>
      <c r="V105" t="str">
        <f t="shared" si="4"/>
        <v>Normal</v>
      </c>
      <c r="W105" t="str">
        <f t="shared" si="5"/>
        <v>Normal</v>
      </c>
    </row>
    <row r="106" spans="1:23" x14ac:dyDescent="0.3">
      <c r="A106">
        <v>11205</v>
      </c>
      <c r="B106" s="2">
        <v>45992</v>
      </c>
      <c r="C106" t="s">
        <v>49</v>
      </c>
      <c r="D106" t="s">
        <v>64</v>
      </c>
      <c r="E106" t="s">
        <v>33</v>
      </c>
      <c r="F106" t="s">
        <v>81</v>
      </c>
      <c r="G106" t="s">
        <v>95</v>
      </c>
      <c r="H106" t="s">
        <v>205</v>
      </c>
      <c r="I106" t="s">
        <v>206</v>
      </c>
      <c r="J106">
        <v>607</v>
      </c>
      <c r="K106">
        <v>7</v>
      </c>
      <c r="L106" t="s">
        <v>37</v>
      </c>
      <c r="M106">
        <v>36</v>
      </c>
      <c r="N106">
        <v>35.700000000000003</v>
      </c>
      <c r="O106">
        <v>83</v>
      </c>
      <c r="P106">
        <v>5.23</v>
      </c>
      <c r="Q106">
        <v>1.1200000000000001</v>
      </c>
      <c r="R106" t="s">
        <v>195</v>
      </c>
      <c r="S106" t="s">
        <v>29</v>
      </c>
      <c r="T106" t="s">
        <v>30</v>
      </c>
      <c r="U106" t="str">
        <f t="shared" si="3"/>
        <v>Normal</v>
      </c>
      <c r="V106" t="str">
        <f t="shared" si="4"/>
        <v>Normal</v>
      </c>
      <c r="W106" t="str">
        <f t="shared" si="5"/>
        <v>Normal</v>
      </c>
    </row>
    <row r="107" spans="1:23" x14ac:dyDescent="0.3">
      <c r="A107">
        <v>11213</v>
      </c>
      <c r="B107" s="2">
        <v>45916</v>
      </c>
      <c r="C107" t="s">
        <v>49</v>
      </c>
      <c r="D107" t="s">
        <v>21</v>
      </c>
      <c r="E107" t="s">
        <v>107</v>
      </c>
      <c r="F107" t="s">
        <v>81</v>
      </c>
      <c r="G107" t="s">
        <v>34</v>
      </c>
      <c r="H107" t="s">
        <v>252</v>
      </c>
      <c r="I107" t="s">
        <v>366</v>
      </c>
      <c r="J107">
        <v>564</v>
      </c>
      <c r="K107">
        <v>6</v>
      </c>
      <c r="L107" t="s">
        <v>68</v>
      </c>
      <c r="M107">
        <v>14</v>
      </c>
      <c r="N107">
        <v>35</v>
      </c>
      <c r="O107">
        <v>83</v>
      </c>
      <c r="P107">
        <v>6.08</v>
      </c>
      <c r="Q107">
        <v>0.56000000000000005</v>
      </c>
      <c r="R107" t="s">
        <v>84</v>
      </c>
      <c r="S107" t="s">
        <v>47</v>
      </c>
      <c r="T107" t="s">
        <v>30</v>
      </c>
      <c r="U107" t="str">
        <f t="shared" si="3"/>
        <v>Normal</v>
      </c>
      <c r="V107" t="str">
        <f t="shared" si="4"/>
        <v>Normal</v>
      </c>
      <c r="W107" t="str">
        <f t="shared" si="5"/>
        <v>Normal</v>
      </c>
    </row>
    <row r="108" spans="1:23" x14ac:dyDescent="0.3">
      <c r="A108">
        <v>10617</v>
      </c>
      <c r="B108" s="2">
        <v>45784</v>
      </c>
      <c r="C108" t="s">
        <v>31</v>
      </c>
      <c r="D108" t="s">
        <v>32</v>
      </c>
      <c r="E108" t="s">
        <v>40</v>
      </c>
      <c r="F108" t="s">
        <v>81</v>
      </c>
      <c r="G108" t="s">
        <v>113</v>
      </c>
      <c r="H108" t="s">
        <v>424</v>
      </c>
      <c r="I108" t="s">
        <v>373</v>
      </c>
      <c r="J108">
        <v>1126</v>
      </c>
      <c r="K108">
        <v>6</v>
      </c>
      <c r="L108" t="s">
        <v>37</v>
      </c>
      <c r="M108">
        <v>66</v>
      </c>
      <c r="N108">
        <v>34.200000000000003</v>
      </c>
      <c r="O108">
        <v>83</v>
      </c>
      <c r="P108">
        <v>6.83</v>
      </c>
      <c r="Q108">
        <v>2.96</v>
      </c>
      <c r="R108" t="s">
        <v>183</v>
      </c>
      <c r="S108" t="s">
        <v>73</v>
      </c>
      <c r="T108" t="s">
        <v>30</v>
      </c>
      <c r="U108" t="str">
        <f t="shared" si="3"/>
        <v>Normal</v>
      </c>
      <c r="V108" t="str">
        <f t="shared" si="4"/>
        <v>Normal</v>
      </c>
      <c r="W108" t="str">
        <f t="shared" si="5"/>
        <v>Normal</v>
      </c>
    </row>
    <row r="109" spans="1:23" x14ac:dyDescent="0.3">
      <c r="A109">
        <v>10458</v>
      </c>
      <c r="B109" s="2">
        <v>45790</v>
      </c>
      <c r="C109" t="s">
        <v>31</v>
      </c>
      <c r="D109" t="s">
        <v>21</v>
      </c>
      <c r="E109" t="s">
        <v>22</v>
      </c>
      <c r="F109" t="s">
        <v>81</v>
      </c>
      <c r="G109" t="s">
        <v>74</v>
      </c>
      <c r="H109" t="s">
        <v>287</v>
      </c>
      <c r="I109" t="s">
        <v>309</v>
      </c>
      <c r="J109">
        <v>842</v>
      </c>
      <c r="K109">
        <v>24</v>
      </c>
      <c r="L109" t="s">
        <v>57</v>
      </c>
      <c r="M109">
        <v>129</v>
      </c>
      <c r="N109">
        <v>48.8</v>
      </c>
      <c r="O109">
        <v>82.9</v>
      </c>
      <c r="P109">
        <v>5.59</v>
      </c>
      <c r="Q109">
        <v>2.65</v>
      </c>
      <c r="R109" t="s">
        <v>92</v>
      </c>
      <c r="S109" t="s">
        <v>39</v>
      </c>
      <c r="T109" t="s">
        <v>30</v>
      </c>
      <c r="U109" t="str">
        <f t="shared" si="3"/>
        <v>Normal</v>
      </c>
      <c r="V109" t="str">
        <f t="shared" si="4"/>
        <v>Normal</v>
      </c>
      <c r="W109" t="str">
        <f t="shared" si="5"/>
        <v>Normal</v>
      </c>
    </row>
    <row r="110" spans="1:23" x14ac:dyDescent="0.3">
      <c r="A110">
        <v>11273</v>
      </c>
      <c r="B110" s="2">
        <v>45980</v>
      </c>
      <c r="C110" t="s">
        <v>20</v>
      </c>
      <c r="D110" t="s">
        <v>32</v>
      </c>
      <c r="E110" t="s">
        <v>40</v>
      </c>
      <c r="F110" t="s">
        <v>81</v>
      </c>
      <c r="G110" t="s">
        <v>95</v>
      </c>
      <c r="H110" t="s">
        <v>51</v>
      </c>
      <c r="I110" t="s">
        <v>330</v>
      </c>
      <c r="J110">
        <v>612</v>
      </c>
      <c r="K110">
        <v>22</v>
      </c>
      <c r="L110" t="s">
        <v>57</v>
      </c>
      <c r="M110">
        <v>171</v>
      </c>
      <c r="N110">
        <v>27.9</v>
      </c>
      <c r="O110">
        <v>82.8</v>
      </c>
      <c r="P110">
        <v>3.42</v>
      </c>
      <c r="Q110">
        <v>2.63</v>
      </c>
      <c r="R110" t="s">
        <v>189</v>
      </c>
      <c r="S110" t="s">
        <v>29</v>
      </c>
      <c r="T110" t="s">
        <v>48</v>
      </c>
      <c r="U110" t="str">
        <f t="shared" si="3"/>
        <v>Normal</v>
      </c>
      <c r="V110" t="str">
        <f t="shared" si="4"/>
        <v>Normal</v>
      </c>
      <c r="W110" t="str">
        <f t="shared" si="5"/>
        <v>Normal</v>
      </c>
    </row>
    <row r="111" spans="1:23" x14ac:dyDescent="0.3">
      <c r="A111">
        <v>10031</v>
      </c>
      <c r="B111" s="2">
        <v>45907</v>
      </c>
      <c r="C111" t="s">
        <v>49</v>
      </c>
      <c r="D111" t="s">
        <v>59</v>
      </c>
      <c r="E111" t="s">
        <v>33</v>
      </c>
      <c r="F111" t="s">
        <v>81</v>
      </c>
      <c r="G111" t="s">
        <v>42</v>
      </c>
      <c r="H111" t="s">
        <v>265</v>
      </c>
      <c r="I111" t="s">
        <v>228</v>
      </c>
      <c r="J111">
        <v>1166</v>
      </c>
      <c r="K111">
        <v>5</v>
      </c>
      <c r="L111" t="s">
        <v>37</v>
      </c>
      <c r="M111">
        <v>58</v>
      </c>
      <c r="N111">
        <v>44.9</v>
      </c>
      <c r="O111">
        <v>82.7</v>
      </c>
      <c r="P111">
        <v>3.11</v>
      </c>
      <c r="Q111">
        <v>2.08</v>
      </c>
      <c r="R111" t="s">
        <v>159</v>
      </c>
      <c r="S111" t="s">
        <v>73</v>
      </c>
      <c r="T111" t="s">
        <v>30</v>
      </c>
      <c r="U111" t="str">
        <f t="shared" si="3"/>
        <v>Normal</v>
      </c>
      <c r="V111" t="str">
        <f t="shared" si="4"/>
        <v>Normal</v>
      </c>
      <c r="W111" t="str">
        <f t="shared" si="5"/>
        <v>Normal</v>
      </c>
    </row>
    <row r="112" spans="1:23" x14ac:dyDescent="0.3">
      <c r="A112">
        <v>10951</v>
      </c>
      <c r="B112" s="2">
        <v>45787</v>
      </c>
      <c r="C112" t="s">
        <v>20</v>
      </c>
      <c r="D112" t="s">
        <v>59</v>
      </c>
      <c r="E112" t="s">
        <v>40</v>
      </c>
      <c r="F112" t="s">
        <v>23</v>
      </c>
      <c r="G112" t="s">
        <v>74</v>
      </c>
      <c r="H112" t="s">
        <v>190</v>
      </c>
      <c r="I112" t="s">
        <v>334</v>
      </c>
      <c r="J112">
        <v>741</v>
      </c>
      <c r="K112">
        <v>9</v>
      </c>
      <c r="L112" t="s">
        <v>37</v>
      </c>
      <c r="M112">
        <v>102</v>
      </c>
      <c r="N112">
        <v>46.1</v>
      </c>
      <c r="O112">
        <v>82.7</v>
      </c>
      <c r="P112">
        <v>5.5</v>
      </c>
      <c r="Q112">
        <v>4.13</v>
      </c>
      <c r="R112" t="s">
        <v>105</v>
      </c>
      <c r="S112" t="s">
        <v>39</v>
      </c>
      <c r="T112" t="s">
        <v>30</v>
      </c>
      <c r="U112" t="str">
        <f t="shared" si="3"/>
        <v>Normal</v>
      </c>
      <c r="V112" t="str">
        <f t="shared" si="4"/>
        <v>Normal</v>
      </c>
      <c r="W112" t="str">
        <f t="shared" si="5"/>
        <v>Normal</v>
      </c>
    </row>
    <row r="113" spans="1:23" x14ac:dyDescent="0.3">
      <c r="A113">
        <v>10184</v>
      </c>
      <c r="B113" s="2">
        <v>45952</v>
      </c>
      <c r="C113" t="s">
        <v>49</v>
      </c>
      <c r="D113" t="s">
        <v>64</v>
      </c>
      <c r="E113" t="s">
        <v>40</v>
      </c>
      <c r="F113" t="s">
        <v>23</v>
      </c>
      <c r="G113" t="s">
        <v>60</v>
      </c>
      <c r="H113" t="s">
        <v>35</v>
      </c>
      <c r="I113" t="s">
        <v>36</v>
      </c>
      <c r="J113">
        <v>542</v>
      </c>
      <c r="K113">
        <v>5</v>
      </c>
      <c r="L113" t="s">
        <v>27</v>
      </c>
      <c r="M113">
        <v>11</v>
      </c>
      <c r="N113">
        <v>45.8</v>
      </c>
      <c r="O113">
        <v>82.7</v>
      </c>
      <c r="P113">
        <v>5.54</v>
      </c>
      <c r="Q113">
        <v>3.75</v>
      </c>
      <c r="R113" t="s">
        <v>46</v>
      </c>
      <c r="S113" t="s">
        <v>39</v>
      </c>
      <c r="T113" t="s">
        <v>30</v>
      </c>
      <c r="U113" t="str">
        <f t="shared" si="3"/>
        <v>Normal</v>
      </c>
      <c r="V113" t="str">
        <f t="shared" si="4"/>
        <v>Normal</v>
      </c>
      <c r="W113" t="str">
        <f t="shared" si="5"/>
        <v>Normal</v>
      </c>
    </row>
    <row r="114" spans="1:23" x14ac:dyDescent="0.3">
      <c r="A114">
        <v>11319</v>
      </c>
      <c r="B114" s="2">
        <v>45725</v>
      </c>
      <c r="C114" t="s">
        <v>20</v>
      </c>
      <c r="D114" t="s">
        <v>32</v>
      </c>
      <c r="E114" t="s">
        <v>33</v>
      </c>
      <c r="F114" t="s">
        <v>81</v>
      </c>
      <c r="G114" t="s">
        <v>34</v>
      </c>
      <c r="H114" t="s">
        <v>66</v>
      </c>
      <c r="I114" t="s">
        <v>121</v>
      </c>
      <c r="J114">
        <v>772</v>
      </c>
      <c r="K114">
        <v>15</v>
      </c>
      <c r="L114" t="s">
        <v>27</v>
      </c>
      <c r="M114">
        <v>119</v>
      </c>
      <c r="N114">
        <v>41.3</v>
      </c>
      <c r="O114">
        <v>82.7</v>
      </c>
      <c r="P114">
        <v>5.9</v>
      </c>
      <c r="Q114">
        <v>3.61</v>
      </c>
      <c r="R114" t="s">
        <v>240</v>
      </c>
      <c r="S114" t="s">
        <v>29</v>
      </c>
      <c r="T114" t="s">
        <v>30</v>
      </c>
      <c r="U114" t="str">
        <f t="shared" si="3"/>
        <v>Normal</v>
      </c>
      <c r="V114" t="str">
        <f t="shared" si="4"/>
        <v>Normal</v>
      </c>
      <c r="W114" t="str">
        <f t="shared" si="5"/>
        <v>Normal</v>
      </c>
    </row>
    <row r="115" spans="1:23" x14ac:dyDescent="0.3">
      <c r="A115">
        <v>10754</v>
      </c>
      <c r="B115" s="2">
        <v>45847</v>
      </c>
      <c r="C115" t="s">
        <v>20</v>
      </c>
      <c r="D115" t="s">
        <v>64</v>
      </c>
      <c r="E115" t="s">
        <v>40</v>
      </c>
      <c r="F115" t="s">
        <v>41</v>
      </c>
      <c r="G115" t="s">
        <v>109</v>
      </c>
      <c r="H115" t="s">
        <v>287</v>
      </c>
      <c r="I115" t="s">
        <v>256</v>
      </c>
      <c r="J115">
        <v>1424</v>
      </c>
      <c r="K115">
        <v>90</v>
      </c>
      <c r="L115" t="s">
        <v>71</v>
      </c>
      <c r="M115">
        <v>36</v>
      </c>
      <c r="N115">
        <v>46.6</v>
      </c>
      <c r="O115">
        <v>82.7</v>
      </c>
      <c r="P115">
        <v>5.05</v>
      </c>
      <c r="Q115">
        <v>4.25</v>
      </c>
      <c r="R115" t="s">
        <v>103</v>
      </c>
      <c r="S115" t="s">
        <v>73</v>
      </c>
      <c r="T115" t="s">
        <v>48</v>
      </c>
      <c r="U115" t="str">
        <f t="shared" si="3"/>
        <v>Normal</v>
      </c>
      <c r="V115" t="str">
        <f t="shared" si="4"/>
        <v>Normal</v>
      </c>
      <c r="W115" t="str">
        <f t="shared" si="5"/>
        <v>Normal</v>
      </c>
    </row>
    <row r="116" spans="1:23" x14ac:dyDescent="0.3">
      <c r="A116">
        <v>10549</v>
      </c>
      <c r="B116" s="2">
        <v>45947</v>
      </c>
      <c r="C116" t="s">
        <v>20</v>
      </c>
      <c r="D116" t="s">
        <v>64</v>
      </c>
      <c r="E116" t="s">
        <v>40</v>
      </c>
      <c r="F116" t="s">
        <v>41</v>
      </c>
      <c r="G116" t="s">
        <v>50</v>
      </c>
      <c r="H116" t="s">
        <v>85</v>
      </c>
      <c r="I116" t="s">
        <v>86</v>
      </c>
      <c r="J116">
        <v>929</v>
      </c>
      <c r="K116">
        <v>37</v>
      </c>
      <c r="L116" t="s">
        <v>71</v>
      </c>
      <c r="M116">
        <v>146</v>
      </c>
      <c r="N116">
        <v>31.2</v>
      </c>
      <c r="O116">
        <v>82.6</v>
      </c>
      <c r="P116">
        <v>6.46</v>
      </c>
      <c r="Q116">
        <v>1.85</v>
      </c>
      <c r="R116" t="s">
        <v>87</v>
      </c>
      <c r="S116" t="s">
        <v>73</v>
      </c>
      <c r="T116" t="s">
        <v>48</v>
      </c>
      <c r="U116" t="str">
        <f t="shared" si="3"/>
        <v>Normal</v>
      </c>
      <c r="V116" t="str">
        <f t="shared" si="4"/>
        <v>Normal</v>
      </c>
      <c r="W116" t="str">
        <f t="shared" si="5"/>
        <v>Normal</v>
      </c>
    </row>
    <row r="117" spans="1:23" x14ac:dyDescent="0.3">
      <c r="A117">
        <v>11103</v>
      </c>
      <c r="B117" s="2">
        <v>45681</v>
      </c>
      <c r="C117" t="s">
        <v>20</v>
      </c>
      <c r="D117" t="s">
        <v>59</v>
      </c>
      <c r="E117" t="s">
        <v>40</v>
      </c>
      <c r="F117" t="s">
        <v>23</v>
      </c>
      <c r="G117" t="s">
        <v>89</v>
      </c>
      <c r="H117" t="s">
        <v>69</v>
      </c>
      <c r="I117" t="s">
        <v>260</v>
      </c>
      <c r="J117">
        <v>571</v>
      </c>
      <c r="K117">
        <v>2</v>
      </c>
      <c r="L117" t="s">
        <v>27</v>
      </c>
      <c r="M117">
        <v>118</v>
      </c>
      <c r="N117">
        <v>39.9</v>
      </c>
      <c r="O117">
        <v>82.6</v>
      </c>
      <c r="P117">
        <v>4.72</v>
      </c>
      <c r="Q117">
        <v>4.7300000000000004</v>
      </c>
      <c r="R117" t="s">
        <v>122</v>
      </c>
      <c r="S117" t="s">
        <v>39</v>
      </c>
      <c r="T117" t="s">
        <v>30</v>
      </c>
      <c r="U117" t="str">
        <f t="shared" si="3"/>
        <v>Normal</v>
      </c>
      <c r="V117" t="str">
        <f t="shared" si="4"/>
        <v>Normal</v>
      </c>
      <c r="W117" t="str">
        <f t="shared" si="5"/>
        <v>Normal</v>
      </c>
    </row>
    <row r="118" spans="1:23" x14ac:dyDescent="0.3">
      <c r="A118">
        <v>10100</v>
      </c>
      <c r="B118" s="2">
        <v>45786</v>
      </c>
      <c r="C118" t="s">
        <v>49</v>
      </c>
      <c r="D118" t="s">
        <v>21</v>
      </c>
      <c r="E118" t="s">
        <v>107</v>
      </c>
      <c r="F118" t="s">
        <v>23</v>
      </c>
      <c r="G118" t="s">
        <v>60</v>
      </c>
      <c r="H118" t="s">
        <v>138</v>
      </c>
      <c r="I118" t="s">
        <v>318</v>
      </c>
      <c r="J118">
        <v>1003</v>
      </c>
      <c r="K118">
        <v>37</v>
      </c>
      <c r="L118" t="s">
        <v>45</v>
      </c>
      <c r="M118">
        <v>25</v>
      </c>
      <c r="N118">
        <v>41.9</v>
      </c>
      <c r="O118">
        <v>82.5</v>
      </c>
      <c r="P118">
        <v>4.4400000000000004</v>
      </c>
      <c r="Q118">
        <v>0.42</v>
      </c>
      <c r="R118" t="s">
        <v>240</v>
      </c>
      <c r="S118" t="s">
        <v>39</v>
      </c>
      <c r="T118" t="s">
        <v>48</v>
      </c>
      <c r="U118" t="str">
        <f t="shared" si="3"/>
        <v>Normal</v>
      </c>
      <c r="V118" t="str">
        <f t="shared" si="4"/>
        <v>Normal</v>
      </c>
      <c r="W118" t="str">
        <f t="shared" si="5"/>
        <v>Normal</v>
      </c>
    </row>
    <row r="119" spans="1:23" x14ac:dyDescent="0.3">
      <c r="A119">
        <v>11324</v>
      </c>
      <c r="B119" s="2">
        <v>46009</v>
      </c>
      <c r="C119" t="s">
        <v>49</v>
      </c>
      <c r="D119" t="s">
        <v>64</v>
      </c>
      <c r="E119" t="s">
        <v>33</v>
      </c>
      <c r="F119" t="s">
        <v>41</v>
      </c>
      <c r="G119" t="s">
        <v>89</v>
      </c>
      <c r="H119" t="s">
        <v>116</v>
      </c>
      <c r="I119" t="s">
        <v>297</v>
      </c>
      <c r="J119">
        <v>617</v>
      </c>
      <c r="K119">
        <v>19</v>
      </c>
      <c r="L119" t="s">
        <v>27</v>
      </c>
      <c r="M119">
        <v>97</v>
      </c>
      <c r="N119">
        <v>26.8</v>
      </c>
      <c r="O119">
        <v>82.5</v>
      </c>
      <c r="P119">
        <v>4.84</v>
      </c>
      <c r="Q119">
        <v>1.91</v>
      </c>
      <c r="R119" t="s">
        <v>164</v>
      </c>
      <c r="S119" t="s">
        <v>29</v>
      </c>
      <c r="T119" t="s">
        <v>48</v>
      </c>
      <c r="U119" t="str">
        <f t="shared" si="3"/>
        <v>Normal</v>
      </c>
      <c r="V119" t="str">
        <f t="shared" si="4"/>
        <v>Normal</v>
      </c>
      <c r="W119" t="str">
        <f t="shared" si="5"/>
        <v>Normal</v>
      </c>
    </row>
    <row r="120" spans="1:23" x14ac:dyDescent="0.3">
      <c r="A120">
        <v>11498</v>
      </c>
      <c r="B120" s="2">
        <v>45809</v>
      </c>
      <c r="C120" t="s">
        <v>31</v>
      </c>
      <c r="D120" t="s">
        <v>59</v>
      </c>
      <c r="E120" t="s">
        <v>107</v>
      </c>
      <c r="F120" t="s">
        <v>81</v>
      </c>
      <c r="G120" t="s">
        <v>109</v>
      </c>
      <c r="H120" t="s">
        <v>177</v>
      </c>
      <c r="I120" t="s">
        <v>226</v>
      </c>
      <c r="J120">
        <v>1282</v>
      </c>
      <c r="K120">
        <v>14</v>
      </c>
      <c r="L120" t="s">
        <v>68</v>
      </c>
      <c r="M120">
        <v>21</v>
      </c>
      <c r="N120">
        <v>44.4</v>
      </c>
      <c r="O120">
        <v>82.5</v>
      </c>
      <c r="P120">
        <v>3.92</v>
      </c>
      <c r="Q120">
        <v>2.39</v>
      </c>
      <c r="R120" t="s">
        <v>243</v>
      </c>
      <c r="S120" t="s">
        <v>29</v>
      </c>
      <c r="T120" t="s">
        <v>30</v>
      </c>
      <c r="U120" t="str">
        <f t="shared" si="3"/>
        <v>Normal</v>
      </c>
      <c r="V120" t="str">
        <f t="shared" si="4"/>
        <v>Normal</v>
      </c>
      <c r="W120" t="str">
        <f t="shared" si="5"/>
        <v>Normal</v>
      </c>
    </row>
    <row r="121" spans="1:23" x14ac:dyDescent="0.3">
      <c r="A121">
        <v>11309</v>
      </c>
      <c r="B121" s="2">
        <v>45916</v>
      </c>
      <c r="C121" t="s">
        <v>20</v>
      </c>
      <c r="D121" t="s">
        <v>32</v>
      </c>
      <c r="E121" t="s">
        <v>22</v>
      </c>
      <c r="F121" t="s">
        <v>41</v>
      </c>
      <c r="G121" t="s">
        <v>74</v>
      </c>
      <c r="H121" t="s">
        <v>75</v>
      </c>
      <c r="I121" t="s">
        <v>76</v>
      </c>
      <c r="J121">
        <v>916</v>
      </c>
      <c r="K121">
        <v>60</v>
      </c>
      <c r="L121" t="s">
        <v>45</v>
      </c>
      <c r="M121">
        <v>68</v>
      </c>
      <c r="N121">
        <v>49.8</v>
      </c>
      <c r="O121">
        <v>82.4</v>
      </c>
      <c r="P121">
        <v>3.78</v>
      </c>
      <c r="Q121">
        <v>3.32</v>
      </c>
      <c r="R121" t="s">
        <v>77</v>
      </c>
      <c r="S121" t="s">
        <v>73</v>
      </c>
      <c r="T121" t="s">
        <v>48</v>
      </c>
      <c r="U121" t="str">
        <f t="shared" si="3"/>
        <v>Normal</v>
      </c>
      <c r="V121" t="str">
        <f t="shared" si="4"/>
        <v>Normal</v>
      </c>
      <c r="W121" t="str">
        <f t="shared" si="5"/>
        <v>Normal</v>
      </c>
    </row>
    <row r="122" spans="1:23" x14ac:dyDescent="0.3">
      <c r="A122">
        <v>10079</v>
      </c>
      <c r="B122" s="2">
        <v>45941</v>
      </c>
      <c r="C122" t="s">
        <v>20</v>
      </c>
      <c r="D122" t="s">
        <v>32</v>
      </c>
      <c r="E122" t="s">
        <v>22</v>
      </c>
      <c r="F122" t="s">
        <v>23</v>
      </c>
      <c r="G122" t="s">
        <v>54</v>
      </c>
      <c r="H122" t="s">
        <v>193</v>
      </c>
      <c r="I122" t="s">
        <v>117</v>
      </c>
      <c r="J122">
        <v>582</v>
      </c>
      <c r="K122">
        <v>3</v>
      </c>
      <c r="L122" t="s">
        <v>68</v>
      </c>
      <c r="M122">
        <v>124</v>
      </c>
      <c r="N122">
        <v>44.5</v>
      </c>
      <c r="O122">
        <v>82.4</v>
      </c>
      <c r="P122">
        <v>4.96</v>
      </c>
      <c r="Q122">
        <v>3.22</v>
      </c>
      <c r="R122" t="s">
        <v>164</v>
      </c>
      <c r="S122" t="s">
        <v>29</v>
      </c>
      <c r="T122" t="s">
        <v>30</v>
      </c>
      <c r="U122" t="str">
        <f t="shared" si="3"/>
        <v>Normal</v>
      </c>
      <c r="V122" t="str">
        <f t="shared" si="4"/>
        <v>Normal</v>
      </c>
      <c r="W122" t="str">
        <f t="shared" si="5"/>
        <v>Normal</v>
      </c>
    </row>
    <row r="123" spans="1:23" x14ac:dyDescent="0.3">
      <c r="A123">
        <v>10317</v>
      </c>
      <c r="B123" s="2">
        <v>45678</v>
      </c>
      <c r="C123" t="s">
        <v>31</v>
      </c>
      <c r="D123" t="s">
        <v>59</v>
      </c>
      <c r="E123" t="s">
        <v>40</v>
      </c>
      <c r="F123" t="s">
        <v>23</v>
      </c>
      <c r="G123" t="s">
        <v>134</v>
      </c>
      <c r="H123" t="s">
        <v>278</v>
      </c>
      <c r="I123" t="s">
        <v>214</v>
      </c>
      <c r="J123">
        <v>807</v>
      </c>
      <c r="K123">
        <v>10</v>
      </c>
      <c r="L123" t="s">
        <v>57</v>
      </c>
      <c r="M123">
        <v>62</v>
      </c>
      <c r="N123">
        <v>53.4</v>
      </c>
      <c r="O123">
        <v>82.4</v>
      </c>
      <c r="P123">
        <v>7.21</v>
      </c>
      <c r="Q123">
        <v>3.71</v>
      </c>
      <c r="R123" t="s">
        <v>153</v>
      </c>
      <c r="S123" t="s">
        <v>29</v>
      </c>
      <c r="T123" t="s">
        <v>30</v>
      </c>
      <c r="U123" t="str">
        <f t="shared" si="3"/>
        <v>Normal</v>
      </c>
      <c r="V123" t="str">
        <f t="shared" si="4"/>
        <v>Normal</v>
      </c>
      <c r="W123" t="str">
        <f t="shared" si="5"/>
        <v>Normal</v>
      </c>
    </row>
    <row r="124" spans="1:23" x14ac:dyDescent="0.3">
      <c r="A124">
        <v>10825</v>
      </c>
      <c r="B124" s="2">
        <v>45782</v>
      </c>
      <c r="C124" t="s">
        <v>20</v>
      </c>
      <c r="D124" t="s">
        <v>32</v>
      </c>
      <c r="E124" t="s">
        <v>107</v>
      </c>
      <c r="F124" t="s">
        <v>23</v>
      </c>
      <c r="G124" t="s">
        <v>42</v>
      </c>
      <c r="H124" t="s">
        <v>180</v>
      </c>
      <c r="I124" t="s">
        <v>226</v>
      </c>
      <c r="J124">
        <v>1535</v>
      </c>
      <c r="K124">
        <v>136</v>
      </c>
      <c r="L124" t="s">
        <v>71</v>
      </c>
      <c r="M124">
        <v>116</v>
      </c>
      <c r="N124">
        <v>38.799999999999997</v>
      </c>
      <c r="O124">
        <v>82.4</v>
      </c>
      <c r="P124">
        <v>6.29</v>
      </c>
      <c r="Q124">
        <v>1.06</v>
      </c>
      <c r="R124" t="s">
        <v>152</v>
      </c>
      <c r="S124" t="s">
        <v>73</v>
      </c>
      <c r="T124" t="s">
        <v>48</v>
      </c>
      <c r="U124" t="str">
        <f t="shared" si="3"/>
        <v>Normal</v>
      </c>
      <c r="V124" t="str">
        <f t="shared" si="4"/>
        <v>Normal</v>
      </c>
      <c r="W124" t="str">
        <f t="shared" si="5"/>
        <v>Normal</v>
      </c>
    </row>
    <row r="125" spans="1:23" x14ac:dyDescent="0.3">
      <c r="A125">
        <v>11265</v>
      </c>
      <c r="B125" s="2">
        <v>45986</v>
      </c>
      <c r="C125" t="s">
        <v>49</v>
      </c>
      <c r="D125" t="s">
        <v>64</v>
      </c>
      <c r="E125" t="s">
        <v>107</v>
      </c>
      <c r="F125" t="s">
        <v>23</v>
      </c>
      <c r="G125" t="s">
        <v>95</v>
      </c>
      <c r="H125" t="s">
        <v>196</v>
      </c>
      <c r="I125" t="s">
        <v>322</v>
      </c>
      <c r="J125">
        <v>607</v>
      </c>
      <c r="K125">
        <v>7</v>
      </c>
      <c r="L125" t="s">
        <v>71</v>
      </c>
      <c r="M125">
        <v>26</v>
      </c>
      <c r="N125">
        <v>48.5</v>
      </c>
      <c r="O125">
        <v>82.4</v>
      </c>
      <c r="P125">
        <v>4.66</v>
      </c>
      <c r="Q125">
        <v>3.4</v>
      </c>
      <c r="R125" t="s">
        <v>103</v>
      </c>
      <c r="S125" t="s">
        <v>47</v>
      </c>
      <c r="T125" t="s">
        <v>30</v>
      </c>
      <c r="U125" t="str">
        <f t="shared" si="3"/>
        <v>Normal</v>
      </c>
      <c r="V125" t="str">
        <f t="shared" si="4"/>
        <v>Normal</v>
      </c>
      <c r="W125" t="str">
        <f t="shared" si="5"/>
        <v>Normal</v>
      </c>
    </row>
    <row r="126" spans="1:23" x14ac:dyDescent="0.3">
      <c r="A126">
        <v>10818</v>
      </c>
      <c r="B126" s="2">
        <v>45791</v>
      </c>
      <c r="C126" t="s">
        <v>49</v>
      </c>
      <c r="D126" t="s">
        <v>64</v>
      </c>
      <c r="E126" t="s">
        <v>107</v>
      </c>
      <c r="F126" t="s">
        <v>41</v>
      </c>
      <c r="G126" t="s">
        <v>134</v>
      </c>
      <c r="H126" t="s">
        <v>101</v>
      </c>
      <c r="I126" t="s">
        <v>366</v>
      </c>
      <c r="J126">
        <v>1590</v>
      </c>
      <c r="K126">
        <v>19</v>
      </c>
      <c r="L126" t="s">
        <v>27</v>
      </c>
      <c r="M126">
        <v>96</v>
      </c>
      <c r="N126">
        <v>50</v>
      </c>
      <c r="O126">
        <v>82.3</v>
      </c>
      <c r="P126">
        <v>4.93</v>
      </c>
      <c r="Q126">
        <v>2.52</v>
      </c>
      <c r="R126" t="s">
        <v>38</v>
      </c>
      <c r="S126" t="s">
        <v>73</v>
      </c>
      <c r="T126" t="s">
        <v>30</v>
      </c>
      <c r="U126" t="str">
        <f t="shared" si="3"/>
        <v>Normal</v>
      </c>
      <c r="V126" t="str">
        <f t="shared" si="4"/>
        <v>Normal</v>
      </c>
      <c r="W126" t="str">
        <f t="shared" si="5"/>
        <v>Normal</v>
      </c>
    </row>
    <row r="127" spans="1:23" x14ac:dyDescent="0.3">
      <c r="A127">
        <v>11250</v>
      </c>
      <c r="B127" s="2">
        <v>45978</v>
      </c>
      <c r="C127" t="s">
        <v>20</v>
      </c>
      <c r="D127" t="s">
        <v>64</v>
      </c>
      <c r="E127" t="s">
        <v>107</v>
      </c>
      <c r="F127" t="s">
        <v>41</v>
      </c>
      <c r="G127" t="s">
        <v>134</v>
      </c>
      <c r="H127" t="s">
        <v>131</v>
      </c>
      <c r="I127" t="s">
        <v>332</v>
      </c>
      <c r="J127">
        <v>501</v>
      </c>
      <c r="K127">
        <v>4</v>
      </c>
      <c r="L127" t="s">
        <v>27</v>
      </c>
      <c r="M127">
        <v>91</v>
      </c>
      <c r="N127">
        <v>38.299999999999997</v>
      </c>
      <c r="O127">
        <v>82.3</v>
      </c>
      <c r="P127">
        <v>5.41</v>
      </c>
      <c r="Q127">
        <v>2.37</v>
      </c>
      <c r="R127" t="s">
        <v>133</v>
      </c>
      <c r="S127" t="s">
        <v>39</v>
      </c>
      <c r="T127" t="s">
        <v>30</v>
      </c>
      <c r="U127" t="str">
        <f t="shared" si="3"/>
        <v>Normal</v>
      </c>
      <c r="V127" t="str">
        <f t="shared" si="4"/>
        <v>Normal</v>
      </c>
      <c r="W127" t="str">
        <f t="shared" si="5"/>
        <v>Normal</v>
      </c>
    </row>
    <row r="128" spans="1:23" x14ac:dyDescent="0.3">
      <c r="A128">
        <v>11098</v>
      </c>
      <c r="B128" s="2">
        <v>45708</v>
      </c>
      <c r="C128" t="s">
        <v>31</v>
      </c>
      <c r="D128" t="s">
        <v>21</v>
      </c>
      <c r="E128" t="s">
        <v>40</v>
      </c>
      <c r="F128" t="s">
        <v>23</v>
      </c>
      <c r="G128" t="s">
        <v>89</v>
      </c>
      <c r="H128" t="s">
        <v>172</v>
      </c>
      <c r="I128" t="s">
        <v>308</v>
      </c>
      <c r="J128">
        <v>1093</v>
      </c>
      <c r="K128">
        <v>9</v>
      </c>
      <c r="L128" t="s">
        <v>57</v>
      </c>
      <c r="M128">
        <v>30</v>
      </c>
      <c r="N128">
        <v>41.4</v>
      </c>
      <c r="O128">
        <v>82.2</v>
      </c>
      <c r="P128">
        <v>4.7</v>
      </c>
      <c r="Q128">
        <v>2.35</v>
      </c>
      <c r="R128" t="s">
        <v>147</v>
      </c>
      <c r="S128" t="s">
        <v>39</v>
      </c>
      <c r="T128" t="s">
        <v>30</v>
      </c>
      <c r="U128" t="str">
        <f t="shared" si="3"/>
        <v>Normal</v>
      </c>
      <c r="V128" t="str">
        <f t="shared" si="4"/>
        <v>Normal</v>
      </c>
      <c r="W128" t="str">
        <f t="shared" si="5"/>
        <v>Normal</v>
      </c>
    </row>
    <row r="129" spans="1:23" x14ac:dyDescent="0.3">
      <c r="A129">
        <v>10595</v>
      </c>
      <c r="B129" s="2">
        <v>45968</v>
      </c>
      <c r="C129" t="s">
        <v>20</v>
      </c>
      <c r="D129" t="s">
        <v>32</v>
      </c>
      <c r="E129" t="s">
        <v>40</v>
      </c>
      <c r="F129" t="s">
        <v>23</v>
      </c>
      <c r="G129" t="s">
        <v>24</v>
      </c>
      <c r="H129" t="s">
        <v>193</v>
      </c>
      <c r="I129" t="s">
        <v>307</v>
      </c>
      <c r="J129">
        <v>1011</v>
      </c>
      <c r="K129">
        <v>20</v>
      </c>
      <c r="L129" t="s">
        <v>57</v>
      </c>
      <c r="M129">
        <v>111</v>
      </c>
      <c r="N129">
        <v>39</v>
      </c>
      <c r="O129">
        <v>82.2</v>
      </c>
      <c r="P129">
        <v>5.2</v>
      </c>
      <c r="Q129">
        <v>3.63</v>
      </c>
      <c r="R129" t="s">
        <v>216</v>
      </c>
      <c r="S129" t="s">
        <v>39</v>
      </c>
      <c r="T129" t="s">
        <v>30</v>
      </c>
      <c r="U129" t="str">
        <f t="shared" si="3"/>
        <v>Normal</v>
      </c>
      <c r="V129" t="str">
        <f t="shared" si="4"/>
        <v>Normal</v>
      </c>
      <c r="W129" t="str">
        <f t="shared" si="5"/>
        <v>Normal</v>
      </c>
    </row>
    <row r="130" spans="1:23" x14ac:dyDescent="0.3">
      <c r="A130">
        <v>10118</v>
      </c>
      <c r="B130" s="2">
        <v>45924</v>
      </c>
      <c r="C130" t="s">
        <v>49</v>
      </c>
      <c r="D130" t="s">
        <v>21</v>
      </c>
      <c r="E130" t="s">
        <v>107</v>
      </c>
      <c r="F130" t="s">
        <v>23</v>
      </c>
      <c r="G130" t="s">
        <v>24</v>
      </c>
      <c r="H130" t="s">
        <v>120</v>
      </c>
      <c r="I130" t="s">
        <v>185</v>
      </c>
      <c r="J130">
        <v>1128</v>
      </c>
      <c r="K130">
        <v>40</v>
      </c>
      <c r="L130" t="s">
        <v>71</v>
      </c>
      <c r="M130">
        <v>76</v>
      </c>
      <c r="N130">
        <v>38.9</v>
      </c>
      <c r="O130">
        <v>82.2</v>
      </c>
      <c r="P130">
        <v>5.25</v>
      </c>
      <c r="Q130">
        <v>3.74</v>
      </c>
      <c r="R130" t="s">
        <v>80</v>
      </c>
      <c r="S130" t="s">
        <v>47</v>
      </c>
      <c r="T130" t="s">
        <v>48</v>
      </c>
      <c r="U130" t="str">
        <f t="shared" ref="U130:U193" si="6">IF(OR(O130&lt;20,O130&gt;100),"Investigate","Normal")</f>
        <v>Normal</v>
      </c>
      <c r="V130" t="str">
        <f t="shared" ref="V130:V193" si="7">IF(OR(P130&lt;2,P130&gt;10),"Investigate","Normal")</f>
        <v>Normal</v>
      </c>
      <c r="W130" t="str">
        <f t="shared" ref="W130:W193" si="8">IF(Q130&gt;10,"Investigate","Normal")</f>
        <v>Normal</v>
      </c>
    </row>
    <row r="131" spans="1:23" x14ac:dyDescent="0.3">
      <c r="A131">
        <v>10058</v>
      </c>
      <c r="B131" s="2">
        <v>45760</v>
      </c>
      <c r="C131" t="s">
        <v>20</v>
      </c>
      <c r="D131" t="s">
        <v>59</v>
      </c>
      <c r="E131" t="s">
        <v>40</v>
      </c>
      <c r="F131" t="s">
        <v>23</v>
      </c>
      <c r="G131" t="s">
        <v>54</v>
      </c>
      <c r="H131" t="s">
        <v>90</v>
      </c>
      <c r="I131" t="s">
        <v>352</v>
      </c>
      <c r="J131">
        <v>1176</v>
      </c>
      <c r="K131">
        <v>15</v>
      </c>
      <c r="L131" t="s">
        <v>71</v>
      </c>
      <c r="M131">
        <v>135</v>
      </c>
      <c r="N131">
        <v>34.700000000000003</v>
      </c>
      <c r="O131">
        <v>82.2</v>
      </c>
      <c r="P131">
        <v>4.99</v>
      </c>
      <c r="Q131">
        <v>2.95</v>
      </c>
      <c r="R131" t="s">
        <v>122</v>
      </c>
      <c r="S131" t="s">
        <v>47</v>
      </c>
      <c r="T131" t="s">
        <v>30</v>
      </c>
      <c r="U131" t="str">
        <f t="shared" si="6"/>
        <v>Normal</v>
      </c>
      <c r="V131" t="str">
        <f t="shared" si="7"/>
        <v>Normal</v>
      </c>
      <c r="W131" t="str">
        <f t="shared" si="8"/>
        <v>Normal</v>
      </c>
    </row>
    <row r="132" spans="1:23" x14ac:dyDescent="0.3">
      <c r="A132">
        <v>10761</v>
      </c>
      <c r="B132" s="2">
        <v>45920</v>
      </c>
      <c r="C132" t="s">
        <v>49</v>
      </c>
      <c r="D132" t="s">
        <v>32</v>
      </c>
      <c r="E132" t="s">
        <v>107</v>
      </c>
      <c r="F132" t="s">
        <v>23</v>
      </c>
      <c r="G132" t="s">
        <v>95</v>
      </c>
      <c r="H132" t="s">
        <v>287</v>
      </c>
      <c r="I132" t="s">
        <v>241</v>
      </c>
      <c r="J132">
        <v>1302</v>
      </c>
      <c r="K132">
        <v>30</v>
      </c>
      <c r="L132" t="s">
        <v>45</v>
      </c>
      <c r="M132">
        <v>79</v>
      </c>
      <c r="N132">
        <v>51.1</v>
      </c>
      <c r="O132">
        <v>82.2</v>
      </c>
      <c r="P132">
        <v>4.51</v>
      </c>
      <c r="Q132">
        <v>3.02</v>
      </c>
      <c r="R132" t="s">
        <v>137</v>
      </c>
      <c r="S132" t="s">
        <v>47</v>
      </c>
      <c r="T132" t="s">
        <v>30</v>
      </c>
      <c r="U132" t="str">
        <f t="shared" si="6"/>
        <v>Normal</v>
      </c>
      <c r="V132" t="str">
        <f t="shared" si="7"/>
        <v>Normal</v>
      </c>
      <c r="W132" t="str">
        <f t="shared" si="8"/>
        <v>Normal</v>
      </c>
    </row>
    <row r="133" spans="1:23" x14ac:dyDescent="0.3">
      <c r="A133">
        <v>10955</v>
      </c>
      <c r="B133" s="2">
        <v>45688</v>
      </c>
      <c r="C133" t="s">
        <v>49</v>
      </c>
      <c r="D133" t="s">
        <v>64</v>
      </c>
      <c r="E133" t="s">
        <v>33</v>
      </c>
      <c r="F133" t="s">
        <v>81</v>
      </c>
      <c r="G133" t="s">
        <v>34</v>
      </c>
      <c r="H133" t="s">
        <v>351</v>
      </c>
      <c r="I133" t="s">
        <v>362</v>
      </c>
      <c r="J133">
        <v>1473</v>
      </c>
      <c r="K133">
        <v>19</v>
      </c>
      <c r="L133" t="s">
        <v>68</v>
      </c>
      <c r="M133">
        <v>82</v>
      </c>
      <c r="N133">
        <v>45.3</v>
      </c>
      <c r="O133">
        <v>82.2</v>
      </c>
      <c r="P133">
        <v>4.92</v>
      </c>
      <c r="Q133">
        <v>2.09</v>
      </c>
      <c r="R133" t="s">
        <v>179</v>
      </c>
      <c r="S133" t="s">
        <v>39</v>
      </c>
      <c r="T133" t="s">
        <v>30</v>
      </c>
      <c r="U133" t="str">
        <f t="shared" si="6"/>
        <v>Normal</v>
      </c>
      <c r="V133" t="str">
        <f t="shared" si="7"/>
        <v>Normal</v>
      </c>
      <c r="W133" t="str">
        <f t="shared" si="8"/>
        <v>Normal</v>
      </c>
    </row>
    <row r="134" spans="1:23" x14ac:dyDescent="0.3">
      <c r="A134">
        <v>10383</v>
      </c>
      <c r="B134" s="2">
        <v>45796</v>
      </c>
      <c r="C134" t="s">
        <v>49</v>
      </c>
      <c r="D134" t="s">
        <v>21</v>
      </c>
      <c r="E134" t="s">
        <v>40</v>
      </c>
      <c r="F134" t="s">
        <v>41</v>
      </c>
      <c r="G134" t="s">
        <v>89</v>
      </c>
      <c r="H134" t="s">
        <v>66</v>
      </c>
      <c r="I134" t="s">
        <v>224</v>
      </c>
      <c r="J134">
        <v>1184</v>
      </c>
      <c r="K134">
        <v>18</v>
      </c>
      <c r="L134" t="s">
        <v>57</v>
      </c>
      <c r="M134">
        <v>14</v>
      </c>
      <c r="N134">
        <v>43.8</v>
      </c>
      <c r="O134">
        <v>82.1</v>
      </c>
      <c r="P134">
        <v>5.33</v>
      </c>
      <c r="Q134">
        <v>2.34</v>
      </c>
      <c r="R134" t="s">
        <v>128</v>
      </c>
      <c r="S134" t="s">
        <v>73</v>
      </c>
      <c r="T134" t="s">
        <v>30</v>
      </c>
      <c r="U134" t="str">
        <f t="shared" si="6"/>
        <v>Normal</v>
      </c>
      <c r="V134" t="str">
        <f t="shared" si="7"/>
        <v>Normal</v>
      </c>
      <c r="W134" t="str">
        <f t="shared" si="8"/>
        <v>Normal</v>
      </c>
    </row>
    <row r="135" spans="1:23" x14ac:dyDescent="0.3">
      <c r="A135">
        <v>11162</v>
      </c>
      <c r="B135" s="2">
        <v>46018</v>
      </c>
      <c r="C135" t="s">
        <v>49</v>
      </c>
      <c r="D135" t="s">
        <v>32</v>
      </c>
      <c r="E135" t="s">
        <v>40</v>
      </c>
      <c r="F135" t="s">
        <v>41</v>
      </c>
      <c r="G135" t="s">
        <v>113</v>
      </c>
      <c r="H135" t="s">
        <v>120</v>
      </c>
      <c r="I135" t="s">
        <v>237</v>
      </c>
      <c r="J135">
        <v>1499</v>
      </c>
      <c r="K135">
        <v>8</v>
      </c>
      <c r="L135" t="s">
        <v>37</v>
      </c>
      <c r="M135">
        <v>26</v>
      </c>
      <c r="N135">
        <v>43.2</v>
      </c>
      <c r="O135">
        <v>82.1</v>
      </c>
      <c r="P135">
        <v>5.52</v>
      </c>
      <c r="Q135">
        <v>2.64</v>
      </c>
      <c r="R135" t="s">
        <v>84</v>
      </c>
      <c r="S135" t="s">
        <v>47</v>
      </c>
      <c r="T135" t="s">
        <v>30</v>
      </c>
      <c r="U135" t="str">
        <f t="shared" si="6"/>
        <v>Normal</v>
      </c>
      <c r="V135" t="str">
        <f t="shared" si="7"/>
        <v>Normal</v>
      </c>
      <c r="W135" t="str">
        <f t="shared" si="8"/>
        <v>Normal</v>
      </c>
    </row>
    <row r="136" spans="1:23" x14ac:dyDescent="0.3">
      <c r="A136">
        <v>10306</v>
      </c>
      <c r="B136" s="2">
        <v>45855</v>
      </c>
      <c r="C136" t="s">
        <v>49</v>
      </c>
      <c r="D136" t="s">
        <v>59</v>
      </c>
      <c r="E136" t="s">
        <v>22</v>
      </c>
      <c r="F136" t="s">
        <v>41</v>
      </c>
      <c r="G136" t="s">
        <v>42</v>
      </c>
      <c r="H136" t="s">
        <v>169</v>
      </c>
      <c r="I136" t="s">
        <v>163</v>
      </c>
      <c r="J136">
        <v>466</v>
      </c>
      <c r="K136">
        <v>2</v>
      </c>
      <c r="L136" t="s">
        <v>37</v>
      </c>
      <c r="M136">
        <v>82</v>
      </c>
      <c r="N136">
        <v>39.700000000000003</v>
      </c>
      <c r="O136">
        <v>82.1</v>
      </c>
      <c r="P136">
        <v>5.52</v>
      </c>
      <c r="Q136">
        <v>2.61</v>
      </c>
      <c r="R136" t="s">
        <v>58</v>
      </c>
      <c r="S136" t="s">
        <v>29</v>
      </c>
      <c r="T136" t="s">
        <v>30</v>
      </c>
      <c r="U136" t="str">
        <f t="shared" si="6"/>
        <v>Normal</v>
      </c>
      <c r="V136" t="str">
        <f t="shared" si="7"/>
        <v>Normal</v>
      </c>
      <c r="W136" t="str">
        <f t="shared" si="8"/>
        <v>Normal</v>
      </c>
    </row>
    <row r="137" spans="1:23" x14ac:dyDescent="0.3">
      <c r="A137">
        <v>10344</v>
      </c>
      <c r="B137" s="2">
        <v>45855</v>
      </c>
      <c r="C137" t="s">
        <v>20</v>
      </c>
      <c r="D137" t="s">
        <v>59</v>
      </c>
      <c r="E137" t="s">
        <v>40</v>
      </c>
      <c r="F137" t="s">
        <v>23</v>
      </c>
      <c r="G137" t="s">
        <v>60</v>
      </c>
      <c r="H137" t="s">
        <v>82</v>
      </c>
      <c r="I137" t="s">
        <v>273</v>
      </c>
      <c r="J137">
        <v>1278</v>
      </c>
      <c r="K137">
        <v>35</v>
      </c>
      <c r="L137" t="s">
        <v>27</v>
      </c>
      <c r="M137">
        <v>50</v>
      </c>
      <c r="N137">
        <v>40</v>
      </c>
      <c r="O137">
        <v>82.1</v>
      </c>
      <c r="P137">
        <v>4.72</v>
      </c>
      <c r="Q137">
        <v>1.86</v>
      </c>
      <c r="R137" t="s">
        <v>202</v>
      </c>
      <c r="S137" t="s">
        <v>73</v>
      </c>
      <c r="T137" t="s">
        <v>30</v>
      </c>
      <c r="U137" t="str">
        <f t="shared" si="6"/>
        <v>Normal</v>
      </c>
      <c r="V137" t="str">
        <f t="shared" si="7"/>
        <v>Normal</v>
      </c>
      <c r="W137" t="str">
        <f t="shared" si="8"/>
        <v>Normal</v>
      </c>
    </row>
    <row r="138" spans="1:23" x14ac:dyDescent="0.3">
      <c r="A138">
        <v>11334</v>
      </c>
      <c r="B138" s="2">
        <v>45774</v>
      </c>
      <c r="C138" t="s">
        <v>20</v>
      </c>
      <c r="D138" t="s">
        <v>64</v>
      </c>
      <c r="E138" t="s">
        <v>40</v>
      </c>
      <c r="F138" t="s">
        <v>41</v>
      </c>
      <c r="G138" t="s">
        <v>42</v>
      </c>
      <c r="H138" t="s">
        <v>180</v>
      </c>
      <c r="I138" t="s">
        <v>268</v>
      </c>
      <c r="J138">
        <v>1478</v>
      </c>
      <c r="K138">
        <v>13</v>
      </c>
      <c r="L138" t="s">
        <v>71</v>
      </c>
      <c r="M138">
        <v>16</v>
      </c>
      <c r="N138">
        <v>38.799999999999997</v>
      </c>
      <c r="O138">
        <v>82</v>
      </c>
      <c r="P138">
        <v>4.75</v>
      </c>
      <c r="Q138">
        <v>2.5099999999999998</v>
      </c>
      <c r="R138" t="s">
        <v>202</v>
      </c>
      <c r="S138" t="s">
        <v>29</v>
      </c>
      <c r="T138" t="s">
        <v>30</v>
      </c>
      <c r="U138" t="str">
        <f t="shared" si="6"/>
        <v>Normal</v>
      </c>
      <c r="V138" t="str">
        <f t="shared" si="7"/>
        <v>Normal</v>
      </c>
      <c r="W138" t="str">
        <f t="shared" si="8"/>
        <v>Normal</v>
      </c>
    </row>
    <row r="139" spans="1:23" x14ac:dyDescent="0.3">
      <c r="A139">
        <v>11293</v>
      </c>
      <c r="B139" s="2">
        <v>45671</v>
      </c>
      <c r="C139" t="s">
        <v>31</v>
      </c>
      <c r="D139" t="s">
        <v>59</v>
      </c>
      <c r="E139" t="s">
        <v>40</v>
      </c>
      <c r="F139" t="s">
        <v>23</v>
      </c>
      <c r="G139" t="s">
        <v>113</v>
      </c>
      <c r="H139" t="s">
        <v>190</v>
      </c>
      <c r="I139" t="s">
        <v>318</v>
      </c>
      <c r="J139">
        <v>622</v>
      </c>
      <c r="K139">
        <v>3</v>
      </c>
      <c r="L139" t="s">
        <v>57</v>
      </c>
      <c r="M139">
        <v>141</v>
      </c>
      <c r="N139">
        <v>48.7</v>
      </c>
      <c r="O139">
        <v>82</v>
      </c>
      <c r="P139">
        <v>4.6100000000000003</v>
      </c>
      <c r="Q139">
        <v>1.82</v>
      </c>
      <c r="R139" t="s">
        <v>130</v>
      </c>
      <c r="S139" t="s">
        <v>29</v>
      </c>
      <c r="T139" t="s">
        <v>30</v>
      </c>
      <c r="U139" t="str">
        <f t="shared" si="6"/>
        <v>Normal</v>
      </c>
      <c r="V139" t="str">
        <f t="shared" si="7"/>
        <v>Normal</v>
      </c>
      <c r="W139" t="str">
        <f t="shared" si="8"/>
        <v>Normal</v>
      </c>
    </row>
    <row r="140" spans="1:23" x14ac:dyDescent="0.3">
      <c r="A140">
        <v>10163</v>
      </c>
      <c r="B140" s="2">
        <v>45697</v>
      </c>
      <c r="C140" t="s">
        <v>31</v>
      </c>
      <c r="D140" t="s">
        <v>64</v>
      </c>
      <c r="E140" t="s">
        <v>107</v>
      </c>
      <c r="F140" t="s">
        <v>41</v>
      </c>
      <c r="G140" t="s">
        <v>134</v>
      </c>
      <c r="H140" t="s">
        <v>180</v>
      </c>
      <c r="I140" t="s">
        <v>56</v>
      </c>
      <c r="J140">
        <v>924</v>
      </c>
      <c r="K140">
        <v>3</v>
      </c>
      <c r="L140" t="s">
        <v>71</v>
      </c>
      <c r="M140">
        <v>71</v>
      </c>
      <c r="N140">
        <v>21.5</v>
      </c>
      <c r="O140">
        <v>82</v>
      </c>
      <c r="P140">
        <v>5.07</v>
      </c>
      <c r="Q140">
        <v>3.53</v>
      </c>
      <c r="R140" t="s">
        <v>232</v>
      </c>
      <c r="S140" t="s">
        <v>73</v>
      </c>
      <c r="T140" t="s">
        <v>30</v>
      </c>
      <c r="U140" t="str">
        <f t="shared" si="6"/>
        <v>Normal</v>
      </c>
      <c r="V140" t="str">
        <f t="shared" si="7"/>
        <v>Normal</v>
      </c>
      <c r="W140" t="str">
        <f t="shared" si="8"/>
        <v>Normal</v>
      </c>
    </row>
    <row r="141" spans="1:23" x14ac:dyDescent="0.3">
      <c r="A141">
        <v>11427</v>
      </c>
      <c r="B141" s="2">
        <v>45739</v>
      </c>
      <c r="C141" t="s">
        <v>20</v>
      </c>
      <c r="D141" t="s">
        <v>21</v>
      </c>
      <c r="E141" t="s">
        <v>107</v>
      </c>
      <c r="F141" t="s">
        <v>81</v>
      </c>
      <c r="G141" t="s">
        <v>74</v>
      </c>
      <c r="H141" t="s">
        <v>25</v>
      </c>
      <c r="I141" t="s">
        <v>348</v>
      </c>
      <c r="J141">
        <v>1070</v>
      </c>
      <c r="K141">
        <v>8</v>
      </c>
      <c r="L141" t="s">
        <v>57</v>
      </c>
      <c r="M141">
        <v>42</v>
      </c>
      <c r="N141">
        <v>50</v>
      </c>
      <c r="O141">
        <v>81.900000000000006</v>
      </c>
      <c r="P141">
        <v>6.44</v>
      </c>
      <c r="Q141">
        <v>3.65</v>
      </c>
      <c r="R141" t="s">
        <v>189</v>
      </c>
      <c r="S141" t="s">
        <v>39</v>
      </c>
      <c r="T141" t="s">
        <v>30</v>
      </c>
      <c r="U141" t="str">
        <f t="shared" si="6"/>
        <v>Normal</v>
      </c>
      <c r="V141" t="str">
        <f t="shared" si="7"/>
        <v>Normal</v>
      </c>
      <c r="W141" t="str">
        <f t="shared" si="8"/>
        <v>Normal</v>
      </c>
    </row>
    <row r="142" spans="1:23" x14ac:dyDescent="0.3">
      <c r="A142">
        <v>10608</v>
      </c>
      <c r="B142" s="2">
        <v>45791</v>
      </c>
      <c r="C142" t="s">
        <v>20</v>
      </c>
      <c r="D142" t="s">
        <v>32</v>
      </c>
      <c r="E142" t="s">
        <v>107</v>
      </c>
      <c r="F142" t="s">
        <v>23</v>
      </c>
      <c r="G142" t="s">
        <v>134</v>
      </c>
      <c r="H142" t="s">
        <v>99</v>
      </c>
      <c r="I142" t="s">
        <v>262</v>
      </c>
      <c r="J142">
        <v>848</v>
      </c>
      <c r="K142">
        <v>60</v>
      </c>
      <c r="L142" t="s">
        <v>57</v>
      </c>
      <c r="M142">
        <v>126</v>
      </c>
      <c r="N142">
        <v>60.9</v>
      </c>
      <c r="O142">
        <v>81.8</v>
      </c>
      <c r="P142">
        <v>6.14</v>
      </c>
      <c r="Q142">
        <v>4.1100000000000003</v>
      </c>
      <c r="R142" t="s">
        <v>229</v>
      </c>
      <c r="S142" t="s">
        <v>29</v>
      </c>
      <c r="T142" t="s">
        <v>48</v>
      </c>
      <c r="U142" t="str">
        <f t="shared" si="6"/>
        <v>Normal</v>
      </c>
      <c r="V142" t="str">
        <f t="shared" si="7"/>
        <v>Normal</v>
      </c>
      <c r="W142" t="str">
        <f t="shared" si="8"/>
        <v>Normal</v>
      </c>
    </row>
    <row r="143" spans="1:23" x14ac:dyDescent="0.3">
      <c r="A143">
        <v>10112</v>
      </c>
      <c r="B143" s="2">
        <v>45786</v>
      </c>
      <c r="C143" t="s">
        <v>20</v>
      </c>
      <c r="D143" t="s">
        <v>21</v>
      </c>
      <c r="E143" t="s">
        <v>33</v>
      </c>
      <c r="F143" t="s">
        <v>23</v>
      </c>
      <c r="G143" t="s">
        <v>54</v>
      </c>
      <c r="H143" t="s">
        <v>169</v>
      </c>
      <c r="I143" t="s">
        <v>337</v>
      </c>
      <c r="J143">
        <v>1153</v>
      </c>
      <c r="K143">
        <v>21</v>
      </c>
      <c r="L143" t="s">
        <v>37</v>
      </c>
      <c r="M143">
        <v>61</v>
      </c>
      <c r="N143">
        <v>47.4</v>
      </c>
      <c r="O143">
        <v>81.8</v>
      </c>
      <c r="P143">
        <v>5.12</v>
      </c>
      <c r="Q143">
        <v>2.58</v>
      </c>
      <c r="R143" t="s">
        <v>72</v>
      </c>
      <c r="S143" t="s">
        <v>39</v>
      </c>
      <c r="T143" t="s">
        <v>30</v>
      </c>
      <c r="U143" t="str">
        <f t="shared" si="6"/>
        <v>Normal</v>
      </c>
      <c r="V143" t="str">
        <f t="shared" si="7"/>
        <v>Normal</v>
      </c>
      <c r="W143" t="str">
        <f t="shared" si="8"/>
        <v>Normal</v>
      </c>
    </row>
    <row r="144" spans="1:23" x14ac:dyDescent="0.3">
      <c r="A144">
        <v>10138</v>
      </c>
      <c r="B144" s="2">
        <v>45725</v>
      </c>
      <c r="C144" t="s">
        <v>20</v>
      </c>
      <c r="D144" t="s">
        <v>64</v>
      </c>
      <c r="E144" t="s">
        <v>22</v>
      </c>
      <c r="F144" t="s">
        <v>41</v>
      </c>
      <c r="G144" t="s">
        <v>42</v>
      </c>
      <c r="H144" t="s">
        <v>90</v>
      </c>
      <c r="I144" t="s">
        <v>289</v>
      </c>
      <c r="J144">
        <v>526</v>
      </c>
      <c r="K144">
        <v>22</v>
      </c>
      <c r="L144" t="s">
        <v>57</v>
      </c>
      <c r="M144">
        <v>57</v>
      </c>
      <c r="N144">
        <v>40.5</v>
      </c>
      <c r="O144">
        <v>81.8</v>
      </c>
      <c r="P144">
        <v>4.3499999999999996</v>
      </c>
      <c r="Q144">
        <v>1.84</v>
      </c>
      <c r="R144" t="s">
        <v>186</v>
      </c>
      <c r="S144" t="s">
        <v>29</v>
      </c>
      <c r="T144" t="s">
        <v>48</v>
      </c>
      <c r="U144" t="str">
        <f t="shared" si="6"/>
        <v>Normal</v>
      </c>
      <c r="V144" t="str">
        <f t="shared" si="7"/>
        <v>Normal</v>
      </c>
      <c r="W144" t="str">
        <f t="shared" si="8"/>
        <v>Normal</v>
      </c>
    </row>
    <row r="145" spans="1:23" x14ac:dyDescent="0.3">
      <c r="A145">
        <v>11037</v>
      </c>
      <c r="B145" s="2">
        <v>45934</v>
      </c>
      <c r="C145" t="s">
        <v>31</v>
      </c>
      <c r="D145" t="s">
        <v>32</v>
      </c>
      <c r="E145" t="s">
        <v>107</v>
      </c>
      <c r="F145" t="s">
        <v>41</v>
      </c>
      <c r="G145" t="s">
        <v>113</v>
      </c>
      <c r="H145" t="s">
        <v>138</v>
      </c>
      <c r="I145" t="s">
        <v>218</v>
      </c>
      <c r="J145">
        <v>483</v>
      </c>
      <c r="K145">
        <v>2</v>
      </c>
      <c r="L145" t="s">
        <v>57</v>
      </c>
      <c r="M145">
        <v>24</v>
      </c>
      <c r="N145">
        <v>45.3</v>
      </c>
      <c r="O145">
        <v>81.7</v>
      </c>
      <c r="P145">
        <v>4.93</v>
      </c>
      <c r="Q145">
        <v>1.74</v>
      </c>
      <c r="R145" t="s">
        <v>105</v>
      </c>
      <c r="S145" t="s">
        <v>29</v>
      </c>
      <c r="T145" t="s">
        <v>30</v>
      </c>
      <c r="U145" t="str">
        <f t="shared" si="6"/>
        <v>Normal</v>
      </c>
      <c r="V145" t="str">
        <f t="shared" si="7"/>
        <v>Normal</v>
      </c>
      <c r="W145" t="str">
        <f t="shared" si="8"/>
        <v>Normal</v>
      </c>
    </row>
    <row r="146" spans="1:23" x14ac:dyDescent="0.3">
      <c r="A146">
        <v>11416</v>
      </c>
      <c r="B146" s="2">
        <v>45759</v>
      </c>
      <c r="C146" t="s">
        <v>20</v>
      </c>
      <c r="D146" t="s">
        <v>59</v>
      </c>
      <c r="E146" t="s">
        <v>40</v>
      </c>
      <c r="F146" t="s">
        <v>81</v>
      </c>
      <c r="G146" t="s">
        <v>109</v>
      </c>
      <c r="H146" t="s">
        <v>69</v>
      </c>
      <c r="I146" t="s">
        <v>219</v>
      </c>
      <c r="J146">
        <v>554</v>
      </c>
      <c r="K146">
        <v>6</v>
      </c>
      <c r="L146" t="s">
        <v>37</v>
      </c>
      <c r="M146">
        <v>69</v>
      </c>
      <c r="N146">
        <v>45.4</v>
      </c>
      <c r="O146">
        <v>81.7</v>
      </c>
      <c r="P146">
        <v>5.98</v>
      </c>
      <c r="Q146">
        <v>1.8</v>
      </c>
      <c r="R146" t="s">
        <v>152</v>
      </c>
      <c r="S146" t="s">
        <v>73</v>
      </c>
      <c r="T146" t="s">
        <v>30</v>
      </c>
      <c r="U146" t="str">
        <f t="shared" si="6"/>
        <v>Normal</v>
      </c>
      <c r="V146" t="str">
        <f t="shared" si="7"/>
        <v>Normal</v>
      </c>
      <c r="W146" t="str">
        <f t="shared" si="8"/>
        <v>Normal</v>
      </c>
    </row>
    <row r="147" spans="1:23" x14ac:dyDescent="0.3">
      <c r="A147">
        <v>11142</v>
      </c>
      <c r="B147" s="2">
        <v>45822</v>
      </c>
      <c r="C147" t="s">
        <v>31</v>
      </c>
      <c r="D147" t="s">
        <v>32</v>
      </c>
      <c r="E147" t="s">
        <v>40</v>
      </c>
      <c r="F147" t="s">
        <v>41</v>
      </c>
      <c r="G147" t="s">
        <v>42</v>
      </c>
      <c r="H147" t="s">
        <v>90</v>
      </c>
      <c r="I147" t="s">
        <v>262</v>
      </c>
      <c r="J147">
        <v>1492</v>
      </c>
      <c r="K147">
        <v>7</v>
      </c>
      <c r="L147" t="s">
        <v>45</v>
      </c>
      <c r="M147">
        <v>47</v>
      </c>
      <c r="N147">
        <v>39</v>
      </c>
      <c r="O147">
        <v>81.599999999999994</v>
      </c>
      <c r="P147">
        <v>4.09</v>
      </c>
      <c r="Q147">
        <v>3.13</v>
      </c>
      <c r="R147" t="s">
        <v>103</v>
      </c>
      <c r="S147" t="s">
        <v>47</v>
      </c>
      <c r="T147" t="s">
        <v>30</v>
      </c>
      <c r="U147" t="str">
        <f t="shared" si="6"/>
        <v>Normal</v>
      </c>
      <c r="V147" t="str">
        <f t="shared" si="7"/>
        <v>Normal</v>
      </c>
      <c r="W147" t="str">
        <f t="shared" si="8"/>
        <v>Normal</v>
      </c>
    </row>
    <row r="148" spans="1:23" x14ac:dyDescent="0.3">
      <c r="A148">
        <v>10729</v>
      </c>
      <c r="B148" s="2">
        <v>45914</v>
      </c>
      <c r="C148" t="s">
        <v>49</v>
      </c>
      <c r="D148" t="s">
        <v>32</v>
      </c>
      <c r="E148" t="s">
        <v>107</v>
      </c>
      <c r="F148" t="s">
        <v>23</v>
      </c>
      <c r="G148" t="s">
        <v>34</v>
      </c>
      <c r="H148" t="s">
        <v>196</v>
      </c>
      <c r="I148" t="s">
        <v>318</v>
      </c>
      <c r="J148">
        <v>1453</v>
      </c>
      <c r="K148">
        <v>18</v>
      </c>
      <c r="L148" t="s">
        <v>45</v>
      </c>
      <c r="M148">
        <v>164</v>
      </c>
      <c r="N148">
        <v>55.5</v>
      </c>
      <c r="O148">
        <v>81.599999999999994</v>
      </c>
      <c r="P148">
        <v>5.67</v>
      </c>
      <c r="Q148">
        <v>3.4</v>
      </c>
      <c r="R148" t="s">
        <v>58</v>
      </c>
      <c r="S148" t="s">
        <v>47</v>
      </c>
      <c r="T148" t="s">
        <v>30</v>
      </c>
      <c r="U148" t="str">
        <f t="shared" si="6"/>
        <v>Normal</v>
      </c>
      <c r="V148" t="str">
        <f t="shared" si="7"/>
        <v>Normal</v>
      </c>
      <c r="W148" t="str">
        <f t="shared" si="8"/>
        <v>Normal</v>
      </c>
    </row>
    <row r="149" spans="1:23" x14ac:dyDescent="0.3">
      <c r="A149">
        <v>11262</v>
      </c>
      <c r="B149" s="2">
        <v>45902</v>
      </c>
      <c r="C149" t="s">
        <v>20</v>
      </c>
      <c r="D149" t="s">
        <v>32</v>
      </c>
      <c r="E149" t="s">
        <v>40</v>
      </c>
      <c r="F149" t="s">
        <v>23</v>
      </c>
      <c r="G149" t="s">
        <v>109</v>
      </c>
      <c r="H149" t="s">
        <v>278</v>
      </c>
      <c r="I149" t="s">
        <v>204</v>
      </c>
      <c r="J149">
        <v>1426</v>
      </c>
      <c r="K149">
        <v>86</v>
      </c>
      <c r="L149" t="s">
        <v>37</v>
      </c>
      <c r="M149">
        <v>25</v>
      </c>
      <c r="N149">
        <v>41.6</v>
      </c>
      <c r="O149">
        <v>81.599999999999994</v>
      </c>
      <c r="P149">
        <v>6.02</v>
      </c>
      <c r="Q149">
        <v>3.41</v>
      </c>
      <c r="R149" t="s">
        <v>125</v>
      </c>
      <c r="S149" t="s">
        <v>73</v>
      </c>
      <c r="T149" t="s">
        <v>48</v>
      </c>
      <c r="U149" t="str">
        <f t="shared" si="6"/>
        <v>Normal</v>
      </c>
      <c r="V149" t="str">
        <f t="shared" si="7"/>
        <v>Normal</v>
      </c>
      <c r="W149" t="str">
        <f t="shared" si="8"/>
        <v>Normal</v>
      </c>
    </row>
    <row r="150" spans="1:23" x14ac:dyDescent="0.3">
      <c r="A150">
        <v>10427</v>
      </c>
      <c r="B150" s="2">
        <v>45725</v>
      </c>
      <c r="C150" t="s">
        <v>31</v>
      </c>
      <c r="D150" t="s">
        <v>21</v>
      </c>
      <c r="E150" t="s">
        <v>22</v>
      </c>
      <c r="F150" t="s">
        <v>41</v>
      </c>
      <c r="G150" t="s">
        <v>113</v>
      </c>
      <c r="H150" t="s">
        <v>175</v>
      </c>
      <c r="I150" t="s">
        <v>176</v>
      </c>
      <c r="J150">
        <v>791</v>
      </c>
      <c r="K150">
        <v>3</v>
      </c>
      <c r="L150" t="s">
        <v>57</v>
      </c>
      <c r="M150">
        <v>153</v>
      </c>
      <c r="N150">
        <v>48.6</v>
      </c>
      <c r="O150">
        <v>81.5</v>
      </c>
      <c r="P150">
        <v>5.12</v>
      </c>
      <c r="Q150">
        <v>4.87</v>
      </c>
      <c r="R150" t="s">
        <v>87</v>
      </c>
      <c r="S150" t="s">
        <v>47</v>
      </c>
      <c r="T150" t="s">
        <v>30</v>
      </c>
      <c r="U150" t="str">
        <f t="shared" si="6"/>
        <v>Normal</v>
      </c>
      <c r="V150" t="str">
        <f t="shared" si="7"/>
        <v>Normal</v>
      </c>
      <c r="W150" t="str">
        <f t="shared" si="8"/>
        <v>Normal</v>
      </c>
    </row>
    <row r="151" spans="1:23" x14ac:dyDescent="0.3">
      <c r="A151">
        <v>11080</v>
      </c>
      <c r="B151" s="2">
        <v>45748</v>
      </c>
      <c r="C151" t="s">
        <v>31</v>
      </c>
      <c r="D151" t="s">
        <v>59</v>
      </c>
      <c r="E151" t="s">
        <v>22</v>
      </c>
      <c r="F151" t="s">
        <v>81</v>
      </c>
      <c r="G151" t="s">
        <v>34</v>
      </c>
      <c r="H151" t="s">
        <v>169</v>
      </c>
      <c r="I151" t="s">
        <v>206</v>
      </c>
      <c r="J151">
        <v>1318</v>
      </c>
      <c r="K151">
        <v>18</v>
      </c>
      <c r="L151" t="s">
        <v>37</v>
      </c>
      <c r="M151">
        <v>80</v>
      </c>
      <c r="N151">
        <v>35.6</v>
      </c>
      <c r="O151">
        <v>81.5</v>
      </c>
      <c r="P151">
        <v>6.34</v>
      </c>
      <c r="Q151">
        <v>3.71</v>
      </c>
      <c r="R151" t="s">
        <v>153</v>
      </c>
      <c r="S151" t="s">
        <v>73</v>
      </c>
      <c r="T151" t="s">
        <v>30</v>
      </c>
      <c r="U151" t="str">
        <f t="shared" si="6"/>
        <v>Normal</v>
      </c>
      <c r="V151" t="str">
        <f t="shared" si="7"/>
        <v>Normal</v>
      </c>
      <c r="W151" t="str">
        <f t="shared" si="8"/>
        <v>Normal</v>
      </c>
    </row>
    <row r="152" spans="1:23" x14ac:dyDescent="0.3">
      <c r="A152">
        <v>11050</v>
      </c>
      <c r="B152" s="2">
        <v>46013</v>
      </c>
      <c r="C152" t="s">
        <v>20</v>
      </c>
      <c r="D152" t="s">
        <v>32</v>
      </c>
      <c r="E152" t="s">
        <v>22</v>
      </c>
      <c r="F152" t="s">
        <v>41</v>
      </c>
      <c r="G152" t="s">
        <v>134</v>
      </c>
      <c r="H152" t="s">
        <v>61</v>
      </c>
      <c r="I152" t="s">
        <v>370</v>
      </c>
      <c r="J152">
        <v>468</v>
      </c>
      <c r="K152">
        <v>5</v>
      </c>
      <c r="L152" t="s">
        <v>68</v>
      </c>
      <c r="M152">
        <v>114</v>
      </c>
      <c r="N152">
        <v>37.1</v>
      </c>
      <c r="O152">
        <v>81.5</v>
      </c>
      <c r="P152">
        <v>5.83</v>
      </c>
      <c r="Q152">
        <v>1.88</v>
      </c>
      <c r="R152" t="s">
        <v>243</v>
      </c>
      <c r="S152" t="s">
        <v>29</v>
      </c>
      <c r="T152" t="s">
        <v>30</v>
      </c>
      <c r="U152" t="str">
        <f t="shared" si="6"/>
        <v>Normal</v>
      </c>
      <c r="V152" t="str">
        <f t="shared" si="7"/>
        <v>Normal</v>
      </c>
      <c r="W152" t="str">
        <f t="shared" si="8"/>
        <v>Normal</v>
      </c>
    </row>
    <row r="153" spans="1:23" x14ac:dyDescent="0.3">
      <c r="A153">
        <v>10577</v>
      </c>
      <c r="B153" s="2">
        <v>45962</v>
      </c>
      <c r="C153" t="s">
        <v>49</v>
      </c>
      <c r="D153" t="s">
        <v>64</v>
      </c>
      <c r="E153" t="s">
        <v>22</v>
      </c>
      <c r="F153" t="s">
        <v>81</v>
      </c>
      <c r="G153" t="s">
        <v>60</v>
      </c>
      <c r="H153" t="s">
        <v>141</v>
      </c>
      <c r="I153" t="s">
        <v>182</v>
      </c>
      <c r="J153">
        <v>1300</v>
      </c>
      <c r="K153">
        <v>19</v>
      </c>
      <c r="L153" t="s">
        <v>68</v>
      </c>
      <c r="M153">
        <v>85</v>
      </c>
      <c r="N153">
        <v>47.6</v>
      </c>
      <c r="O153">
        <v>81.5</v>
      </c>
      <c r="P153">
        <v>4.84</v>
      </c>
      <c r="Q153">
        <v>2.99</v>
      </c>
      <c r="R153" t="s">
        <v>125</v>
      </c>
      <c r="S153" t="s">
        <v>29</v>
      </c>
      <c r="T153" t="s">
        <v>30</v>
      </c>
      <c r="U153" t="str">
        <f t="shared" si="6"/>
        <v>Normal</v>
      </c>
      <c r="V153" t="str">
        <f t="shared" si="7"/>
        <v>Normal</v>
      </c>
      <c r="W153" t="str">
        <f t="shared" si="8"/>
        <v>Normal</v>
      </c>
    </row>
    <row r="154" spans="1:23" x14ac:dyDescent="0.3">
      <c r="A154">
        <v>11494</v>
      </c>
      <c r="B154" s="2">
        <v>45721</v>
      </c>
      <c r="C154" t="s">
        <v>49</v>
      </c>
      <c r="D154" t="s">
        <v>59</v>
      </c>
      <c r="E154" t="s">
        <v>22</v>
      </c>
      <c r="F154" t="s">
        <v>23</v>
      </c>
      <c r="G154" t="s">
        <v>34</v>
      </c>
      <c r="H154" t="s">
        <v>278</v>
      </c>
      <c r="I154" t="s">
        <v>246</v>
      </c>
      <c r="J154">
        <v>884</v>
      </c>
      <c r="K154">
        <v>7</v>
      </c>
      <c r="L154" t="s">
        <v>27</v>
      </c>
      <c r="M154">
        <v>98</v>
      </c>
      <c r="N154">
        <v>59.6</v>
      </c>
      <c r="O154">
        <v>81.5</v>
      </c>
      <c r="P154">
        <v>5.2</v>
      </c>
      <c r="Q154">
        <v>1.89</v>
      </c>
      <c r="R154" t="s">
        <v>179</v>
      </c>
      <c r="S154" t="s">
        <v>29</v>
      </c>
      <c r="T154" t="s">
        <v>30</v>
      </c>
      <c r="U154" t="str">
        <f t="shared" si="6"/>
        <v>Normal</v>
      </c>
      <c r="V154" t="str">
        <f t="shared" si="7"/>
        <v>Normal</v>
      </c>
      <c r="W154" t="str">
        <f t="shared" si="8"/>
        <v>Normal</v>
      </c>
    </row>
    <row r="155" spans="1:23" x14ac:dyDescent="0.3">
      <c r="A155">
        <v>10257</v>
      </c>
      <c r="B155" s="2">
        <v>45667</v>
      </c>
      <c r="C155" t="s">
        <v>49</v>
      </c>
      <c r="D155" t="s">
        <v>64</v>
      </c>
      <c r="E155" t="s">
        <v>107</v>
      </c>
      <c r="F155" t="s">
        <v>41</v>
      </c>
      <c r="G155" t="s">
        <v>134</v>
      </c>
      <c r="H155" t="s">
        <v>126</v>
      </c>
      <c r="I155" t="s">
        <v>163</v>
      </c>
      <c r="J155">
        <v>494</v>
      </c>
      <c r="K155">
        <v>5</v>
      </c>
      <c r="L155" t="s">
        <v>37</v>
      </c>
      <c r="M155">
        <v>8</v>
      </c>
      <c r="N155">
        <v>51.4</v>
      </c>
      <c r="O155">
        <v>81.5</v>
      </c>
      <c r="P155">
        <v>5.1100000000000003</v>
      </c>
      <c r="Q155">
        <v>3.9</v>
      </c>
      <c r="R155" t="s">
        <v>164</v>
      </c>
      <c r="S155" t="s">
        <v>39</v>
      </c>
      <c r="T155" t="s">
        <v>30</v>
      </c>
      <c r="U155" t="str">
        <f t="shared" si="6"/>
        <v>Normal</v>
      </c>
      <c r="V155" t="str">
        <f t="shared" si="7"/>
        <v>Normal</v>
      </c>
      <c r="W155" t="str">
        <f t="shared" si="8"/>
        <v>Normal</v>
      </c>
    </row>
    <row r="156" spans="1:23" x14ac:dyDescent="0.3">
      <c r="A156">
        <v>10389</v>
      </c>
      <c r="B156" s="2">
        <v>45793</v>
      </c>
      <c r="C156" t="s">
        <v>31</v>
      </c>
      <c r="D156" t="s">
        <v>32</v>
      </c>
      <c r="E156" t="s">
        <v>40</v>
      </c>
      <c r="F156" t="s">
        <v>41</v>
      </c>
      <c r="G156" t="s">
        <v>74</v>
      </c>
      <c r="H156" t="s">
        <v>51</v>
      </c>
      <c r="I156" t="s">
        <v>359</v>
      </c>
      <c r="J156">
        <v>635</v>
      </c>
      <c r="K156">
        <v>4</v>
      </c>
      <c r="L156" t="s">
        <v>68</v>
      </c>
      <c r="M156">
        <v>146</v>
      </c>
      <c r="N156">
        <v>41.6</v>
      </c>
      <c r="O156">
        <v>81.5</v>
      </c>
      <c r="P156">
        <v>5.47</v>
      </c>
      <c r="Q156">
        <v>2.73</v>
      </c>
      <c r="R156" t="s">
        <v>280</v>
      </c>
      <c r="S156" t="s">
        <v>47</v>
      </c>
      <c r="T156" t="s">
        <v>30</v>
      </c>
      <c r="U156" t="str">
        <f t="shared" si="6"/>
        <v>Normal</v>
      </c>
      <c r="V156" t="str">
        <f t="shared" si="7"/>
        <v>Normal</v>
      </c>
      <c r="W156" t="str">
        <f t="shared" si="8"/>
        <v>Normal</v>
      </c>
    </row>
    <row r="157" spans="1:23" x14ac:dyDescent="0.3">
      <c r="A157">
        <v>11352</v>
      </c>
      <c r="B157" s="2">
        <v>45734</v>
      </c>
      <c r="C157" t="s">
        <v>49</v>
      </c>
      <c r="D157" t="s">
        <v>32</v>
      </c>
      <c r="E157" t="s">
        <v>107</v>
      </c>
      <c r="F157" t="s">
        <v>23</v>
      </c>
      <c r="G157" t="s">
        <v>74</v>
      </c>
      <c r="H157" t="s">
        <v>263</v>
      </c>
      <c r="I157" t="s">
        <v>349</v>
      </c>
      <c r="J157">
        <v>1463</v>
      </c>
      <c r="K157">
        <v>46</v>
      </c>
      <c r="L157" t="s">
        <v>27</v>
      </c>
      <c r="M157">
        <v>68</v>
      </c>
      <c r="N157">
        <v>46.6</v>
      </c>
      <c r="O157">
        <v>81.5</v>
      </c>
      <c r="P157">
        <v>4.95</v>
      </c>
      <c r="Q157">
        <v>1.76</v>
      </c>
      <c r="R157" t="s">
        <v>195</v>
      </c>
      <c r="S157" t="s">
        <v>73</v>
      </c>
      <c r="T157" t="s">
        <v>48</v>
      </c>
      <c r="U157" t="str">
        <f t="shared" si="6"/>
        <v>Normal</v>
      </c>
      <c r="V157" t="str">
        <f t="shared" si="7"/>
        <v>Normal</v>
      </c>
      <c r="W157" t="str">
        <f t="shared" si="8"/>
        <v>Normal</v>
      </c>
    </row>
    <row r="158" spans="1:23" x14ac:dyDescent="0.3">
      <c r="A158">
        <v>10903</v>
      </c>
      <c r="B158" s="2">
        <v>45951</v>
      </c>
      <c r="C158" t="s">
        <v>20</v>
      </c>
      <c r="D158" t="s">
        <v>32</v>
      </c>
      <c r="E158" t="s">
        <v>22</v>
      </c>
      <c r="F158" t="s">
        <v>23</v>
      </c>
      <c r="G158" t="s">
        <v>24</v>
      </c>
      <c r="H158" t="s">
        <v>265</v>
      </c>
      <c r="I158" t="s">
        <v>358</v>
      </c>
      <c r="J158">
        <v>596</v>
      </c>
      <c r="K158">
        <v>2</v>
      </c>
      <c r="L158" t="s">
        <v>71</v>
      </c>
      <c r="M158">
        <v>137</v>
      </c>
      <c r="N158">
        <v>43.8</v>
      </c>
      <c r="O158">
        <v>81.5</v>
      </c>
      <c r="P158">
        <v>5.48</v>
      </c>
      <c r="Q158">
        <v>3.78</v>
      </c>
      <c r="R158" t="s">
        <v>202</v>
      </c>
      <c r="S158" t="s">
        <v>47</v>
      </c>
      <c r="T158" t="s">
        <v>30</v>
      </c>
      <c r="U158" t="str">
        <f t="shared" si="6"/>
        <v>Normal</v>
      </c>
      <c r="V158" t="str">
        <f t="shared" si="7"/>
        <v>Normal</v>
      </c>
      <c r="W158" t="str">
        <f t="shared" si="8"/>
        <v>Normal</v>
      </c>
    </row>
    <row r="159" spans="1:23" x14ac:dyDescent="0.3">
      <c r="A159">
        <v>10538</v>
      </c>
      <c r="B159" s="2">
        <v>45870</v>
      </c>
      <c r="C159" t="s">
        <v>20</v>
      </c>
      <c r="D159" t="s">
        <v>59</v>
      </c>
      <c r="E159" t="s">
        <v>33</v>
      </c>
      <c r="F159" t="s">
        <v>81</v>
      </c>
      <c r="G159" t="s">
        <v>134</v>
      </c>
      <c r="H159" t="s">
        <v>287</v>
      </c>
      <c r="I159" t="s">
        <v>306</v>
      </c>
      <c r="J159">
        <v>1483</v>
      </c>
      <c r="K159">
        <v>6</v>
      </c>
      <c r="L159" t="s">
        <v>71</v>
      </c>
      <c r="M159">
        <v>26</v>
      </c>
      <c r="N159">
        <v>46.9</v>
      </c>
      <c r="O159">
        <v>81.5</v>
      </c>
      <c r="P159">
        <v>4.01</v>
      </c>
      <c r="Q159">
        <v>2.48</v>
      </c>
      <c r="R159" t="s">
        <v>184</v>
      </c>
      <c r="S159" t="s">
        <v>73</v>
      </c>
      <c r="T159" t="s">
        <v>30</v>
      </c>
      <c r="U159" t="str">
        <f t="shared" si="6"/>
        <v>Normal</v>
      </c>
      <c r="V159" t="str">
        <f t="shared" si="7"/>
        <v>Normal</v>
      </c>
      <c r="W159" t="str">
        <f t="shared" si="8"/>
        <v>Normal</v>
      </c>
    </row>
    <row r="160" spans="1:23" x14ac:dyDescent="0.3">
      <c r="A160">
        <v>11013</v>
      </c>
      <c r="B160" s="2">
        <v>45812</v>
      </c>
      <c r="C160" t="s">
        <v>31</v>
      </c>
      <c r="D160" t="s">
        <v>59</v>
      </c>
      <c r="E160" t="s">
        <v>22</v>
      </c>
      <c r="F160" t="s">
        <v>81</v>
      </c>
      <c r="G160" t="s">
        <v>50</v>
      </c>
      <c r="H160" t="s">
        <v>114</v>
      </c>
      <c r="I160" t="s">
        <v>261</v>
      </c>
      <c r="J160">
        <v>699</v>
      </c>
      <c r="K160">
        <v>10</v>
      </c>
      <c r="L160" t="s">
        <v>37</v>
      </c>
      <c r="M160">
        <v>171</v>
      </c>
      <c r="N160">
        <v>44</v>
      </c>
      <c r="O160">
        <v>81.5</v>
      </c>
      <c r="P160">
        <v>6.05</v>
      </c>
      <c r="Q160">
        <v>4.45</v>
      </c>
      <c r="R160" t="s">
        <v>77</v>
      </c>
      <c r="S160" t="s">
        <v>47</v>
      </c>
      <c r="T160" t="s">
        <v>30</v>
      </c>
      <c r="U160" t="str">
        <f t="shared" si="6"/>
        <v>Normal</v>
      </c>
      <c r="V160" t="str">
        <f t="shared" si="7"/>
        <v>Normal</v>
      </c>
      <c r="W160" t="str">
        <f t="shared" si="8"/>
        <v>Normal</v>
      </c>
    </row>
    <row r="161" spans="1:23" x14ac:dyDescent="0.3">
      <c r="A161">
        <v>11449</v>
      </c>
      <c r="B161" s="2">
        <v>45897</v>
      </c>
      <c r="C161" t="s">
        <v>49</v>
      </c>
      <c r="D161" t="s">
        <v>21</v>
      </c>
      <c r="E161" t="s">
        <v>22</v>
      </c>
      <c r="F161" t="s">
        <v>41</v>
      </c>
      <c r="G161" t="s">
        <v>34</v>
      </c>
      <c r="H161" t="s">
        <v>25</v>
      </c>
      <c r="I161" t="s">
        <v>254</v>
      </c>
      <c r="J161">
        <v>1574</v>
      </c>
      <c r="K161">
        <v>20</v>
      </c>
      <c r="L161" t="s">
        <v>68</v>
      </c>
      <c r="M161">
        <v>75</v>
      </c>
      <c r="N161">
        <v>49.5</v>
      </c>
      <c r="O161">
        <v>81.400000000000006</v>
      </c>
      <c r="P161">
        <v>6.54</v>
      </c>
      <c r="Q161">
        <v>2.61</v>
      </c>
      <c r="R161" t="s">
        <v>147</v>
      </c>
      <c r="S161" t="s">
        <v>47</v>
      </c>
      <c r="T161" t="s">
        <v>30</v>
      </c>
      <c r="U161" t="str">
        <f t="shared" si="6"/>
        <v>Normal</v>
      </c>
      <c r="V161" t="str">
        <f t="shared" si="7"/>
        <v>Normal</v>
      </c>
      <c r="W161" t="str">
        <f t="shared" si="8"/>
        <v>Normal</v>
      </c>
    </row>
    <row r="162" spans="1:23" x14ac:dyDescent="0.3">
      <c r="A162">
        <v>11399</v>
      </c>
      <c r="B162" s="2">
        <v>45760</v>
      </c>
      <c r="C162" t="s">
        <v>31</v>
      </c>
      <c r="D162" t="s">
        <v>59</v>
      </c>
      <c r="E162" t="s">
        <v>40</v>
      </c>
      <c r="F162" t="s">
        <v>23</v>
      </c>
      <c r="G162" t="s">
        <v>109</v>
      </c>
      <c r="H162" t="s">
        <v>114</v>
      </c>
      <c r="I162" t="s">
        <v>282</v>
      </c>
      <c r="J162">
        <v>881</v>
      </c>
      <c r="K162">
        <v>28</v>
      </c>
      <c r="L162" t="s">
        <v>37</v>
      </c>
      <c r="M162">
        <v>73</v>
      </c>
      <c r="N162">
        <v>38.700000000000003</v>
      </c>
      <c r="O162">
        <v>81.400000000000006</v>
      </c>
      <c r="P162">
        <v>4.45</v>
      </c>
      <c r="Q162">
        <v>18</v>
      </c>
      <c r="R162" t="s">
        <v>63</v>
      </c>
      <c r="S162" t="s">
        <v>47</v>
      </c>
      <c r="T162" t="s">
        <v>48</v>
      </c>
      <c r="U162" t="str">
        <f t="shared" si="6"/>
        <v>Normal</v>
      </c>
      <c r="V162" t="str">
        <f t="shared" si="7"/>
        <v>Normal</v>
      </c>
      <c r="W162" t="str">
        <f t="shared" si="8"/>
        <v>Investigate</v>
      </c>
    </row>
    <row r="163" spans="1:23" x14ac:dyDescent="0.3">
      <c r="A163">
        <v>10571</v>
      </c>
      <c r="B163" s="2">
        <v>45751</v>
      </c>
      <c r="C163" t="s">
        <v>31</v>
      </c>
      <c r="D163" t="s">
        <v>32</v>
      </c>
      <c r="E163" t="s">
        <v>22</v>
      </c>
      <c r="F163" t="s">
        <v>41</v>
      </c>
      <c r="G163" t="s">
        <v>50</v>
      </c>
      <c r="H163" t="s">
        <v>351</v>
      </c>
      <c r="I163" t="s">
        <v>235</v>
      </c>
      <c r="J163">
        <v>1481</v>
      </c>
      <c r="K163">
        <v>12</v>
      </c>
      <c r="L163" t="s">
        <v>57</v>
      </c>
      <c r="M163">
        <v>42</v>
      </c>
      <c r="N163">
        <v>48.4</v>
      </c>
      <c r="O163">
        <v>81.3</v>
      </c>
      <c r="P163">
        <v>3.33</v>
      </c>
      <c r="Q163">
        <v>2.12</v>
      </c>
      <c r="R163" t="s">
        <v>267</v>
      </c>
      <c r="S163" t="s">
        <v>29</v>
      </c>
      <c r="T163" t="s">
        <v>30</v>
      </c>
      <c r="U163" t="str">
        <f t="shared" si="6"/>
        <v>Normal</v>
      </c>
      <c r="V163" t="str">
        <f t="shared" si="7"/>
        <v>Normal</v>
      </c>
      <c r="W163" t="str">
        <f t="shared" si="8"/>
        <v>Normal</v>
      </c>
    </row>
    <row r="164" spans="1:23" x14ac:dyDescent="0.3">
      <c r="A164">
        <v>10926</v>
      </c>
      <c r="B164" s="2">
        <v>45985</v>
      </c>
      <c r="C164" t="s">
        <v>31</v>
      </c>
      <c r="D164" t="s">
        <v>59</v>
      </c>
      <c r="E164" t="s">
        <v>22</v>
      </c>
      <c r="F164" t="s">
        <v>23</v>
      </c>
      <c r="G164" t="s">
        <v>24</v>
      </c>
      <c r="H164" t="s">
        <v>51</v>
      </c>
      <c r="I164" t="s">
        <v>357</v>
      </c>
      <c r="J164">
        <v>1521</v>
      </c>
      <c r="K164">
        <v>18</v>
      </c>
      <c r="L164" t="s">
        <v>27</v>
      </c>
      <c r="M164">
        <v>33</v>
      </c>
      <c r="N164">
        <v>51.3</v>
      </c>
      <c r="O164">
        <v>81.3</v>
      </c>
      <c r="P164">
        <v>5.18</v>
      </c>
      <c r="Q164">
        <v>1.34</v>
      </c>
      <c r="R164" t="s">
        <v>227</v>
      </c>
      <c r="S164" t="s">
        <v>29</v>
      </c>
      <c r="T164" t="s">
        <v>30</v>
      </c>
      <c r="U164" t="str">
        <f t="shared" si="6"/>
        <v>Normal</v>
      </c>
      <c r="V164" t="str">
        <f t="shared" si="7"/>
        <v>Normal</v>
      </c>
      <c r="W164" t="str">
        <f t="shared" si="8"/>
        <v>Normal</v>
      </c>
    </row>
    <row r="165" spans="1:23" x14ac:dyDescent="0.3">
      <c r="A165">
        <v>10083</v>
      </c>
      <c r="B165" s="2">
        <v>45739</v>
      </c>
      <c r="C165" t="s">
        <v>20</v>
      </c>
      <c r="D165" t="s">
        <v>64</v>
      </c>
      <c r="E165" t="s">
        <v>40</v>
      </c>
      <c r="F165" t="s">
        <v>41</v>
      </c>
      <c r="G165" t="s">
        <v>113</v>
      </c>
      <c r="H165" t="s">
        <v>99</v>
      </c>
      <c r="I165" t="s">
        <v>340</v>
      </c>
      <c r="J165">
        <v>938</v>
      </c>
      <c r="K165">
        <v>29</v>
      </c>
      <c r="L165" t="s">
        <v>71</v>
      </c>
      <c r="M165">
        <v>58</v>
      </c>
      <c r="N165">
        <v>32.6</v>
      </c>
      <c r="O165">
        <v>81.3</v>
      </c>
      <c r="P165">
        <v>6.27</v>
      </c>
      <c r="Q165">
        <v>4.55</v>
      </c>
      <c r="R165" t="s">
        <v>122</v>
      </c>
      <c r="S165" t="s">
        <v>73</v>
      </c>
      <c r="T165" t="s">
        <v>48</v>
      </c>
      <c r="U165" t="str">
        <f t="shared" si="6"/>
        <v>Normal</v>
      </c>
      <c r="V165" t="str">
        <f t="shared" si="7"/>
        <v>Normal</v>
      </c>
      <c r="W165" t="str">
        <f t="shared" si="8"/>
        <v>Normal</v>
      </c>
    </row>
    <row r="166" spans="1:23" x14ac:dyDescent="0.3">
      <c r="A166">
        <v>11070</v>
      </c>
      <c r="B166" s="2">
        <v>45661</v>
      </c>
      <c r="C166" t="s">
        <v>49</v>
      </c>
      <c r="D166" t="s">
        <v>32</v>
      </c>
      <c r="E166" t="s">
        <v>22</v>
      </c>
      <c r="F166" t="s">
        <v>23</v>
      </c>
      <c r="G166" t="s">
        <v>74</v>
      </c>
      <c r="H166" t="s">
        <v>120</v>
      </c>
      <c r="I166" t="s">
        <v>248</v>
      </c>
      <c r="J166">
        <v>941</v>
      </c>
      <c r="K166">
        <v>3</v>
      </c>
      <c r="L166" t="s">
        <v>68</v>
      </c>
      <c r="M166">
        <v>171</v>
      </c>
      <c r="N166">
        <v>49.3</v>
      </c>
      <c r="O166">
        <v>81.3</v>
      </c>
      <c r="P166">
        <v>3.23</v>
      </c>
      <c r="Q166">
        <v>2.4700000000000002</v>
      </c>
      <c r="R166" t="s">
        <v>179</v>
      </c>
      <c r="S166" t="s">
        <v>47</v>
      </c>
      <c r="T166" t="s">
        <v>30</v>
      </c>
      <c r="U166" t="str">
        <f t="shared" si="6"/>
        <v>Normal</v>
      </c>
      <c r="V166" t="str">
        <f t="shared" si="7"/>
        <v>Normal</v>
      </c>
      <c r="W166" t="str">
        <f t="shared" si="8"/>
        <v>Normal</v>
      </c>
    </row>
    <row r="167" spans="1:23" x14ac:dyDescent="0.3">
      <c r="A167">
        <v>11377</v>
      </c>
      <c r="B167" s="2">
        <v>45746</v>
      </c>
      <c r="C167" t="s">
        <v>20</v>
      </c>
      <c r="D167" t="s">
        <v>32</v>
      </c>
      <c r="E167" t="s">
        <v>107</v>
      </c>
      <c r="F167" t="s">
        <v>41</v>
      </c>
      <c r="G167" t="s">
        <v>89</v>
      </c>
      <c r="H167" t="s">
        <v>120</v>
      </c>
      <c r="I167" t="s">
        <v>241</v>
      </c>
      <c r="J167">
        <v>1245</v>
      </c>
      <c r="K167">
        <v>30</v>
      </c>
      <c r="L167" t="s">
        <v>424</v>
      </c>
      <c r="M167">
        <v>11</v>
      </c>
      <c r="N167">
        <v>41.2</v>
      </c>
      <c r="O167">
        <v>81.3</v>
      </c>
      <c r="P167">
        <v>4.88</v>
      </c>
      <c r="Q167">
        <v>1.07</v>
      </c>
      <c r="R167" t="s">
        <v>122</v>
      </c>
      <c r="S167" t="s">
        <v>73</v>
      </c>
      <c r="T167" t="s">
        <v>30</v>
      </c>
      <c r="U167" t="str">
        <f t="shared" si="6"/>
        <v>Normal</v>
      </c>
      <c r="V167" t="str">
        <f t="shared" si="7"/>
        <v>Normal</v>
      </c>
      <c r="W167" t="str">
        <f t="shared" si="8"/>
        <v>Normal</v>
      </c>
    </row>
    <row r="168" spans="1:23" x14ac:dyDescent="0.3">
      <c r="A168">
        <v>11150</v>
      </c>
      <c r="B168" s="2">
        <v>45692</v>
      </c>
      <c r="C168" t="s">
        <v>31</v>
      </c>
      <c r="D168" t="s">
        <v>59</v>
      </c>
      <c r="E168" t="s">
        <v>40</v>
      </c>
      <c r="F168" t="s">
        <v>23</v>
      </c>
      <c r="G168" t="s">
        <v>109</v>
      </c>
      <c r="H168" t="s">
        <v>78</v>
      </c>
      <c r="I168" t="s">
        <v>317</v>
      </c>
      <c r="J168">
        <v>1245</v>
      </c>
      <c r="K168">
        <v>6</v>
      </c>
      <c r="L168" t="s">
        <v>71</v>
      </c>
      <c r="M168">
        <v>128</v>
      </c>
      <c r="N168">
        <v>41.6</v>
      </c>
      <c r="O168">
        <v>81.2</v>
      </c>
      <c r="P168">
        <v>4.8099999999999996</v>
      </c>
      <c r="Q168">
        <v>3.8</v>
      </c>
      <c r="R168" t="s">
        <v>128</v>
      </c>
      <c r="S168" t="s">
        <v>47</v>
      </c>
      <c r="T168" t="s">
        <v>30</v>
      </c>
      <c r="U168" t="str">
        <f t="shared" si="6"/>
        <v>Normal</v>
      </c>
      <c r="V168" t="str">
        <f t="shared" si="7"/>
        <v>Normal</v>
      </c>
      <c r="W168" t="str">
        <f t="shared" si="8"/>
        <v>Normal</v>
      </c>
    </row>
    <row r="169" spans="1:23" x14ac:dyDescent="0.3">
      <c r="A169">
        <v>10936</v>
      </c>
      <c r="B169" s="2">
        <v>45674</v>
      </c>
      <c r="C169" t="s">
        <v>49</v>
      </c>
      <c r="D169" t="s">
        <v>59</v>
      </c>
      <c r="E169" t="s">
        <v>22</v>
      </c>
      <c r="F169" t="s">
        <v>41</v>
      </c>
      <c r="G169" t="s">
        <v>113</v>
      </c>
      <c r="H169" t="s">
        <v>144</v>
      </c>
      <c r="I169" t="s">
        <v>302</v>
      </c>
      <c r="J169">
        <v>1276</v>
      </c>
      <c r="K169">
        <v>9</v>
      </c>
      <c r="L169" t="s">
        <v>71</v>
      </c>
      <c r="M169">
        <v>27</v>
      </c>
      <c r="N169">
        <v>31.2</v>
      </c>
      <c r="O169">
        <v>81.2</v>
      </c>
      <c r="P169">
        <v>5.13</v>
      </c>
      <c r="Q169">
        <v>2.4</v>
      </c>
      <c r="R169" t="s">
        <v>111</v>
      </c>
      <c r="S169" t="s">
        <v>47</v>
      </c>
      <c r="T169" t="s">
        <v>30</v>
      </c>
      <c r="U169" t="str">
        <f t="shared" si="6"/>
        <v>Normal</v>
      </c>
      <c r="V169" t="str">
        <f t="shared" si="7"/>
        <v>Normal</v>
      </c>
      <c r="W169" t="str">
        <f t="shared" si="8"/>
        <v>Normal</v>
      </c>
    </row>
    <row r="170" spans="1:23" x14ac:dyDescent="0.3">
      <c r="A170">
        <v>11154</v>
      </c>
      <c r="B170" s="2">
        <v>45777</v>
      </c>
      <c r="C170" t="s">
        <v>20</v>
      </c>
      <c r="D170" t="s">
        <v>32</v>
      </c>
      <c r="E170" t="s">
        <v>33</v>
      </c>
      <c r="F170" t="s">
        <v>23</v>
      </c>
      <c r="G170" t="s">
        <v>134</v>
      </c>
      <c r="H170" t="s">
        <v>144</v>
      </c>
      <c r="I170" t="s">
        <v>127</v>
      </c>
      <c r="J170">
        <v>524</v>
      </c>
      <c r="K170">
        <v>12</v>
      </c>
      <c r="L170" t="s">
        <v>71</v>
      </c>
      <c r="M170">
        <v>175</v>
      </c>
      <c r="N170">
        <v>48.4</v>
      </c>
      <c r="O170">
        <v>81.099999999999994</v>
      </c>
      <c r="P170">
        <v>6.57</v>
      </c>
      <c r="Q170">
        <v>1.7</v>
      </c>
      <c r="R170" t="s">
        <v>28</v>
      </c>
      <c r="S170" t="s">
        <v>29</v>
      </c>
      <c r="T170" t="s">
        <v>30</v>
      </c>
      <c r="U170" t="str">
        <f t="shared" si="6"/>
        <v>Normal</v>
      </c>
      <c r="V170" t="str">
        <f t="shared" si="7"/>
        <v>Normal</v>
      </c>
      <c r="W170" t="str">
        <f t="shared" si="8"/>
        <v>Normal</v>
      </c>
    </row>
    <row r="171" spans="1:23" x14ac:dyDescent="0.3">
      <c r="A171">
        <v>10711</v>
      </c>
      <c r="B171" s="2">
        <v>45824</v>
      </c>
      <c r="C171" t="s">
        <v>20</v>
      </c>
      <c r="D171" t="s">
        <v>21</v>
      </c>
      <c r="E171" t="s">
        <v>40</v>
      </c>
      <c r="F171" t="s">
        <v>41</v>
      </c>
      <c r="G171" t="s">
        <v>34</v>
      </c>
      <c r="H171" t="s">
        <v>213</v>
      </c>
      <c r="I171" t="s">
        <v>254</v>
      </c>
      <c r="J171">
        <v>1140</v>
      </c>
      <c r="K171">
        <v>16</v>
      </c>
      <c r="L171" t="s">
        <v>71</v>
      </c>
      <c r="M171">
        <v>47</v>
      </c>
      <c r="N171">
        <v>36.6</v>
      </c>
      <c r="O171">
        <v>81</v>
      </c>
      <c r="P171">
        <v>5.34</v>
      </c>
      <c r="Q171">
        <v>1.86</v>
      </c>
      <c r="R171" t="s">
        <v>159</v>
      </c>
      <c r="S171" t="s">
        <v>47</v>
      </c>
      <c r="T171" t="s">
        <v>30</v>
      </c>
      <c r="U171" t="str">
        <f t="shared" si="6"/>
        <v>Normal</v>
      </c>
      <c r="V171" t="str">
        <f t="shared" si="7"/>
        <v>Normal</v>
      </c>
      <c r="W171" t="str">
        <f t="shared" si="8"/>
        <v>Normal</v>
      </c>
    </row>
    <row r="172" spans="1:23" x14ac:dyDescent="0.3">
      <c r="A172">
        <v>10581</v>
      </c>
      <c r="B172" s="2">
        <v>45939</v>
      </c>
      <c r="C172" t="s">
        <v>49</v>
      </c>
      <c r="D172" t="s">
        <v>59</v>
      </c>
      <c r="E172" t="s">
        <v>107</v>
      </c>
      <c r="F172" t="s">
        <v>41</v>
      </c>
      <c r="G172" t="s">
        <v>134</v>
      </c>
      <c r="H172" t="s">
        <v>114</v>
      </c>
      <c r="I172" t="s">
        <v>135</v>
      </c>
      <c r="J172">
        <v>1429</v>
      </c>
      <c r="K172">
        <v>5</v>
      </c>
      <c r="L172" t="s">
        <v>57</v>
      </c>
      <c r="M172">
        <v>165</v>
      </c>
      <c r="N172">
        <v>38.700000000000003</v>
      </c>
      <c r="O172">
        <v>81</v>
      </c>
      <c r="P172">
        <v>6.48</v>
      </c>
      <c r="Q172">
        <v>4.4800000000000004</v>
      </c>
      <c r="R172" t="s">
        <v>72</v>
      </c>
      <c r="S172" t="s">
        <v>39</v>
      </c>
      <c r="T172" t="s">
        <v>30</v>
      </c>
      <c r="U172" t="str">
        <f t="shared" si="6"/>
        <v>Normal</v>
      </c>
      <c r="V172" t="str">
        <f t="shared" si="7"/>
        <v>Normal</v>
      </c>
      <c r="W172" t="str">
        <f t="shared" si="8"/>
        <v>Normal</v>
      </c>
    </row>
    <row r="173" spans="1:23" x14ac:dyDescent="0.3">
      <c r="A173">
        <v>11255</v>
      </c>
      <c r="B173" s="2">
        <v>45893</v>
      </c>
      <c r="C173" t="s">
        <v>20</v>
      </c>
      <c r="D173" t="s">
        <v>32</v>
      </c>
      <c r="E173" t="s">
        <v>33</v>
      </c>
      <c r="F173" t="s">
        <v>23</v>
      </c>
      <c r="G173" t="s">
        <v>134</v>
      </c>
      <c r="H173" t="s">
        <v>177</v>
      </c>
      <c r="I173" t="s">
        <v>102</v>
      </c>
      <c r="J173">
        <v>858</v>
      </c>
      <c r="K173">
        <v>74</v>
      </c>
      <c r="L173" t="s">
        <v>37</v>
      </c>
      <c r="M173">
        <v>90</v>
      </c>
      <c r="N173">
        <v>29.8</v>
      </c>
      <c r="O173">
        <v>81</v>
      </c>
      <c r="P173">
        <v>5.41</v>
      </c>
      <c r="Q173">
        <v>2.5</v>
      </c>
      <c r="R173" t="s">
        <v>53</v>
      </c>
      <c r="S173" t="s">
        <v>73</v>
      </c>
      <c r="T173" t="s">
        <v>48</v>
      </c>
      <c r="U173" t="str">
        <f t="shared" si="6"/>
        <v>Normal</v>
      </c>
      <c r="V173" t="str">
        <f t="shared" si="7"/>
        <v>Normal</v>
      </c>
      <c r="W173" t="str">
        <f t="shared" si="8"/>
        <v>Normal</v>
      </c>
    </row>
    <row r="174" spans="1:23" x14ac:dyDescent="0.3">
      <c r="A174">
        <v>10368</v>
      </c>
      <c r="B174" s="2">
        <v>45886</v>
      </c>
      <c r="C174" t="s">
        <v>49</v>
      </c>
      <c r="D174" t="s">
        <v>64</v>
      </c>
      <c r="E174" t="s">
        <v>33</v>
      </c>
      <c r="F174" t="s">
        <v>23</v>
      </c>
      <c r="G174" t="s">
        <v>74</v>
      </c>
      <c r="H174" t="s">
        <v>93</v>
      </c>
      <c r="I174" t="s">
        <v>52</v>
      </c>
      <c r="J174">
        <v>1254</v>
      </c>
      <c r="K174">
        <v>19</v>
      </c>
      <c r="L174" t="s">
        <v>27</v>
      </c>
      <c r="M174">
        <v>107</v>
      </c>
      <c r="N174">
        <v>42</v>
      </c>
      <c r="O174">
        <v>80.900000000000006</v>
      </c>
      <c r="P174">
        <v>5.31</v>
      </c>
      <c r="Q174">
        <v>2.5</v>
      </c>
      <c r="R174" t="s">
        <v>63</v>
      </c>
      <c r="S174" t="s">
        <v>29</v>
      </c>
      <c r="T174" t="s">
        <v>30</v>
      </c>
      <c r="U174" t="str">
        <f t="shared" si="6"/>
        <v>Normal</v>
      </c>
      <c r="V174" t="str">
        <f t="shared" si="7"/>
        <v>Normal</v>
      </c>
      <c r="W174" t="str">
        <f t="shared" si="8"/>
        <v>Normal</v>
      </c>
    </row>
    <row r="175" spans="1:23" x14ac:dyDescent="0.3">
      <c r="A175">
        <v>10989</v>
      </c>
      <c r="B175" s="2">
        <v>45718</v>
      </c>
      <c r="C175" t="s">
        <v>49</v>
      </c>
      <c r="D175" t="s">
        <v>59</v>
      </c>
      <c r="E175" t="s">
        <v>33</v>
      </c>
      <c r="F175" t="s">
        <v>23</v>
      </c>
      <c r="G175" t="s">
        <v>24</v>
      </c>
      <c r="H175" t="s">
        <v>175</v>
      </c>
      <c r="I175" t="s">
        <v>67</v>
      </c>
      <c r="J175">
        <v>465</v>
      </c>
      <c r="K175">
        <v>6</v>
      </c>
      <c r="L175" t="s">
        <v>45</v>
      </c>
      <c r="M175">
        <v>16</v>
      </c>
      <c r="N175">
        <v>55</v>
      </c>
      <c r="O175">
        <v>80.900000000000006</v>
      </c>
      <c r="P175">
        <v>6.3</v>
      </c>
      <c r="Q175">
        <v>1.95</v>
      </c>
      <c r="R175" t="s">
        <v>195</v>
      </c>
      <c r="S175" t="s">
        <v>73</v>
      </c>
      <c r="T175" t="s">
        <v>30</v>
      </c>
      <c r="U175" t="str">
        <f t="shared" si="6"/>
        <v>Normal</v>
      </c>
      <c r="V175" t="str">
        <f t="shared" si="7"/>
        <v>Normal</v>
      </c>
      <c r="W175" t="str">
        <f t="shared" si="8"/>
        <v>Normal</v>
      </c>
    </row>
    <row r="176" spans="1:23" x14ac:dyDescent="0.3">
      <c r="A176">
        <v>11138</v>
      </c>
      <c r="B176" s="2">
        <v>45698</v>
      </c>
      <c r="C176" t="s">
        <v>20</v>
      </c>
      <c r="D176" t="s">
        <v>64</v>
      </c>
      <c r="E176" t="s">
        <v>33</v>
      </c>
      <c r="F176" t="s">
        <v>81</v>
      </c>
      <c r="G176" t="s">
        <v>109</v>
      </c>
      <c r="H176" t="s">
        <v>193</v>
      </c>
      <c r="I176" t="s">
        <v>97</v>
      </c>
      <c r="J176">
        <v>1338</v>
      </c>
      <c r="K176">
        <v>17</v>
      </c>
      <c r="L176" t="s">
        <v>68</v>
      </c>
      <c r="M176">
        <v>150</v>
      </c>
      <c r="N176">
        <v>42.5</v>
      </c>
      <c r="O176">
        <v>80.900000000000006</v>
      </c>
      <c r="P176">
        <v>5.38</v>
      </c>
      <c r="Q176">
        <v>1.78</v>
      </c>
      <c r="R176" t="s">
        <v>186</v>
      </c>
      <c r="S176" t="s">
        <v>29</v>
      </c>
      <c r="T176" t="s">
        <v>30</v>
      </c>
      <c r="U176" t="str">
        <f t="shared" si="6"/>
        <v>Normal</v>
      </c>
      <c r="V176" t="str">
        <f t="shared" si="7"/>
        <v>Normal</v>
      </c>
      <c r="W176" t="str">
        <f t="shared" si="8"/>
        <v>Normal</v>
      </c>
    </row>
    <row r="177" spans="1:23" x14ac:dyDescent="0.3">
      <c r="A177">
        <v>10124</v>
      </c>
      <c r="B177" s="2">
        <v>45908</v>
      </c>
      <c r="C177" t="s">
        <v>31</v>
      </c>
      <c r="D177" t="s">
        <v>32</v>
      </c>
      <c r="E177" t="s">
        <v>40</v>
      </c>
      <c r="F177" t="s">
        <v>23</v>
      </c>
      <c r="G177" t="s">
        <v>134</v>
      </c>
      <c r="H177" t="s">
        <v>215</v>
      </c>
      <c r="I177" t="s">
        <v>178</v>
      </c>
      <c r="J177">
        <v>1000</v>
      </c>
      <c r="K177">
        <v>12</v>
      </c>
      <c r="L177" t="s">
        <v>57</v>
      </c>
      <c r="M177">
        <v>146</v>
      </c>
      <c r="N177">
        <v>43</v>
      </c>
      <c r="O177">
        <v>80.8</v>
      </c>
      <c r="P177">
        <v>5.4</v>
      </c>
      <c r="Q177">
        <v>2.73</v>
      </c>
      <c r="R177" t="s">
        <v>216</v>
      </c>
      <c r="S177" t="s">
        <v>39</v>
      </c>
      <c r="T177" t="s">
        <v>30</v>
      </c>
      <c r="U177" t="str">
        <f t="shared" si="6"/>
        <v>Normal</v>
      </c>
      <c r="V177" t="str">
        <f t="shared" si="7"/>
        <v>Normal</v>
      </c>
      <c r="W177" t="str">
        <f t="shared" si="8"/>
        <v>Normal</v>
      </c>
    </row>
    <row r="178" spans="1:23" x14ac:dyDescent="0.3">
      <c r="A178">
        <v>11361</v>
      </c>
      <c r="B178" s="2">
        <v>46002</v>
      </c>
      <c r="C178" t="s">
        <v>31</v>
      </c>
      <c r="D178" t="s">
        <v>21</v>
      </c>
      <c r="E178" t="s">
        <v>40</v>
      </c>
      <c r="F178" t="s">
        <v>81</v>
      </c>
      <c r="G178" t="s">
        <v>60</v>
      </c>
      <c r="H178" t="s">
        <v>192</v>
      </c>
      <c r="I178" t="s">
        <v>225</v>
      </c>
      <c r="J178">
        <v>1144</v>
      </c>
      <c r="K178">
        <v>32</v>
      </c>
      <c r="L178" t="s">
        <v>45</v>
      </c>
      <c r="M178">
        <v>166</v>
      </c>
      <c r="N178">
        <v>45.3</v>
      </c>
      <c r="O178">
        <v>80.8</v>
      </c>
      <c r="P178">
        <v>4.68</v>
      </c>
      <c r="Q178">
        <v>3.07</v>
      </c>
      <c r="R178" t="s">
        <v>133</v>
      </c>
      <c r="S178" t="s">
        <v>39</v>
      </c>
      <c r="T178" t="s">
        <v>30</v>
      </c>
      <c r="U178" t="str">
        <f t="shared" si="6"/>
        <v>Normal</v>
      </c>
      <c r="V178" t="str">
        <f t="shared" si="7"/>
        <v>Normal</v>
      </c>
      <c r="W178" t="str">
        <f t="shared" si="8"/>
        <v>Normal</v>
      </c>
    </row>
    <row r="179" spans="1:23" x14ac:dyDescent="0.3">
      <c r="A179">
        <v>10046</v>
      </c>
      <c r="B179" s="2">
        <v>45871</v>
      </c>
      <c r="C179" t="s">
        <v>31</v>
      </c>
      <c r="D179" t="s">
        <v>32</v>
      </c>
      <c r="E179" t="s">
        <v>22</v>
      </c>
      <c r="F179" t="s">
        <v>23</v>
      </c>
      <c r="G179" t="s">
        <v>109</v>
      </c>
      <c r="H179" t="s">
        <v>93</v>
      </c>
      <c r="I179" t="s">
        <v>330</v>
      </c>
      <c r="J179">
        <v>1053</v>
      </c>
      <c r="K179">
        <v>7</v>
      </c>
      <c r="L179" t="s">
        <v>45</v>
      </c>
      <c r="M179">
        <v>168</v>
      </c>
      <c r="N179">
        <v>42.4</v>
      </c>
      <c r="O179">
        <v>80.8</v>
      </c>
      <c r="P179">
        <v>3.85</v>
      </c>
      <c r="Q179">
        <v>4.4800000000000004</v>
      </c>
      <c r="R179" t="s">
        <v>53</v>
      </c>
      <c r="S179" t="s">
        <v>73</v>
      </c>
      <c r="T179" t="s">
        <v>30</v>
      </c>
      <c r="U179" t="str">
        <f t="shared" si="6"/>
        <v>Normal</v>
      </c>
      <c r="V179" t="str">
        <f t="shared" si="7"/>
        <v>Normal</v>
      </c>
      <c r="W179" t="str">
        <f t="shared" si="8"/>
        <v>Normal</v>
      </c>
    </row>
    <row r="180" spans="1:23" x14ac:dyDescent="0.3">
      <c r="A180">
        <v>10341</v>
      </c>
      <c r="B180" s="2">
        <v>45962</v>
      </c>
      <c r="C180" t="s">
        <v>49</v>
      </c>
      <c r="D180" t="s">
        <v>32</v>
      </c>
      <c r="E180" t="s">
        <v>107</v>
      </c>
      <c r="F180" t="s">
        <v>41</v>
      </c>
      <c r="G180" t="s">
        <v>54</v>
      </c>
      <c r="H180" t="s">
        <v>144</v>
      </c>
      <c r="I180" t="s">
        <v>162</v>
      </c>
      <c r="J180">
        <v>1253</v>
      </c>
      <c r="K180">
        <v>27</v>
      </c>
      <c r="L180" t="s">
        <v>37</v>
      </c>
      <c r="M180">
        <v>155</v>
      </c>
      <c r="N180">
        <v>43.8</v>
      </c>
      <c r="O180">
        <v>80.8</v>
      </c>
      <c r="P180">
        <v>3.43</v>
      </c>
      <c r="Q180">
        <v>2.35</v>
      </c>
      <c r="R180" t="s">
        <v>216</v>
      </c>
      <c r="S180" t="s">
        <v>73</v>
      </c>
      <c r="T180" t="s">
        <v>30</v>
      </c>
      <c r="U180" t="str">
        <f t="shared" si="6"/>
        <v>Normal</v>
      </c>
      <c r="V180" t="str">
        <f t="shared" si="7"/>
        <v>Normal</v>
      </c>
      <c r="W180" t="str">
        <f t="shared" si="8"/>
        <v>Normal</v>
      </c>
    </row>
    <row r="181" spans="1:23" x14ac:dyDescent="0.3">
      <c r="A181">
        <v>11131</v>
      </c>
      <c r="B181" s="2">
        <v>45807</v>
      </c>
      <c r="C181" t="s">
        <v>20</v>
      </c>
      <c r="D181" t="s">
        <v>32</v>
      </c>
      <c r="E181" t="s">
        <v>107</v>
      </c>
      <c r="F181" t="s">
        <v>23</v>
      </c>
      <c r="G181" t="s">
        <v>113</v>
      </c>
      <c r="H181" t="s">
        <v>424</v>
      </c>
      <c r="I181" t="s">
        <v>281</v>
      </c>
      <c r="J181">
        <v>1512</v>
      </c>
      <c r="K181">
        <v>124</v>
      </c>
      <c r="L181" t="s">
        <v>68</v>
      </c>
      <c r="M181">
        <v>76</v>
      </c>
      <c r="N181">
        <v>33.4</v>
      </c>
      <c r="O181">
        <v>80.8</v>
      </c>
      <c r="P181">
        <v>4.88</v>
      </c>
      <c r="Q181">
        <v>2.61</v>
      </c>
      <c r="R181" t="s">
        <v>63</v>
      </c>
      <c r="S181" t="s">
        <v>73</v>
      </c>
      <c r="T181" t="s">
        <v>48</v>
      </c>
      <c r="U181" t="str">
        <f t="shared" si="6"/>
        <v>Normal</v>
      </c>
      <c r="V181" t="str">
        <f t="shared" si="7"/>
        <v>Normal</v>
      </c>
      <c r="W181" t="str">
        <f t="shared" si="8"/>
        <v>Normal</v>
      </c>
    </row>
    <row r="182" spans="1:23" x14ac:dyDescent="0.3">
      <c r="A182">
        <v>10507</v>
      </c>
      <c r="B182" s="2">
        <v>45844</v>
      </c>
      <c r="C182" t="s">
        <v>49</v>
      </c>
      <c r="D182" t="s">
        <v>64</v>
      </c>
      <c r="E182" t="s">
        <v>33</v>
      </c>
      <c r="F182" t="s">
        <v>23</v>
      </c>
      <c r="G182" t="s">
        <v>50</v>
      </c>
      <c r="H182" t="s">
        <v>424</v>
      </c>
      <c r="I182" t="s">
        <v>241</v>
      </c>
      <c r="J182">
        <v>1167</v>
      </c>
      <c r="K182">
        <v>9</v>
      </c>
      <c r="L182" t="s">
        <v>57</v>
      </c>
      <c r="M182">
        <v>151</v>
      </c>
      <c r="N182">
        <v>41.7</v>
      </c>
      <c r="O182">
        <v>80.7</v>
      </c>
      <c r="P182">
        <v>5.34</v>
      </c>
      <c r="Q182">
        <v>0.68</v>
      </c>
      <c r="R182" t="s">
        <v>147</v>
      </c>
      <c r="S182" t="s">
        <v>47</v>
      </c>
      <c r="T182" t="s">
        <v>30</v>
      </c>
      <c r="U182" t="str">
        <f t="shared" si="6"/>
        <v>Normal</v>
      </c>
      <c r="V182" t="str">
        <f t="shared" si="7"/>
        <v>Normal</v>
      </c>
      <c r="W182" t="str">
        <f t="shared" si="8"/>
        <v>Normal</v>
      </c>
    </row>
    <row r="183" spans="1:23" x14ac:dyDescent="0.3">
      <c r="A183">
        <v>11161</v>
      </c>
      <c r="B183" s="2">
        <v>45984</v>
      </c>
      <c r="C183" t="s">
        <v>31</v>
      </c>
      <c r="D183" t="s">
        <v>64</v>
      </c>
      <c r="E183" t="s">
        <v>22</v>
      </c>
      <c r="F183" t="s">
        <v>41</v>
      </c>
      <c r="G183" t="s">
        <v>109</v>
      </c>
      <c r="H183" t="s">
        <v>190</v>
      </c>
      <c r="I183" t="s">
        <v>318</v>
      </c>
      <c r="J183">
        <v>554</v>
      </c>
      <c r="K183">
        <v>32</v>
      </c>
      <c r="L183" t="s">
        <v>27</v>
      </c>
      <c r="M183">
        <v>160</v>
      </c>
      <c r="N183">
        <v>45.6</v>
      </c>
      <c r="O183">
        <v>80.7</v>
      </c>
      <c r="P183">
        <v>5.55</v>
      </c>
      <c r="Q183">
        <v>1.6</v>
      </c>
      <c r="R183" t="s">
        <v>202</v>
      </c>
      <c r="S183" t="s">
        <v>47</v>
      </c>
      <c r="T183" t="s">
        <v>48</v>
      </c>
      <c r="U183" t="str">
        <f t="shared" si="6"/>
        <v>Normal</v>
      </c>
      <c r="V183" t="str">
        <f t="shared" si="7"/>
        <v>Normal</v>
      </c>
      <c r="W183" t="str">
        <f t="shared" si="8"/>
        <v>Normal</v>
      </c>
    </row>
    <row r="184" spans="1:23" x14ac:dyDescent="0.3">
      <c r="A184">
        <v>11335</v>
      </c>
      <c r="B184" s="2">
        <v>45759</v>
      </c>
      <c r="C184" t="s">
        <v>49</v>
      </c>
      <c r="D184" t="s">
        <v>32</v>
      </c>
      <c r="E184" t="s">
        <v>107</v>
      </c>
      <c r="F184" t="s">
        <v>23</v>
      </c>
      <c r="G184" t="s">
        <v>95</v>
      </c>
      <c r="H184" t="s">
        <v>69</v>
      </c>
      <c r="I184" t="s">
        <v>204</v>
      </c>
      <c r="J184">
        <v>1332</v>
      </c>
      <c r="K184">
        <v>6</v>
      </c>
      <c r="L184" t="s">
        <v>27</v>
      </c>
      <c r="M184">
        <v>20</v>
      </c>
      <c r="N184">
        <v>38.799999999999997</v>
      </c>
      <c r="O184">
        <v>80.7</v>
      </c>
      <c r="P184">
        <v>5.68</v>
      </c>
      <c r="Q184">
        <v>3.3</v>
      </c>
      <c r="R184" t="s">
        <v>167</v>
      </c>
      <c r="S184" t="s">
        <v>73</v>
      </c>
      <c r="T184" t="s">
        <v>30</v>
      </c>
      <c r="U184" t="str">
        <f t="shared" si="6"/>
        <v>Normal</v>
      </c>
      <c r="V184" t="str">
        <f t="shared" si="7"/>
        <v>Normal</v>
      </c>
      <c r="W184" t="str">
        <f t="shared" si="8"/>
        <v>Normal</v>
      </c>
    </row>
    <row r="185" spans="1:23" x14ac:dyDescent="0.3">
      <c r="A185">
        <v>10428</v>
      </c>
      <c r="B185" s="2">
        <v>45737</v>
      </c>
      <c r="C185" t="s">
        <v>49</v>
      </c>
      <c r="D185" t="s">
        <v>64</v>
      </c>
      <c r="E185" t="s">
        <v>33</v>
      </c>
      <c r="F185" t="s">
        <v>81</v>
      </c>
      <c r="G185" t="s">
        <v>74</v>
      </c>
      <c r="H185" t="s">
        <v>123</v>
      </c>
      <c r="I185" t="s">
        <v>124</v>
      </c>
      <c r="J185">
        <v>657</v>
      </c>
      <c r="K185">
        <v>8</v>
      </c>
      <c r="L185" t="s">
        <v>27</v>
      </c>
      <c r="M185">
        <v>29</v>
      </c>
      <c r="N185">
        <v>35.700000000000003</v>
      </c>
      <c r="O185">
        <v>80.599999999999994</v>
      </c>
      <c r="P185">
        <v>5.6</v>
      </c>
      <c r="Q185">
        <v>2.17</v>
      </c>
      <c r="R185" t="s">
        <v>125</v>
      </c>
      <c r="S185" t="s">
        <v>73</v>
      </c>
      <c r="T185" t="s">
        <v>30</v>
      </c>
      <c r="U185" t="str">
        <f t="shared" si="6"/>
        <v>Normal</v>
      </c>
      <c r="V185" t="str">
        <f t="shared" si="7"/>
        <v>Normal</v>
      </c>
      <c r="W185" t="str">
        <f t="shared" si="8"/>
        <v>Normal</v>
      </c>
    </row>
    <row r="186" spans="1:23" x14ac:dyDescent="0.3">
      <c r="A186">
        <v>10103</v>
      </c>
      <c r="B186" s="2">
        <v>45797</v>
      </c>
      <c r="C186" t="s">
        <v>31</v>
      </c>
      <c r="D186" t="s">
        <v>21</v>
      </c>
      <c r="E186" t="s">
        <v>33</v>
      </c>
      <c r="F186" t="s">
        <v>41</v>
      </c>
      <c r="G186" t="s">
        <v>109</v>
      </c>
      <c r="H186" t="s">
        <v>177</v>
      </c>
      <c r="I186" t="s">
        <v>324</v>
      </c>
      <c r="J186">
        <v>618</v>
      </c>
      <c r="K186">
        <v>9</v>
      </c>
      <c r="L186" t="s">
        <v>68</v>
      </c>
      <c r="M186">
        <v>148</v>
      </c>
      <c r="N186">
        <v>45.8</v>
      </c>
      <c r="O186">
        <v>80.599999999999994</v>
      </c>
      <c r="P186">
        <v>4.91</v>
      </c>
      <c r="Q186">
        <v>1.88</v>
      </c>
      <c r="R186" t="s">
        <v>222</v>
      </c>
      <c r="S186" t="s">
        <v>29</v>
      </c>
      <c r="T186" t="s">
        <v>30</v>
      </c>
      <c r="U186" t="str">
        <f t="shared" si="6"/>
        <v>Normal</v>
      </c>
      <c r="V186" t="str">
        <f t="shared" si="7"/>
        <v>Normal</v>
      </c>
      <c r="W186" t="str">
        <f t="shared" si="8"/>
        <v>Normal</v>
      </c>
    </row>
    <row r="187" spans="1:23" x14ac:dyDescent="0.3">
      <c r="A187">
        <v>10934</v>
      </c>
      <c r="B187" s="2">
        <v>45974</v>
      </c>
      <c r="C187" t="s">
        <v>31</v>
      </c>
      <c r="D187" t="s">
        <v>21</v>
      </c>
      <c r="E187" t="s">
        <v>107</v>
      </c>
      <c r="F187" t="s">
        <v>81</v>
      </c>
      <c r="G187" t="s">
        <v>89</v>
      </c>
      <c r="H187" t="s">
        <v>88</v>
      </c>
      <c r="I187" t="s">
        <v>56</v>
      </c>
      <c r="J187">
        <v>869</v>
      </c>
      <c r="K187">
        <v>5</v>
      </c>
      <c r="L187" t="s">
        <v>71</v>
      </c>
      <c r="M187">
        <v>58</v>
      </c>
      <c r="N187">
        <v>45.4</v>
      </c>
      <c r="O187">
        <v>80.5</v>
      </c>
      <c r="P187">
        <v>5.83</v>
      </c>
      <c r="Q187">
        <v>2.27</v>
      </c>
      <c r="R187" t="s">
        <v>80</v>
      </c>
      <c r="S187" t="s">
        <v>73</v>
      </c>
      <c r="T187" t="s">
        <v>30</v>
      </c>
      <c r="U187" t="str">
        <f t="shared" si="6"/>
        <v>Normal</v>
      </c>
      <c r="V187" t="str">
        <f t="shared" si="7"/>
        <v>Normal</v>
      </c>
      <c r="W187" t="str">
        <f t="shared" si="8"/>
        <v>Normal</v>
      </c>
    </row>
    <row r="188" spans="1:23" x14ac:dyDescent="0.3">
      <c r="A188">
        <v>10139</v>
      </c>
      <c r="B188" s="2">
        <v>45749</v>
      </c>
      <c r="C188" t="s">
        <v>31</v>
      </c>
      <c r="D188" t="s">
        <v>21</v>
      </c>
      <c r="E188" t="s">
        <v>22</v>
      </c>
      <c r="F188" t="s">
        <v>41</v>
      </c>
      <c r="G188" t="s">
        <v>42</v>
      </c>
      <c r="H188" t="s">
        <v>351</v>
      </c>
      <c r="I188" t="s">
        <v>268</v>
      </c>
      <c r="J188">
        <v>790</v>
      </c>
      <c r="K188">
        <v>5</v>
      </c>
      <c r="L188" t="s">
        <v>71</v>
      </c>
      <c r="M188">
        <v>21</v>
      </c>
      <c r="N188">
        <v>35.700000000000003</v>
      </c>
      <c r="O188">
        <v>80.5</v>
      </c>
      <c r="P188">
        <v>6.05</v>
      </c>
      <c r="Q188">
        <v>2.1</v>
      </c>
      <c r="R188" t="s">
        <v>155</v>
      </c>
      <c r="S188" t="s">
        <v>73</v>
      </c>
      <c r="T188" t="s">
        <v>30</v>
      </c>
      <c r="U188" t="str">
        <f t="shared" si="6"/>
        <v>Normal</v>
      </c>
      <c r="V188" t="str">
        <f t="shared" si="7"/>
        <v>Normal</v>
      </c>
      <c r="W188" t="str">
        <f t="shared" si="8"/>
        <v>Normal</v>
      </c>
    </row>
    <row r="189" spans="1:23" x14ac:dyDescent="0.3">
      <c r="A189">
        <v>10236</v>
      </c>
      <c r="B189" s="2">
        <v>45983</v>
      </c>
      <c r="C189" t="s">
        <v>20</v>
      </c>
      <c r="D189" t="s">
        <v>21</v>
      </c>
      <c r="E189" t="s">
        <v>40</v>
      </c>
      <c r="F189" t="s">
        <v>23</v>
      </c>
      <c r="G189" t="s">
        <v>54</v>
      </c>
      <c r="H189" t="s">
        <v>61</v>
      </c>
      <c r="I189" t="s">
        <v>298</v>
      </c>
      <c r="J189">
        <v>642</v>
      </c>
      <c r="K189">
        <v>4</v>
      </c>
      <c r="L189" t="s">
        <v>68</v>
      </c>
      <c r="M189">
        <v>112</v>
      </c>
      <c r="N189">
        <v>49.7</v>
      </c>
      <c r="O189">
        <v>80.5</v>
      </c>
      <c r="P189">
        <v>5.63</v>
      </c>
      <c r="Q189">
        <v>3.2</v>
      </c>
      <c r="R189" t="s">
        <v>155</v>
      </c>
      <c r="S189" t="s">
        <v>29</v>
      </c>
      <c r="T189" t="s">
        <v>30</v>
      </c>
      <c r="U189" t="str">
        <f t="shared" si="6"/>
        <v>Normal</v>
      </c>
      <c r="V189" t="str">
        <f t="shared" si="7"/>
        <v>Normal</v>
      </c>
      <c r="W189" t="str">
        <f t="shared" si="8"/>
        <v>Normal</v>
      </c>
    </row>
    <row r="190" spans="1:23" x14ac:dyDescent="0.3">
      <c r="A190">
        <v>10900</v>
      </c>
      <c r="B190" s="2">
        <v>45761</v>
      </c>
      <c r="C190" t="s">
        <v>49</v>
      </c>
      <c r="D190" t="s">
        <v>64</v>
      </c>
      <c r="E190" t="s">
        <v>40</v>
      </c>
      <c r="F190" t="s">
        <v>41</v>
      </c>
      <c r="G190" t="s">
        <v>74</v>
      </c>
      <c r="H190" t="s">
        <v>165</v>
      </c>
      <c r="I190" t="s">
        <v>124</v>
      </c>
      <c r="J190">
        <v>1578</v>
      </c>
      <c r="K190">
        <v>19</v>
      </c>
      <c r="L190" t="s">
        <v>37</v>
      </c>
      <c r="M190">
        <v>116</v>
      </c>
      <c r="N190">
        <v>41.2</v>
      </c>
      <c r="O190">
        <v>80.400000000000006</v>
      </c>
      <c r="P190">
        <v>5.53</v>
      </c>
      <c r="Q190">
        <v>2.44</v>
      </c>
      <c r="R190" t="s">
        <v>119</v>
      </c>
      <c r="S190" t="s">
        <v>47</v>
      </c>
      <c r="T190" t="s">
        <v>30</v>
      </c>
      <c r="U190" t="str">
        <f t="shared" si="6"/>
        <v>Normal</v>
      </c>
      <c r="V190" t="str">
        <f t="shared" si="7"/>
        <v>Normal</v>
      </c>
      <c r="W190" t="str">
        <f t="shared" si="8"/>
        <v>Normal</v>
      </c>
    </row>
    <row r="191" spans="1:23" x14ac:dyDescent="0.3">
      <c r="A191">
        <v>11284</v>
      </c>
      <c r="B191" s="2">
        <v>45821</v>
      </c>
      <c r="C191" t="s">
        <v>31</v>
      </c>
      <c r="D191" t="s">
        <v>32</v>
      </c>
      <c r="E191" t="s">
        <v>107</v>
      </c>
      <c r="F191" t="s">
        <v>23</v>
      </c>
      <c r="G191" t="s">
        <v>95</v>
      </c>
      <c r="H191" t="s">
        <v>287</v>
      </c>
      <c r="I191" t="s">
        <v>345</v>
      </c>
      <c r="J191">
        <v>844</v>
      </c>
      <c r="K191">
        <v>7</v>
      </c>
      <c r="L191" t="s">
        <v>37</v>
      </c>
      <c r="M191">
        <v>53</v>
      </c>
      <c r="N191">
        <v>44.6</v>
      </c>
      <c r="O191">
        <v>80.400000000000006</v>
      </c>
      <c r="P191">
        <v>4.2</v>
      </c>
      <c r="Q191">
        <v>3.46</v>
      </c>
      <c r="R191" t="s">
        <v>147</v>
      </c>
      <c r="S191" t="s">
        <v>73</v>
      </c>
      <c r="T191" t="s">
        <v>30</v>
      </c>
      <c r="U191" t="str">
        <f t="shared" si="6"/>
        <v>Normal</v>
      </c>
      <c r="V191" t="str">
        <f t="shared" si="7"/>
        <v>Normal</v>
      </c>
      <c r="W191" t="str">
        <f t="shared" si="8"/>
        <v>Normal</v>
      </c>
    </row>
    <row r="192" spans="1:23" x14ac:dyDescent="0.3">
      <c r="A192">
        <v>10410</v>
      </c>
      <c r="B192" s="2">
        <v>45717</v>
      </c>
      <c r="C192" t="s">
        <v>20</v>
      </c>
      <c r="D192" t="s">
        <v>64</v>
      </c>
      <c r="E192" t="s">
        <v>22</v>
      </c>
      <c r="F192" t="s">
        <v>41</v>
      </c>
      <c r="G192" t="s">
        <v>74</v>
      </c>
      <c r="H192" t="s">
        <v>200</v>
      </c>
      <c r="I192" t="s">
        <v>127</v>
      </c>
      <c r="J192">
        <v>1253</v>
      </c>
      <c r="K192">
        <v>5</v>
      </c>
      <c r="L192" t="s">
        <v>45</v>
      </c>
      <c r="M192">
        <v>63</v>
      </c>
      <c r="N192">
        <v>42.5</v>
      </c>
      <c r="O192">
        <v>80.3</v>
      </c>
      <c r="P192">
        <v>5.42</v>
      </c>
      <c r="Q192">
        <v>3.08</v>
      </c>
      <c r="R192" t="s">
        <v>128</v>
      </c>
      <c r="S192" t="s">
        <v>47</v>
      </c>
      <c r="T192" t="s">
        <v>30</v>
      </c>
      <c r="U192" t="str">
        <f t="shared" si="6"/>
        <v>Normal</v>
      </c>
      <c r="V192" t="str">
        <f t="shared" si="7"/>
        <v>Normal</v>
      </c>
      <c r="W192" t="str">
        <f t="shared" si="8"/>
        <v>Normal</v>
      </c>
    </row>
    <row r="193" spans="1:23" x14ac:dyDescent="0.3">
      <c r="A193">
        <v>11489</v>
      </c>
      <c r="B193" s="2">
        <v>45821</v>
      </c>
      <c r="C193" t="s">
        <v>49</v>
      </c>
      <c r="D193" t="s">
        <v>21</v>
      </c>
      <c r="E193" t="s">
        <v>40</v>
      </c>
      <c r="F193" t="s">
        <v>23</v>
      </c>
      <c r="G193" t="s">
        <v>42</v>
      </c>
      <c r="H193" t="s">
        <v>180</v>
      </c>
      <c r="I193" t="s">
        <v>281</v>
      </c>
      <c r="J193">
        <v>682</v>
      </c>
      <c r="K193">
        <v>4</v>
      </c>
      <c r="L193" t="s">
        <v>68</v>
      </c>
      <c r="M193">
        <v>63</v>
      </c>
      <c r="N193">
        <v>34.5</v>
      </c>
      <c r="O193">
        <v>80.3</v>
      </c>
      <c r="P193">
        <v>4.05</v>
      </c>
      <c r="Q193">
        <v>4.03</v>
      </c>
      <c r="R193" t="s">
        <v>58</v>
      </c>
      <c r="S193" t="s">
        <v>39</v>
      </c>
      <c r="T193" t="s">
        <v>30</v>
      </c>
      <c r="U193" t="str">
        <f t="shared" si="6"/>
        <v>Normal</v>
      </c>
      <c r="V193" t="str">
        <f t="shared" si="7"/>
        <v>Normal</v>
      </c>
      <c r="W193" t="str">
        <f t="shared" si="8"/>
        <v>Normal</v>
      </c>
    </row>
    <row r="194" spans="1:23" x14ac:dyDescent="0.3">
      <c r="A194">
        <v>10390</v>
      </c>
      <c r="B194" s="2">
        <v>46015</v>
      </c>
      <c r="C194" t="s">
        <v>31</v>
      </c>
      <c r="D194" t="s">
        <v>59</v>
      </c>
      <c r="E194" t="s">
        <v>107</v>
      </c>
      <c r="F194" t="s">
        <v>81</v>
      </c>
      <c r="G194" t="s">
        <v>113</v>
      </c>
      <c r="H194" t="s">
        <v>223</v>
      </c>
      <c r="I194" t="s">
        <v>230</v>
      </c>
      <c r="J194">
        <v>740</v>
      </c>
      <c r="K194">
        <v>8</v>
      </c>
      <c r="L194" t="s">
        <v>68</v>
      </c>
      <c r="M194">
        <v>88</v>
      </c>
      <c r="N194">
        <v>42.9</v>
      </c>
      <c r="O194">
        <v>80.3</v>
      </c>
      <c r="P194">
        <v>4.2699999999999996</v>
      </c>
      <c r="Q194">
        <v>4.5</v>
      </c>
      <c r="R194" t="s">
        <v>53</v>
      </c>
      <c r="S194" t="s">
        <v>73</v>
      </c>
      <c r="T194" t="s">
        <v>30</v>
      </c>
      <c r="U194" t="str">
        <f t="shared" ref="U194:U257" si="9">IF(OR(O194&lt;20,O194&gt;100),"Investigate","Normal")</f>
        <v>Normal</v>
      </c>
      <c r="V194" t="str">
        <f t="shared" ref="V194:V257" si="10">IF(OR(P194&lt;2,P194&gt;10),"Investigate","Normal")</f>
        <v>Normal</v>
      </c>
      <c r="W194" t="str">
        <f t="shared" ref="W194:W257" si="11">IF(Q194&gt;10,"Investigate","Normal")</f>
        <v>Normal</v>
      </c>
    </row>
    <row r="195" spans="1:23" x14ac:dyDescent="0.3">
      <c r="A195">
        <v>11116</v>
      </c>
      <c r="B195" s="2">
        <v>45786</v>
      </c>
      <c r="C195" t="s">
        <v>20</v>
      </c>
      <c r="D195" t="s">
        <v>32</v>
      </c>
      <c r="E195" t="s">
        <v>107</v>
      </c>
      <c r="F195" t="s">
        <v>81</v>
      </c>
      <c r="G195" t="s">
        <v>60</v>
      </c>
      <c r="H195" t="s">
        <v>141</v>
      </c>
      <c r="I195" t="s">
        <v>171</v>
      </c>
      <c r="J195">
        <v>587</v>
      </c>
      <c r="K195">
        <v>22</v>
      </c>
      <c r="L195" t="s">
        <v>37</v>
      </c>
      <c r="M195">
        <v>51</v>
      </c>
      <c r="N195">
        <v>44.6</v>
      </c>
      <c r="O195">
        <v>80.3</v>
      </c>
      <c r="P195">
        <v>4.79</v>
      </c>
      <c r="Q195">
        <v>2.17</v>
      </c>
      <c r="R195" t="s">
        <v>137</v>
      </c>
      <c r="S195" t="s">
        <v>47</v>
      </c>
      <c r="T195" t="s">
        <v>48</v>
      </c>
      <c r="U195" t="str">
        <f t="shared" si="9"/>
        <v>Normal</v>
      </c>
      <c r="V195" t="str">
        <f t="shared" si="10"/>
        <v>Normal</v>
      </c>
      <c r="W195" t="str">
        <f t="shared" si="11"/>
        <v>Normal</v>
      </c>
    </row>
    <row r="196" spans="1:23" x14ac:dyDescent="0.3">
      <c r="A196">
        <v>10928</v>
      </c>
      <c r="B196" s="2">
        <v>45728</v>
      </c>
      <c r="C196" t="s">
        <v>31</v>
      </c>
      <c r="D196" t="s">
        <v>64</v>
      </c>
      <c r="E196" t="s">
        <v>33</v>
      </c>
      <c r="F196" t="s">
        <v>41</v>
      </c>
      <c r="G196" t="s">
        <v>74</v>
      </c>
      <c r="H196" t="s">
        <v>82</v>
      </c>
      <c r="I196" t="s">
        <v>304</v>
      </c>
      <c r="J196">
        <v>553</v>
      </c>
      <c r="K196">
        <v>10</v>
      </c>
      <c r="L196" t="s">
        <v>71</v>
      </c>
      <c r="M196">
        <v>116</v>
      </c>
      <c r="N196">
        <v>31.8</v>
      </c>
      <c r="O196">
        <v>80.3</v>
      </c>
      <c r="P196">
        <v>4.95</v>
      </c>
      <c r="Q196">
        <v>1.54</v>
      </c>
      <c r="R196" t="s">
        <v>80</v>
      </c>
      <c r="S196" t="s">
        <v>29</v>
      </c>
      <c r="T196" t="s">
        <v>30</v>
      </c>
      <c r="U196" t="str">
        <f t="shared" si="9"/>
        <v>Normal</v>
      </c>
      <c r="V196" t="str">
        <f t="shared" si="10"/>
        <v>Normal</v>
      </c>
      <c r="W196" t="str">
        <f t="shared" si="11"/>
        <v>Normal</v>
      </c>
    </row>
    <row r="197" spans="1:23" x14ac:dyDescent="0.3">
      <c r="A197">
        <v>10202</v>
      </c>
      <c r="B197" s="2">
        <v>45697</v>
      </c>
      <c r="C197" t="s">
        <v>49</v>
      </c>
      <c r="D197" t="s">
        <v>32</v>
      </c>
      <c r="E197" t="s">
        <v>22</v>
      </c>
      <c r="F197" t="s">
        <v>41</v>
      </c>
      <c r="G197" t="s">
        <v>24</v>
      </c>
      <c r="H197" t="s">
        <v>265</v>
      </c>
      <c r="I197" t="s">
        <v>356</v>
      </c>
      <c r="J197">
        <v>555</v>
      </c>
      <c r="K197">
        <v>50</v>
      </c>
      <c r="L197" t="s">
        <v>45</v>
      </c>
      <c r="M197">
        <v>42</v>
      </c>
      <c r="N197">
        <v>39</v>
      </c>
      <c r="O197">
        <v>80.3</v>
      </c>
      <c r="P197">
        <v>4.9800000000000004</v>
      </c>
      <c r="Q197">
        <v>3.96</v>
      </c>
      <c r="R197" t="s">
        <v>209</v>
      </c>
      <c r="S197" t="s">
        <v>47</v>
      </c>
      <c r="T197" t="s">
        <v>48</v>
      </c>
      <c r="U197" t="str">
        <f t="shared" si="9"/>
        <v>Normal</v>
      </c>
      <c r="V197" t="str">
        <f t="shared" si="10"/>
        <v>Normal</v>
      </c>
      <c r="W197" t="str">
        <f t="shared" si="11"/>
        <v>Normal</v>
      </c>
    </row>
    <row r="198" spans="1:23" x14ac:dyDescent="0.3">
      <c r="A198">
        <v>11185</v>
      </c>
      <c r="B198" s="2">
        <v>45909</v>
      </c>
      <c r="C198" t="s">
        <v>31</v>
      </c>
      <c r="D198" t="s">
        <v>32</v>
      </c>
      <c r="E198" t="s">
        <v>22</v>
      </c>
      <c r="F198" t="s">
        <v>23</v>
      </c>
      <c r="G198" t="s">
        <v>113</v>
      </c>
      <c r="H198" t="s">
        <v>169</v>
      </c>
      <c r="I198" t="s">
        <v>373</v>
      </c>
      <c r="J198">
        <v>1416</v>
      </c>
      <c r="K198">
        <v>20</v>
      </c>
      <c r="L198" t="s">
        <v>27</v>
      </c>
      <c r="M198">
        <v>6</v>
      </c>
      <c r="N198">
        <v>51.9</v>
      </c>
      <c r="O198">
        <v>80.3</v>
      </c>
      <c r="P198">
        <v>5.0999999999999996</v>
      </c>
      <c r="Q198">
        <v>2.09</v>
      </c>
      <c r="R198" t="s">
        <v>103</v>
      </c>
      <c r="S198" t="s">
        <v>39</v>
      </c>
      <c r="T198" t="s">
        <v>30</v>
      </c>
      <c r="U198" t="str">
        <f t="shared" si="9"/>
        <v>Normal</v>
      </c>
      <c r="V198" t="str">
        <f t="shared" si="10"/>
        <v>Normal</v>
      </c>
      <c r="W198" t="str">
        <f t="shared" si="11"/>
        <v>Normal</v>
      </c>
    </row>
    <row r="199" spans="1:23" x14ac:dyDescent="0.3">
      <c r="A199">
        <v>11410</v>
      </c>
      <c r="B199" s="2">
        <v>45784</v>
      </c>
      <c r="C199" t="s">
        <v>20</v>
      </c>
      <c r="D199" t="s">
        <v>32</v>
      </c>
      <c r="E199" t="s">
        <v>33</v>
      </c>
      <c r="F199" t="s">
        <v>23</v>
      </c>
      <c r="G199" t="s">
        <v>95</v>
      </c>
      <c r="H199" t="s">
        <v>287</v>
      </c>
      <c r="I199" t="s">
        <v>236</v>
      </c>
      <c r="J199">
        <v>945</v>
      </c>
      <c r="K199">
        <v>74</v>
      </c>
      <c r="L199" t="s">
        <v>45</v>
      </c>
      <c r="M199">
        <v>171</v>
      </c>
      <c r="N199">
        <v>40.799999999999997</v>
      </c>
      <c r="O199">
        <v>80.2</v>
      </c>
      <c r="P199">
        <v>4.18</v>
      </c>
      <c r="Q199">
        <v>3.09</v>
      </c>
      <c r="R199" t="s">
        <v>125</v>
      </c>
      <c r="S199" t="s">
        <v>73</v>
      </c>
      <c r="T199" t="s">
        <v>48</v>
      </c>
      <c r="U199" t="str">
        <f t="shared" si="9"/>
        <v>Normal</v>
      </c>
      <c r="V199" t="str">
        <f t="shared" si="10"/>
        <v>Normal</v>
      </c>
      <c r="W199" t="str">
        <f t="shared" si="11"/>
        <v>Normal</v>
      </c>
    </row>
    <row r="200" spans="1:23" x14ac:dyDescent="0.3">
      <c r="A200">
        <v>11390</v>
      </c>
      <c r="B200" s="2">
        <v>45982</v>
      </c>
      <c r="C200" t="s">
        <v>49</v>
      </c>
      <c r="D200" t="s">
        <v>21</v>
      </c>
      <c r="E200" t="s">
        <v>107</v>
      </c>
      <c r="F200" t="s">
        <v>41</v>
      </c>
      <c r="G200" t="s">
        <v>60</v>
      </c>
      <c r="H200" t="s">
        <v>144</v>
      </c>
      <c r="I200" t="s">
        <v>352</v>
      </c>
      <c r="J200">
        <v>584</v>
      </c>
      <c r="K200">
        <v>7</v>
      </c>
      <c r="L200" t="s">
        <v>27</v>
      </c>
      <c r="M200">
        <v>163</v>
      </c>
      <c r="N200">
        <v>48.7</v>
      </c>
      <c r="O200">
        <v>80.2</v>
      </c>
      <c r="P200">
        <v>4.83</v>
      </c>
      <c r="Q200">
        <v>2.35</v>
      </c>
      <c r="R200" t="s">
        <v>174</v>
      </c>
      <c r="S200" t="s">
        <v>39</v>
      </c>
      <c r="T200" t="s">
        <v>30</v>
      </c>
      <c r="U200" t="str">
        <f t="shared" si="9"/>
        <v>Normal</v>
      </c>
      <c r="V200" t="str">
        <f t="shared" si="10"/>
        <v>Normal</v>
      </c>
      <c r="W200" t="str">
        <f t="shared" si="11"/>
        <v>Normal</v>
      </c>
    </row>
    <row r="201" spans="1:23" x14ac:dyDescent="0.3">
      <c r="A201">
        <v>11363</v>
      </c>
      <c r="B201" s="2">
        <v>45721</v>
      </c>
      <c r="C201" t="s">
        <v>31</v>
      </c>
      <c r="D201" t="s">
        <v>59</v>
      </c>
      <c r="E201" t="s">
        <v>107</v>
      </c>
      <c r="F201" t="s">
        <v>41</v>
      </c>
      <c r="G201" t="s">
        <v>50</v>
      </c>
      <c r="H201" t="s">
        <v>252</v>
      </c>
      <c r="I201" t="s">
        <v>375</v>
      </c>
      <c r="J201">
        <v>1369</v>
      </c>
      <c r="K201">
        <v>11</v>
      </c>
      <c r="L201" t="s">
        <v>45</v>
      </c>
      <c r="M201">
        <v>5</v>
      </c>
      <c r="N201">
        <v>36.5</v>
      </c>
      <c r="O201">
        <v>80.2</v>
      </c>
      <c r="P201">
        <v>6.34</v>
      </c>
      <c r="Q201">
        <v>0.6</v>
      </c>
      <c r="R201" t="s">
        <v>184</v>
      </c>
      <c r="S201" t="s">
        <v>47</v>
      </c>
      <c r="T201" t="s">
        <v>30</v>
      </c>
      <c r="U201" t="str">
        <f t="shared" si="9"/>
        <v>Normal</v>
      </c>
      <c r="V201" t="str">
        <f t="shared" si="10"/>
        <v>Normal</v>
      </c>
      <c r="W201" t="str">
        <f t="shared" si="11"/>
        <v>Normal</v>
      </c>
    </row>
    <row r="202" spans="1:23" x14ac:dyDescent="0.3">
      <c r="A202">
        <v>10639</v>
      </c>
      <c r="B202" s="2">
        <v>45872</v>
      </c>
      <c r="C202" t="s">
        <v>31</v>
      </c>
      <c r="D202" t="s">
        <v>59</v>
      </c>
      <c r="E202" t="s">
        <v>40</v>
      </c>
      <c r="F202" t="s">
        <v>23</v>
      </c>
      <c r="G202" t="s">
        <v>134</v>
      </c>
      <c r="H202" t="s">
        <v>75</v>
      </c>
      <c r="I202" t="s">
        <v>83</v>
      </c>
      <c r="J202">
        <v>1364</v>
      </c>
      <c r="K202">
        <v>14</v>
      </c>
      <c r="L202" t="s">
        <v>68</v>
      </c>
      <c r="M202">
        <v>22</v>
      </c>
      <c r="N202">
        <v>44.7</v>
      </c>
      <c r="O202">
        <v>80.2</v>
      </c>
      <c r="P202">
        <v>6</v>
      </c>
      <c r="Q202">
        <v>2.77</v>
      </c>
      <c r="R202" t="s">
        <v>232</v>
      </c>
      <c r="S202" t="s">
        <v>47</v>
      </c>
      <c r="T202" t="s">
        <v>30</v>
      </c>
      <c r="U202" t="str">
        <f t="shared" si="9"/>
        <v>Normal</v>
      </c>
      <c r="V202" t="str">
        <f t="shared" si="10"/>
        <v>Normal</v>
      </c>
      <c r="W202" t="str">
        <f t="shared" si="11"/>
        <v>Normal</v>
      </c>
    </row>
    <row r="203" spans="1:23" x14ac:dyDescent="0.3">
      <c r="A203">
        <v>10874</v>
      </c>
      <c r="B203" s="2">
        <v>45703</v>
      </c>
      <c r="C203" t="s">
        <v>49</v>
      </c>
      <c r="D203" t="s">
        <v>21</v>
      </c>
      <c r="E203" t="s">
        <v>40</v>
      </c>
      <c r="F203" t="s">
        <v>23</v>
      </c>
      <c r="G203" t="s">
        <v>113</v>
      </c>
      <c r="H203" t="s">
        <v>82</v>
      </c>
      <c r="I203" t="s">
        <v>348</v>
      </c>
      <c r="J203">
        <v>1350</v>
      </c>
      <c r="K203">
        <v>37</v>
      </c>
      <c r="L203" t="s">
        <v>68</v>
      </c>
      <c r="M203">
        <v>170</v>
      </c>
      <c r="N203">
        <v>43.4</v>
      </c>
      <c r="O203">
        <v>80.2</v>
      </c>
      <c r="P203">
        <v>5.03</v>
      </c>
      <c r="Q203">
        <v>3.09</v>
      </c>
      <c r="R203" t="s">
        <v>147</v>
      </c>
      <c r="S203" t="s">
        <v>47</v>
      </c>
      <c r="T203" t="s">
        <v>30</v>
      </c>
      <c r="U203" t="str">
        <f t="shared" si="9"/>
        <v>Normal</v>
      </c>
      <c r="V203" t="str">
        <f t="shared" si="10"/>
        <v>Normal</v>
      </c>
      <c r="W203" t="str">
        <f t="shared" si="11"/>
        <v>Normal</v>
      </c>
    </row>
    <row r="204" spans="1:23" x14ac:dyDescent="0.3">
      <c r="A204">
        <v>11091</v>
      </c>
      <c r="B204" s="2">
        <v>45818</v>
      </c>
      <c r="C204" t="s">
        <v>31</v>
      </c>
      <c r="D204" t="s">
        <v>32</v>
      </c>
      <c r="E204" t="s">
        <v>40</v>
      </c>
      <c r="F204" t="s">
        <v>23</v>
      </c>
      <c r="G204" t="s">
        <v>54</v>
      </c>
      <c r="H204" t="s">
        <v>101</v>
      </c>
      <c r="I204" t="s">
        <v>364</v>
      </c>
      <c r="J204">
        <v>1362</v>
      </c>
      <c r="K204">
        <v>33</v>
      </c>
      <c r="L204" t="s">
        <v>27</v>
      </c>
      <c r="M204">
        <v>165</v>
      </c>
      <c r="N204">
        <v>42.3</v>
      </c>
      <c r="O204">
        <v>80.2</v>
      </c>
      <c r="P204">
        <v>4.26</v>
      </c>
      <c r="Q204">
        <v>3.11</v>
      </c>
      <c r="R204" t="s">
        <v>222</v>
      </c>
      <c r="S204" t="s">
        <v>47</v>
      </c>
      <c r="T204" t="s">
        <v>30</v>
      </c>
      <c r="U204" t="str">
        <f t="shared" si="9"/>
        <v>Normal</v>
      </c>
      <c r="V204" t="str">
        <f t="shared" si="10"/>
        <v>Normal</v>
      </c>
      <c r="W204" t="str">
        <f t="shared" si="11"/>
        <v>Normal</v>
      </c>
    </row>
    <row r="205" spans="1:23" x14ac:dyDescent="0.3">
      <c r="A205">
        <v>10997</v>
      </c>
      <c r="B205" s="2">
        <v>45994</v>
      </c>
      <c r="C205" t="s">
        <v>20</v>
      </c>
      <c r="D205" t="s">
        <v>21</v>
      </c>
      <c r="E205" t="s">
        <v>33</v>
      </c>
      <c r="F205" t="s">
        <v>81</v>
      </c>
      <c r="G205" t="s">
        <v>54</v>
      </c>
      <c r="H205" t="s">
        <v>424</v>
      </c>
      <c r="I205" t="s">
        <v>212</v>
      </c>
      <c r="J205">
        <v>485</v>
      </c>
      <c r="K205">
        <v>6</v>
      </c>
      <c r="L205" t="s">
        <v>57</v>
      </c>
      <c r="M205">
        <v>176</v>
      </c>
      <c r="N205">
        <v>35.799999999999997</v>
      </c>
      <c r="O205">
        <v>80.2</v>
      </c>
      <c r="P205">
        <v>3.74</v>
      </c>
      <c r="Q205">
        <v>4.58</v>
      </c>
      <c r="R205" t="s">
        <v>245</v>
      </c>
      <c r="S205" t="s">
        <v>39</v>
      </c>
      <c r="T205" t="s">
        <v>30</v>
      </c>
      <c r="U205" t="str">
        <f t="shared" si="9"/>
        <v>Normal</v>
      </c>
      <c r="V205" t="str">
        <f t="shared" si="10"/>
        <v>Normal</v>
      </c>
      <c r="W205" t="str">
        <f t="shared" si="11"/>
        <v>Normal</v>
      </c>
    </row>
    <row r="206" spans="1:23" x14ac:dyDescent="0.3">
      <c r="A206">
        <v>10173</v>
      </c>
      <c r="B206" s="2">
        <v>45677</v>
      </c>
      <c r="C206" t="s">
        <v>31</v>
      </c>
      <c r="D206" t="s">
        <v>64</v>
      </c>
      <c r="E206" t="s">
        <v>33</v>
      </c>
      <c r="F206" t="s">
        <v>41</v>
      </c>
      <c r="G206" t="s">
        <v>95</v>
      </c>
      <c r="H206" t="s">
        <v>278</v>
      </c>
      <c r="I206" t="s">
        <v>236</v>
      </c>
      <c r="J206">
        <v>615</v>
      </c>
      <c r="K206">
        <v>9</v>
      </c>
      <c r="L206" t="s">
        <v>57</v>
      </c>
      <c r="M206">
        <v>70</v>
      </c>
      <c r="N206">
        <v>50.3</v>
      </c>
      <c r="O206">
        <v>80.099999999999994</v>
      </c>
      <c r="P206">
        <v>5.2</v>
      </c>
      <c r="Q206">
        <v>3.82</v>
      </c>
      <c r="R206" t="s">
        <v>77</v>
      </c>
      <c r="S206" t="s">
        <v>39</v>
      </c>
      <c r="T206" t="s">
        <v>30</v>
      </c>
      <c r="U206" t="str">
        <f t="shared" si="9"/>
        <v>Normal</v>
      </c>
      <c r="V206" t="str">
        <f t="shared" si="10"/>
        <v>Normal</v>
      </c>
      <c r="W206" t="str">
        <f t="shared" si="11"/>
        <v>Normal</v>
      </c>
    </row>
    <row r="207" spans="1:23" x14ac:dyDescent="0.3">
      <c r="A207">
        <v>10535</v>
      </c>
      <c r="B207" s="2">
        <v>45659</v>
      </c>
      <c r="C207" t="s">
        <v>20</v>
      </c>
      <c r="D207" t="s">
        <v>64</v>
      </c>
      <c r="E207" t="s">
        <v>22</v>
      </c>
      <c r="F207" t="s">
        <v>41</v>
      </c>
      <c r="G207" t="s">
        <v>60</v>
      </c>
      <c r="H207" t="s">
        <v>90</v>
      </c>
      <c r="I207" t="s">
        <v>194</v>
      </c>
      <c r="J207">
        <v>1409</v>
      </c>
      <c r="K207">
        <v>24</v>
      </c>
      <c r="L207" t="s">
        <v>68</v>
      </c>
      <c r="M207">
        <v>39</v>
      </c>
      <c r="N207">
        <v>53.4</v>
      </c>
      <c r="O207">
        <v>80</v>
      </c>
      <c r="P207">
        <v>4.6500000000000004</v>
      </c>
      <c r="Q207">
        <v>2.98</v>
      </c>
      <c r="R207" t="s">
        <v>167</v>
      </c>
      <c r="S207" t="s">
        <v>39</v>
      </c>
      <c r="T207" t="s">
        <v>30</v>
      </c>
      <c r="U207" t="str">
        <f t="shared" si="9"/>
        <v>Normal</v>
      </c>
      <c r="V207" t="str">
        <f t="shared" si="10"/>
        <v>Normal</v>
      </c>
      <c r="W207" t="str">
        <f t="shared" si="11"/>
        <v>Normal</v>
      </c>
    </row>
    <row r="208" spans="1:23" x14ac:dyDescent="0.3">
      <c r="A208">
        <v>11032</v>
      </c>
      <c r="B208" s="2">
        <v>46022</v>
      </c>
      <c r="C208" t="s">
        <v>20</v>
      </c>
      <c r="D208" t="s">
        <v>64</v>
      </c>
      <c r="E208" t="s">
        <v>22</v>
      </c>
      <c r="F208" t="s">
        <v>81</v>
      </c>
      <c r="G208" t="s">
        <v>24</v>
      </c>
      <c r="H208" t="s">
        <v>85</v>
      </c>
      <c r="I208" t="s">
        <v>310</v>
      </c>
      <c r="J208">
        <v>1210</v>
      </c>
      <c r="K208">
        <v>4</v>
      </c>
      <c r="L208" t="s">
        <v>45</v>
      </c>
      <c r="M208">
        <v>82</v>
      </c>
      <c r="N208">
        <v>45.1</v>
      </c>
      <c r="O208">
        <v>80</v>
      </c>
      <c r="P208">
        <v>5.92</v>
      </c>
      <c r="Q208">
        <v>4.34</v>
      </c>
      <c r="R208" t="s">
        <v>133</v>
      </c>
      <c r="S208" t="s">
        <v>73</v>
      </c>
      <c r="T208" t="s">
        <v>30</v>
      </c>
      <c r="U208" t="str">
        <f t="shared" si="9"/>
        <v>Normal</v>
      </c>
      <c r="V208" t="str">
        <f t="shared" si="10"/>
        <v>Normal</v>
      </c>
      <c r="W208" t="str">
        <f t="shared" si="11"/>
        <v>Normal</v>
      </c>
    </row>
    <row r="209" spans="1:23" x14ac:dyDescent="0.3">
      <c r="A209">
        <v>10501</v>
      </c>
      <c r="B209" s="2">
        <v>45891</v>
      </c>
      <c r="C209" t="s">
        <v>49</v>
      </c>
      <c r="D209" t="s">
        <v>32</v>
      </c>
      <c r="E209" t="s">
        <v>22</v>
      </c>
      <c r="F209" t="s">
        <v>41</v>
      </c>
      <c r="G209" t="s">
        <v>54</v>
      </c>
      <c r="H209" t="s">
        <v>35</v>
      </c>
      <c r="I209" t="s">
        <v>197</v>
      </c>
      <c r="J209">
        <v>1002</v>
      </c>
      <c r="K209">
        <v>4</v>
      </c>
      <c r="L209" t="s">
        <v>57</v>
      </c>
      <c r="M209">
        <v>151</v>
      </c>
      <c r="N209">
        <v>45.1</v>
      </c>
      <c r="O209">
        <v>79.900000000000006</v>
      </c>
      <c r="P209">
        <v>6.64</v>
      </c>
      <c r="Q209">
        <v>2.82</v>
      </c>
      <c r="R209" t="s">
        <v>174</v>
      </c>
      <c r="S209" t="s">
        <v>29</v>
      </c>
      <c r="T209" t="s">
        <v>30</v>
      </c>
      <c r="U209" t="str">
        <f t="shared" si="9"/>
        <v>Normal</v>
      </c>
      <c r="V209" t="str">
        <f t="shared" si="10"/>
        <v>Normal</v>
      </c>
      <c r="W209" t="str">
        <f t="shared" si="11"/>
        <v>Normal</v>
      </c>
    </row>
    <row r="210" spans="1:23" x14ac:dyDescent="0.3">
      <c r="A210">
        <v>10271</v>
      </c>
      <c r="B210" s="2">
        <v>45904</v>
      </c>
      <c r="C210" t="s">
        <v>49</v>
      </c>
      <c r="D210" t="s">
        <v>64</v>
      </c>
      <c r="E210" t="s">
        <v>33</v>
      </c>
      <c r="F210" t="s">
        <v>23</v>
      </c>
      <c r="G210" t="s">
        <v>24</v>
      </c>
      <c r="H210" t="s">
        <v>141</v>
      </c>
      <c r="I210" t="s">
        <v>330</v>
      </c>
      <c r="J210">
        <v>575</v>
      </c>
      <c r="K210">
        <v>27</v>
      </c>
      <c r="L210" t="s">
        <v>37</v>
      </c>
      <c r="M210">
        <v>26</v>
      </c>
      <c r="N210">
        <v>35.1</v>
      </c>
      <c r="O210">
        <v>79.900000000000006</v>
      </c>
      <c r="P210">
        <v>5.13</v>
      </c>
      <c r="Q210">
        <v>1.38</v>
      </c>
      <c r="R210" t="s">
        <v>105</v>
      </c>
      <c r="S210" t="s">
        <v>73</v>
      </c>
      <c r="T210" t="s">
        <v>48</v>
      </c>
      <c r="U210" t="str">
        <f t="shared" si="9"/>
        <v>Normal</v>
      </c>
      <c r="V210" t="str">
        <f t="shared" si="10"/>
        <v>Normal</v>
      </c>
      <c r="W210" t="str">
        <f t="shared" si="11"/>
        <v>Normal</v>
      </c>
    </row>
    <row r="211" spans="1:23" x14ac:dyDescent="0.3">
      <c r="A211">
        <v>10695</v>
      </c>
      <c r="B211" s="2">
        <v>45669</v>
      </c>
      <c r="C211" t="s">
        <v>31</v>
      </c>
      <c r="D211" t="s">
        <v>21</v>
      </c>
      <c r="E211" t="s">
        <v>22</v>
      </c>
      <c r="F211" t="s">
        <v>23</v>
      </c>
      <c r="G211" t="s">
        <v>42</v>
      </c>
      <c r="H211" t="s">
        <v>192</v>
      </c>
      <c r="I211" t="s">
        <v>348</v>
      </c>
      <c r="J211">
        <v>1012</v>
      </c>
      <c r="K211">
        <v>32</v>
      </c>
      <c r="L211" t="s">
        <v>27</v>
      </c>
      <c r="M211">
        <v>39</v>
      </c>
      <c r="N211">
        <v>32.200000000000003</v>
      </c>
      <c r="O211">
        <v>79.900000000000006</v>
      </c>
      <c r="P211">
        <v>4.1100000000000003</v>
      </c>
      <c r="Q211">
        <v>3</v>
      </c>
      <c r="R211" t="s">
        <v>155</v>
      </c>
      <c r="S211" t="s">
        <v>39</v>
      </c>
      <c r="T211" t="s">
        <v>48</v>
      </c>
      <c r="U211" t="str">
        <f t="shared" si="9"/>
        <v>Normal</v>
      </c>
      <c r="V211" t="str">
        <f t="shared" si="10"/>
        <v>Normal</v>
      </c>
      <c r="W211" t="str">
        <f t="shared" si="11"/>
        <v>Normal</v>
      </c>
    </row>
    <row r="212" spans="1:23" x14ac:dyDescent="0.3">
      <c r="A212">
        <v>11456</v>
      </c>
      <c r="B212" s="2">
        <v>45669</v>
      </c>
      <c r="C212" t="s">
        <v>49</v>
      </c>
      <c r="D212" t="s">
        <v>21</v>
      </c>
      <c r="E212" t="s">
        <v>22</v>
      </c>
      <c r="F212" t="s">
        <v>81</v>
      </c>
      <c r="G212" t="s">
        <v>134</v>
      </c>
      <c r="H212" t="s">
        <v>265</v>
      </c>
      <c r="I212" t="s">
        <v>197</v>
      </c>
      <c r="J212">
        <v>1578</v>
      </c>
      <c r="K212">
        <v>115</v>
      </c>
      <c r="L212" t="s">
        <v>37</v>
      </c>
      <c r="M212">
        <v>150</v>
      </c>
      <c r="N212">
        <v>45.4</v>
      </c>
      <c r="O212">
        <v>79.900000000000006</v>
      </c>
      <c r="P212">
        <v>4.99</v>
      </c>
      <c r="Q212">
        <v>3.9</v>
      </c>
      <c r="R212" t="s">
        <v>245</v>
      </c>
      <c r="S212" t="s">
        <v>29</v>
      </c>
      <c r="T212" t="s">
        <v>48</v>
      </c>
      <c r="U212" t="str">
        <f t="shared" si="9"/>
        <v>Normal</v>
      </c>
      <c r="V212" t="str">
        <f t="shared" si="10"/>
        <v>Normal</v>
      </c>
      <c r="W212" t="str">
        <f t="shared" si="11"/>
        <v>Normal</v>
      </c>
    </row>
    <row r="213" spans="1:23" x14ac:dyDescent="0.3">
      <c r="A213">
        <v>10993</v>
      </c>
      <c r="B213" s="2">
        <v>45806</v>
      </c>
      <c r="C213" t="s">
        <v>49</v>
      </c>
      <c r="D213" t="s">
        <v>32</v>
      </c>
      <c r="E213" t="s">
        <v>40</v>
      </c>
      <c r="F213" t="s">
        <v>23</v>
      </c>
      <c r="G213" t="s">
        <v>113</v>
      </c>
      <c r="H213" t="s">
        <v>148</v>
      </c>
      <c r="I213" t="s">
        <v>217</v>
      </c>
      <c r="J213">
        <v>1345</v>
      </c>
      <c r="K213">
        <v>3</v>
      </c>
      <c r="L213" t="s">
        <v>68</v>
      </c>
      <c r="M213">
        <v>165</v>
      </c>
      <c r="N213">
        <v>47.2</v>
      </c>
      <c r="O213">
        <v>79.900000000000006</v>
      </c>
      <c r="P213">
        <v>5.38</v>
      </c>
      <c r="Q213">
        <v>1.74</v>
      </c>
      <c r="R213" t="s">
        <v>164</v>
      </c>
      <c r="S213" t="s">
        <v>47</v>
      </c>
      <c r="T213" t="s">
        <v>30</v>
      </c>
      <c r="U213" t="str">
        <f t="shared" si="9"/>
        <v>Normal</v>
      </c>
      <c r="V213" t="str">
        <f t="shared" si="10"/>
        <v>Normal</v>
      </c>
      <c r="W213" t="str">
        <f t="shared" si="11"/>
        <v>Normal</v>
      </c>
    </row>
    <row r="214" spans="1:23" x14ac:dyDescent="0.3">
      <c r="A214">
        <v>11476</v>
      </c>
      <c r="B214" s="2">
        <v>45923</v>
      </c>
      <c r="C214" t="s">
        <v>20</v>
      </c>
      <c r="D214" t="s">
        <v>32</v>
      </c>
      <c r="E214" t="s">
        <v>107</v>
      </c>
      <c r="F214" t="s">
        <v>41</v>
      </c>
      <c r="G214" t="s">
        <v>109</v>
      </c>
      <c r="H214" t="s">
        <v>85</v>
      </c>
      <c r="I214" t="s">
        <v>318</v>
      </c>
      <c r="J214">
        <v>1251</v>
      </c>
      <c r="K214">
        <v>5</v>
      </c>
      <c r="L214" t="s">
        <v>57</v>
      </c>
      <c r="M214">
        <v>56</v>
      </c>
      <c r="N214">
        <v>36.799999999999997</v>
      </c>
      <c r="O214">
        <v>79.900000000000006</v>
      </c>
      <c r="P214">
        <v>6.13</v>
      </c>
      <c r="Q214">
        <v>3.94</v>
      </c>
      <c r="R214" t="s">
        <v>189</v>
      </c>
      <c r="S214" t="s">
        <v>29</v>
      </c>
      <c r="T214" t="s">
        <v>30</v>
      </c>
      <c r="U214" t="str">
        <f t="shared" si="9"/>
        <v>Normal</v>
      </c>
      <c r="V214" t="str">
        <f t="shared" si="10"/>
        <v>Normal</v>
      </c>
      <c r="W214" t="str">
        <f t="shared" si="11"/>
        <v>Normal</v>
      </c>
    </row>
    <row r="215" spans="1:23" x14ac:dyDescent="0.3">
      <c r="A215">
        <v>10379</v>
      </c>
      <c r="B215" s="2">
        <v>45818</v>
      </c>
      <c r="C215" t="s">
        <v>49</v>
      </c>
      <c r="D215" t="s">
        <v>59</v>
      </c>
      <c r="E215" t="s">
        <v>40</v>
      </c>
      <c r="F215" t="s">
        <v>41</v>
      </c>
      <c r="G215" t="s">
        <v>42</v>
      </c>
      <c r="H215" t="s">
        <v>69</v>
      </c>
      <c r="I215" t="s">
        <v>333</v>
      </c>
      <c r="J215">
        <v>614</v>
      </c>
      <c r="K215">
        <v>2</v>
      </c>
      <c r="L215" t="s">
        <v>27</v>
      </c>
      <c r="M215">
        <v>136</v>
      </c>
      <c r="N215">
        <v>50.7</v>
      </c>
      <c r="O215">
        <v>79.900000000000006</v>
      </c>
      <c r="P215">
        <v>4.3</v>
      </c>
      <c r="Q215">
        <v>2.6</v>
      </c>
      <c r="R215" t="s">
        <v>155</v>
      </c>
      <c r="S215" t="s">
        <v>73</v>
      </c>
      <c r="T215" t="s">
        <v>30</v>
      </c>
      <c r="U215" t="str">
        <f t="shared" si="9"/>
        <v>Normal</v>
      </c>
      <c r="V215" t="str">
        <f t="shared" si="10"/>
        <v>Normal</v>
      </c>
      <c r="W215" t="str">
        <f t="shared" si="11"/>
        <v>Normal</v>
      </c>
    </row>
    <row r="216" spans="1:23" x14ac:dyDescent="0.3">
      <c r="A216">
        <v>10443</v>
      </c>
      <c r="B216" s="2">
        <v>45803</v>
      </c>
      <c r="C216" t="s">
        <v>31</v>
      </c>
      <c r="D216" t="s">
        <v>64</v>
      </c>
      <c r="E216" t="s">
        <v>40</v>
      </c>
      <c r="F216" t="s">
        <v>41</v>
      </c>
      <c r="G216" t="s">
        <v>113</v>
      </c>
      <c r="H216" t="s">
        <v>116</v>
      </c>
      <c r="I216" t="s">
        <v>139</v>
      </c>
      <c r="J216">
        <v>1195</v>
      </c>
      <c r="K216">
        <v>70</v>
      </c>
      <c r="L216" t="s">
        <v>37</v>
      </c>
      <c r="M216">
        <v>44</v>
      </c>
      <c r="N216">
        <v>42.6</v>
      </c>
      <c r="O216">
        <v>79.8</v>
      </c>
      <c r="P216">
        <v>6.84</v>
      </c>
      <c r="Q216">
        <v>3.44</v>
      </c>
      <c r="R216" t="s">
        <v>58</v>
      </c>
      <c r="S216" t="s">
        <v>47</v>
      </c>
      <c r="T216" t="s">
        <v>48</v>
      </c>
      <c r="U216" t="str">
        <f t="shared" si="9"/>
        <v>Normal</v>
      </c>
      <c r="V216" t="str">
        <f t="shared" si="10"/>
        <v>Normal</v>
      </c>
      <c r="W216" t="str">
        <f t="shared" si="11"/>
        <v>Normal</v>
      </c>
    </row>
    <row r="217" spans="1:23" x14ac:dyDescent="0.3">
      <c r="A217">
        <v>11373</v>
      </c>
      <c r="B217" s="2">
        <v>45909</v>
      </c>
      <c r="C217" t="s">
        <v>20</v>
      </c>
      <c r="D217" t="s">
        <v>64</v>
      </c>
      <c r="E217" t="s">
        <v>22</v>
      </c>
      <c r="F217" t="s">
        <v>81</v>
      </c>
      <c r="G217" t="s">
        <v>113</v>
      </c>
      <c r="H217" t="s">
        <v>192</v>
      </c>
      <c r="I217" t="s">
        <v>329</v>
      </c>
      <c r="J217">
        <v>617</v>
      </c>
      <c r="K217">
        <v>4</v>
      </c>
      <c r="L217" t="s">
        <v>71</v>
      </c>
      <c r="M217">
        <v>179</v>
      </c>
      <c r="N217">
        <v>50.4</v>
      </c>
      <c r="O217">
        <v>79.8</v>
      </c>
      <c r="P217">
        <v>4.03</v>
      </c>
      <c r="Q217">
        <v>4.12</v>
      </c>
      <c r="R217" t="s">
        <v>153</v>
      </c>
      <c r="S217" t="s">
        <v>29</v>
      </c>
      <c r="T217" t="s">
        <v>30</v>
      </c>
      <c r="U217" t="str">
        <f t="shared" si="9"/>
        <v>Normal</v>
      </c>
      <c r="V217" t="str">
        <f t="shared" si="10"/>
        <v>Normal</v>
      </c>
      <c r="W217" t="str">
        <f t="shared" si="11"/>
        <v>Normal</v>
      </c>
    </row>
    <row r="218" spans="1:23" x14ac:dyDescent="0.3">
      <c r="A218">
        <v>10954</v>
      </c>
      <c r="B218" s="2">
        <v>45898</v>
      </c>
      <c r="C218" t="s">
        <v>20</v>
      </c>
      <c r="D218" t="s">
        <v>32</v>
      </c>
      <c r="E218" t="s">
        <v>22</v>
      </c>
      <c r="F218" t="s">
        <v>41</v>
      </c>
      <c r="G218" t="s">
        <v>42</v>
      </c>
      <c r="H218" t="s">
        <v>75</v>
      </c>
      <c r="I218" t="s">
        <v>345</v>
      </c>
      <c r="J218">
        <v>1041</v>
      </c>
      <c r="K218">
        <v>6</v>
      </c>
      <c r="L218" t="s">
        <v>37</v>
      </c>
      <c r="M218">
        <v>160</v>
      </c>
      <c r="N218">
        <v>45</v>
      </c>
      <c r="O218">
        <v>79.8</v>
      </c>
      <c r="P218">
        <v>5.1100000000000003</v>
      </c>
      <c r="Q218">
        <v>3.15</v>
      </c>
      <c r="R218" t="s">
        <v>183</v>
      </c>
      <c r="S218" t="s">
        <v>39</v>
      </c>
      <c r="T218" t="s">
        <v>30</v>
      </c>
      <c r="U218" t="str">
        <f t="shared" si="9"/>
        <v>Normal</v>
      </c>
      <c r="V218" t="str">
        <f t="shared" si="10"/>
        <v>Normal</v>
      </c>
      <c r="W218" t="str">
        <f t="shared" si="11"/>
        <v>Normal</v>
      </c>
    </row>
    <row r="219" spans="1:23" x14ac:dyDescent="0.3">
      <c r="A219">
        <v>10472</v>
      </c>
      <c r="B219" s="2">
        <v>45829</v>
      </c>
      <c r="C219" t="s">
        <v>20</v>
      </c>
      <c r="D219" t="s">
        <v>64</v>
      </c>
      <c r="E219" t="s">
        <v>107</v>
      </c>
      <c r="F219" t="s">
        <v>23</v>
      </c>
      <c r="G219" t="s">
        <v>50</v>
      </c>
      <c r="H219" t="s">
        <v>90</v>
      </c>
      <c r="I219" t="s">
        <v>118</v>
      </c>
      <c r="J219">
        <v>1518</v>
      </c>
      <c r="K219">
        <v>15</v>
      </c>
      <c r="L219" t="s">
        <v>57</v>
      </c>
      <c r="M219">
        <v>28</v>
      </c>
      <c r="N219">
        <v>46.8</v>
      </c>
      <c r="O219">
        <v>79.7</v>
      </c>
      <c r="P219">
        <v>4.22</v>
      </c>
      <c r="Q219">
        <v>5.22</v>
      </c>
      <c r="R219" t="s">
        <v>119</v>
      </c>
      <c r="S219" t="s">
        <v>47</v>
      </c>
      <c r="T219" t="s">
        <v>30</v>
      </c>
      <c r="U219" t="str">
        <f t="shared" si="9"/>
        <v>Normal</v>
      </c>
      <c r="V219" t="str">
        <f t="shared" si="10"/>
        <v>Normal</v>
      </c>
      <c r="W219" t="str">
        <f t="shared" si="11"/>
        <v>Normal</v>
      </c>
    </row>
    <row r="220" spans="1:23" x14ac:dyDescent="0.3">
      <c r="A220">
        <v>10961</v>
      </c>
      <c r="B220" s="2">
        <v>45751</v>
      </c>
      <c r="C220" t="s">
        <v>31</v>
      </c>
      <c r="D220" t="s">
        <v>59</v>
      </c>
      <c r="E220" t="s">
        <v>40</v>
      </c>
      <c r="F220" t="s">
        <v>23</v>
      </c>
      <c r="G220" t="s">
        <v>95</v>
      </c>
      <c r="H220" t="s">
        <v>205</v>
      </c>
      <c r="I220" t="s">
        <v>194</v>
      </c>
      <c r="J220">
        <v>1241</v>
      </c>
      <c r="K220">
        <v>9</v>
      </c>
      <c r="L220" t="s">
        <v>37</v>
      </c>
      <c r="M220">
        <v>138</v>
      </c>
      <c r="N220">
        <v>46.8</v>
      </c>
      <c r="O220">
        <v>79.7</v>
      </c>
      <c r="P220">
        <v>4.2699999999999996</v>
      </c>
      <c r="Q220">
        <v>1.46</v>
      </c>
      <c r="R220" t="s">
        <v>164</v>
      </c>
      <c r="S220" t="s">
        <v>39</v>
      </c>
      <c r="T220" t="s">
        <v>30</v>
      </c>
      <c r="U220" t="str">
        <f t="shared" si="9"/>
        <v>Normal</v>
      </c>
      <c r="V220" t="str">
        <f t="shared" si="10"/>
        <v>Normal</v>
      </c>
      <c r="W220" t="str">
        <f t="shared" si="11"/>
        <v>Normal</v>
      </c>
    </row>
    <row r="221" spans="1:23" x14ac:dyDescent="0.3">
      <c r="A221">
        <v>10142</v>
      </c>
      <c r="B221" s="2">
        <v>45720</v>
      </c>
      <c r="C221" t="s">
        <v>49</v>
      </c>
      <c r="D221" t="s">
        <v>32</v>
      </c>
      <c r="E221" t="s">
        <v>40</v>
      </c>
      <c r="F221" t="s">
        <v>23</v>
      </c>
      <c r="G221" t="s">
        <v>50</v>
      </c>
      <c r="H221" t="s">
        <v>144</v>
      </c>
      <c r="I221" t="s">
        <v>145</v>
      </c>
      <c r="J221">
        <v>960</v>
      </c>
      <c r="K221">
        <v>35</v>
      </c>
      <c r="L221" t="s">
        <v>71</v>
      </c>
      <c r="M221">
        <v>26</v>
      </c>
      <c r="N221">
        <v>49.9</v>
      </c>
      <c r="O221">
        <v>79.599999999999994</v>
      </c>
      <c r="P221">
        <v>4.58</v>
      </c>
      <c r="Q221">
        <v>3.25</v>
      </c>
      <c r="R221" t="s">
        <v>105</v>
      </c>
      <c r="S221" t="s">
        <v>47</v>
      </c>
      <c r="T221" t="s">
        <v>48</v>
      </c>
      <c r="U221" t="str">
        <f t="shared" si="9"/>
        <v>Normal</v>
      </c>
      <c r="V221" t="str">
        <f t="shared" si="10"/>
        <v>Normal</v>
      </c>
      <c r="W221" t="str">
        <f t="shared" si="11"/>
        <v>Normal</v>
      </c>
    </row>
    <row r="222" spans="1:23" x14ac:dyDescent="0.3">
      <c r="A222">
        <v>10589</v>
      </c>
      <c r="B222" s="2">
        <v>45900</v>
      </c>
      <c r="C222" t="s">
        <v>49</v>
      </c>
      <c r="D222" t="s">
        <v>64</v>
      </c>
      <c r="E222" t="s">
        <v>22</v>
      </c>
      <c r="F222" t="s">
        <v>23</v>
      </c>
      <c r="G222" t="s">
        <v>54</v>
      </c>
      <c r="H222" t="s">
        <v>126</v>
      </c>
      <c r="I222" t="s">
        <v>281</v>
      </c>
      <c r="J222">
        <v>705</v>
      </c>
      <c r="K222">
        <v>19</v>
      </c>
      <c r="L222" t="s">
        <v>68</v>
      </c>
      <c r="M222">
        <v>121</v>
      </c>
      <c r="N222">
        <v>35</v>
      </c>
      <c r="O222">
        <v>79.599999999999994</v>
      </c>
      <c r="P222">
        <v>5.32</v>
      </c>
      <c r="Q222">
        <v>1.67</v>
      </c>
      <c r="R222" t="s">
        <v>87</v>
      </c>
      <c r="S222" t="s">
        <v>73</v>
      </c>
      <c r="T222" t="s">
        <v>30</v>
      </c>
      <c r="U222" t="str">
        <f t="shared" si="9"/>
        <v>Normal</v>
      </c>
      <c r="V222" t="str">
        <f t="shared" si="10"/>
        <v>Normal</v>
      </c>
      <c r="W222" t="str">
        <f t="shared" si="11"/>
        <v>Normal</v>
      </c>
    </row>
    <row r="223" spans="1:23" x14ac:dyDescent="0.3">
      <c r="A223">
        <v>10347</v>
      </c>
      <c r="B223" s="2">
        <v>45848</v>
      </c>
      <c r="C223" t="s">
        <v>31</v>
      </c>
      <c r="D223" t="s">
        <v>64</v>
      </c>
      <c r="E223" t="s">
        <v>40</v>
      </c>
      <c r="F223" t="s">
        <v>23</v>
      </c>
      <c r="G223" t="s">
        <v>54</v>
      </c>
      <c r="H223" t="s">
        <v>351</v>
      </c>
      <c r="I223" t="s">
        <v>308</v>
      </c>
      <c r="J223">
        <v>888</v>
      </c>
      <c r="K223">
        <v>57</v>
      </c>
      <c r="L223" t="s">
        <v>71</v>
      </c>
      <c r="M223">
        <v>29</v>
      </c>
      <c r="N223">
        <v>48.1</v>
      </c>
      <c r="O223">
        <v>79.599999999999994</v>
      </c>
      <c r="P223">
        <v>5.3</v>
      </c>
      <c r="Q223">
        <v>2.64</v>
      </c>
      <c r="R223" t="s">
        <v>133</v>
      </c>
      <c r="S223" t="s">
        <v>47</v>
      </c>
      <c r="T223" t="s">
        <v>48</v>
      </c>
      <c r="U223" t="str">
        <f t="shared" si="9"/>
        <v>Normal</v>
      </c>
      <c r="V223" t="str">
        <f t="shared" si="10"/>
        <v>Normal</v>
      </c>
      <c r="W223" t="str">
        <f t="shared" si="11"/>
        <v>Normal</v>
      </c>
    </row>
    <row r="224" spans="1:23" x14ac:dyDescent="0.3">
      <c r="A224">
        <v>10742</v>
      </c>
      <c r="B224" s="2">
        <v>45699</v>
      </c>
      <c r="C224" t="s">
        <v>49</v>
      </c>
      <c r="D224" t="s">
        <v>32</v>
      </c>
      <c r="E224" t="s">
        <v>107</v>
      </c>
      <c r="F224" t="s">
        <v>23</v>
      </c>
      <c r="G224" t="s">
        <v>42</v>
      </c>
      <c r="H224" t="s">
        <v>43</v>
      </c>
      <c r="I224" t="s">
        <v>249</v>
      </c>
      <c r="J224">
        <v>1203</v>
      </c>
      <c r="K224">
        <v>16</v>
      </c>
      <c r="L224" t="s">
        <v>71</v>
      </c>
      <c r="M224">
        <v>34</v>
      </c>
      <c r="N224">
        <v>49.4</v>
      </c>
      <c r="O224">
        <v>79.599999999999994</v>
      </c>
      <c r="P224">
        <v>4.26</v>
      </c>
      <c r="Q224">
        <v>4.18</v>
      </c>
      <c r="R224" t="s">
        <v>128</v>
      </c>
      <c r="S224" t="s">
        <v>47</v>
      </c>
      <c r="T224" t="s">
        <v>30</v>
      </c>
      <c r="U224" t="str">
        <f t="shared" si="9"/>
        <v>Normal</v>
      </c>
      <c r="V224" t="str">
        <f t="shared" si="10"/>
        <v>Normal</v>
      </c>
      <c r="W224" t="str">
        <f t="shared" si="11"/>
        <v>Normal</v>
      </c>
    </row>
    <row r="225" spans="1:23" x14ac:dyDescent="0.3">
      <c r="A225">
        <v>11381</v>
      </c>
      <c r="B225" s="2">
        <v>45705</v>
      </c>
      <c r="C225" t="s">
        <v>20</v>
      </c>
      <c r="D225" t="s">
        <v>32</v>
      </c>
      <c r="E225" t="s">
        <v>22</v>
      </c>
      <c r="F225" t="s">
        <v>23</v>
      </c>
      <c r="G225" t="s">
        <v>113</v>
      </c>
      <c r="H225" t="s">
        <v>205</v>
      </c>
      <c r="I225" t="s">
        <v>375</v>
      </c>
      <c r="J225">
        <v>1345</v>
      </c>
      <c r="K225">
        <v>8</v>
      </c>
      <c r="L225" t="s">
        <v>45</v>
      </c>
      <c r="M225">
        <v>41</v>
      </c>
      <c r="N225">
        <v>41.2</v>
      </c>
      <c r="O225">
        <v>79.599999999999994</v>
      </c>
      <c r="P225">
        <v>6</v>
      </c>
      <c r="Q225">
        <v>0.4</v>
      </c>
      <c r="R225" t="s">
        <v>125</v>
      </c>
      <c r="S225" t="s">
        <v>29</v>
      </c>
      <c r="T225" t="s">
        <v>30</v>
      </c>
      <c r="U225" t="str">
        <f t="shared" si="9"/>
        <v>Normal</v>
      </c>
      <c r="V225" t="str">
        <f t="shared" si="10"/>
        <v>Normal</v>
      </c>
      <c r="W225" t="str">
        <f t="shared" si="11"/>
        <v>Normal</v>
      </c>
    </row>
    <row r="226" spans="1:23" x14ac:dyDescent="0.3">
      <c r="A226">
        <v>11378</v>
      </c>
      <c r="B226" s="2">
        <v>45937</v>
      </c>
      <c r="C226" t="s">
        <v>20</v>
      </c>
      <c r="D226" t="s">
        <v>59</v>
      </c>
      <c r="E226" t="s">
        <v>40</v>
      </c>
      <c r="F226" t="s">
        <v>81</v>
      </c>
      <c r="G226" t="s">
        <v>109</v>
      </c>
      <c r="H226" t="s">
        <v>141</v>
      </c>
      <c r="I226" t="s">
        <v>353</v>
      </c>
      <c r="J226">
        <v>452</v>
      </c>
      <c r="K226">
        <v>2</v>
      </c>
      <c r="L226" t="s">
        <v>27</v>
      </c>
      <c r="M226">
        <v>75</v>
      </c>
      <c r="N226">
        <v>32.6</v>
      </c>
      <c r="O226">
        <v>79.599999999999994</v>
      </c>
      <c r="P226">
        <v>4.7300000000000004</v>
      </c>
      <c r="Q226">
        <v>2.79</v>
      </c>
      <c r="R226" t="s">
        <v>92</v>
      </c>
      <c r="S226" t="s">
        <v>424</v>
      </c>
      <c r="T226" t="s">
        <v>30</v>
      </c>
      <c r="U226" t="str">
        <f t="shared" si="9"/>
        <v>Normal</v>
      </c>
      <c r="V226" t="str">
        <f t="shared" si="10"/>
        <v>Normal</v>
      </c>
      <c r="W226" t="str">
        <f t="shared" si="11"/>
        <v>Normal</v>
      </c>
    </row>
    <row r="227" spans="1:23" x14ac:dyDescent="0.3">
      <c r="A227">
        <v>10002</v>
      </c>
      <c r="B227" s="2">
        <v>45977</v>
      </c>
      <c r="C227" t="s">
        <v>20</v>
      </c>
      <c r="D227" t="s">
        <v>32</v>
      </c>
      <c r="E227" t="s">
        <v>22</v>
      </c>
      <c r="F227" t="s">
        <v>41</v>
      </c>
      <c r="G227" t="s">
        <v>109</v>
      </c>
      <c r="H227" t="s">
        <v>126</v>
      </c>
      <c r="I227" t="s">
        <v>264</v>
      </c>
      <c r="J227">
        <v>1149</v>
      </c>
      <c r="K227">
        <v>8</v>
      </c>
      <c r="L227" t="s">
        <v>68</v>
      </c>
      <c r="M227">
        <v>22</v>
      </c>
      <c r="N227">
        <v>37.799999999999997</v>
      </c>
      <c r="O227">
        <v>79.599999999999994</v>
      </c>
      <c r="P227">
        <v>5.43</v>
      </c>
      <c r="Q227">
        <v>2.1</v>
      </c>
      <c r="R227" t="s">
        <v>229</v>
      </c>
      <c r="S227" t="s">
        <v>47</v>
      </c>
      <c r="T227" t="s">
        <v>30</v>
      </c>
      <c r="U227" t="str">
        <f t="shared" si="9"/>
        <v>Normal</v>
      </c>
      <c r="V227" t="str">
        <f t="shared" si="10"/>
        <v>Normal</v>
      </c>
      <c r="W227" t="str">
        <f t="shared" si="11"/>
        <v>Normal</v>
      </c>
    </row>
    <row r="228" spans="1:23" x14ac:dyDescent="0.3">
      <c r="A228">
        <v>10902</v>
      </c>
      <c r="B228" s="2">
        <v>46005</v>
      </c>
      <c r="C228" t="s">
        <v>20</v>
      </c>
      <c r="D228" t="s">
        <v>21</v>
      </c>
      <c r="E228" t="s">
        <v>22</v>
      </c>
      <c r="F228" t="s">
        <v>81</v>
      </c>
      <c r="G228" t="s">
        <v>60</v>
      </c>
      <c r="H228" t="s">
        <v>43</v>
      </c>
      <c r="I228" t="s">
        <v>296</v>
      </c>
      <c r="J228">
        <v>1474</v>
      </c>
      <c r="K228">
        <v>18</v>
      </c>
      <c r="L228" t="s">
        <v>68</v>
      </c>
      <c r="M228">
        <v>65</v>
      </c>
      <c r="N228">
        <v>56.3</v>
      </c>
      <c r="O228">
        <v>79.5</v>
      </c>
      <c r="P228">
        <v>5.15</v>
      </c>
      <c r="Q228">
        <v>2.91</v>
      </c>
      <c r="R228" t="s">
        <v>28</v>
      </c>
      <c r="S228" t="s">
        <v>29</v>
      </c>
      <c r="T228" t="s">
        <v>30</v>
      </c>
      <c r="U228" t="str">
        <f t="shared" si="9"/>
        <v>Normal</v>
      </c>
      <c r="V228" t="str">
        <f t="shared" si="10"/>
        <v>Normal</v>
      </c>
      <c r="W228" t="str">
        <f t="shared" si="11"/>
        <v>Normal</v>
      </c>
    </row>
    <row r="229" spans="1:23" x14ac:dyDescent="0.3">
      <c r="A229">
        <v>10095</v>
      </c>
      <c r="B229" s="2">
        <v>45938</v>
      </c>
      <c r="C229" t="s">
        <v>20</v>
      </c>
      <c r="D229" t="s">
        <v>59</v>
      </c>
      <c r="E229" t="s">
        <v>22</v>
      </c>
      <c r="F229" t="s">
        <v>81</v>
      </c>
      <c r="G229" t="s">
        <v>89</v>
      </c>
      <c r="H229" t="s">
        <v>215</v>
      </c>
      <c r="I229" t="s">
        <v>191</v>
      </c>
      <c r="J229">
        <v>1308</v>
      </c>
      <c r="K229">
        <v>14</v>
      </c>
      <c r="L229" t="s">
        <v>45</v>
      </c>
      <c r="M229">
        <v>58</v>
      </c>
      <c r="N229">
        <v>38.4</v>
      </c>
      <c r="O229">
        <v>79.5</v>
      </c>
      <c r="P229">
        <v>4.5599999999999996</v>
      </c>
      <c r="Q229">
        <v>3.19</v>
      </c>
      <c r="R229" t="s">
        <v>105</v>
      </c>
      <c r="S229" t="s">
        <v>29</v>
      </c>
      <c r="T229" t="s">
        <v>30</v>
      </c>
      <c r="U229" t="str">
        <f t="shared" si="9"/>
        <v>Normal</v>
      </c>
      <c r="V229" t="str">
        <f t="shared" si="10"/>
        <v>Normal</v>
      </c>
      <c r="W229" t="str">
        <f t="shared" si="11"/>
        <v>Normal</v>
      </c>
    </row>
    <row r="230" spans="1:23" x14ac:dyDescent="0.3">
      <c r="A230">
        <v>11191</v>
      </c>
      <c r="B230" s="2">
        <v>45698</v>
      </c>
      <c r="C230" t="s">
        <v>31</v>
      </c>
      <c r="D230" t="s">
        <v>59</v>
      </c>
      <c r="E230" t="s">
        <v>22</v>
      </c>
      <c r="F230" t="s">
        <v>81</v>
      </c>
      <c r="G230" t="s">
        <v>50</v>
      </c>
      <c r="H230" t="s">
        <v>82</v>
      </c>
      <c r="I230" t="s">
        <v>343</v>
      </c>
      <c r="J230">
        <v>973</v>
      </c>
      <c r="K230">
        <v>2</v>
      </c>
      <c r="L230" t="s">
        <v>27</v>
      </c>
      <c r="M230">
        <v>77</v>
      </c>
      <c r="N230">
        <v>47.7</v>
      </c>
      <c r="O230">
        <v>79.5</v>
      </c>
      <c r="P230">
        <v>6.03</v>
      </c>
      <c r="Q230">
        <v>3.1</v>
      </c>
      <c r="R230" t="s">
        <v>147</v>
      </c>
      <c r="S230" t="s">
        <v>73</v>
      </c>
      <c r="T230" t="s">
        <v>30</v>
      </c>
      <c r="U230" t="str">
        <f t="shared" si="9"/>
        <v>Normal</v>
      </c>
      <c r="V230" t="str">
        <f t="shared" si="10"/>
        <v>Normal</v>
      </c>
      <c r="W230" t="str">
        <f t="shared" si="11"/>
        <v>Normal</v>
      </c>
    </row>
    <row r="231" spans="1:23" x14ac:dyDescent="0.3">
      <c r="A231">
        <v>10115</v>
      </c>
      <c r="B231" s="2">
        <v>45809</v>
      </c>
      <c r="C231" t="s">
        <v>20</v>
      </c>
      <c r="D231" t="s">
        <v>64</v>
      </c>
      <c r="E231" t="s">
        <v>33</v>
      </c>
      <c r="F231" t="s">
        <v>23</v>
      </c>
      <c r="G231" t="s">
        <v>113</v>
      </c>
      <c r="H231" t="s">
        <v>161</v>
      </c>
      <c r="I231" t="s">
        <v>264</v>
      </c>
      <c r="J231">
        <v>1078</v>
      </c>
      <c r="K231">
        <v>5</v>
      </c>
      <c r="L231" t="s">
        <v>45</v>
      </c>
      <c r="M231">
        <v>90</v>
      </c>
      <c r="N231">
        <v>57.2</v>
      </c>
      <c r="O231">
        <v>79.5</v>
      </c>
      <c r="P231">
        <v>5.64</v>
      </c>
      <c r="Q231">
        <v>2.3199999999999998</v>
      </c>
      <c r="R231" t="s">
        <v>179</v>
      </c>
      <c r="S231" t="s">
        <v>73</v>
      </c>
      <c r="T231" t="s">
        <v>30</v>
      </c>
      <c r="U231" t="str">
        <f t="shared" si="9"/>
        <v>Normal</v>
      </c>
      <c r="V231" t="str">
        <f t="shared" si="10"/>
        <v>Normal</v>
      </c>
      <c r="W231" t="str">
        <f t="shared" si="11"/>
        <v>Normal</v>
      </c>
    </row>
    <row r="232" spans="1:23" x14ac:dyDescent="0.3">
      <c r="A232">
        <v>11248</v>
      </c>
      <c r="B232" s="2">
        <v>45662</v>
      </c>
      <c r="C232" t="s">
        <v>20</v>
      </c>
      <c r="D232" t="s">
        <v>21</v>
      </c>
      <c r="E232" t="s">
        <v>40</v>
      </c>
      <c r="F232" t="s">
        <v>41</v>
      </c>
      <c r="G232" t="s">
        <v>34</v>
      </c>
      <c r="H232" t="s">
        <v>175</v>
      </c>
      <c r="I232" t="s">
        <v>117</v>
      </c>
      <c r="J232">
        <v>989</v>
      </c>
      <c r="K232">
        <v>6</v>
      </c>
      <c r="L232" t="s">
        <v>68</v>
      </c>
      <c r="M232">
        <v>173</v>
      </c>
      <c r="N232">
        <v>48.2</v>
      </c>
      <c r="O232">
        <v>79.5</v>
      </c>
      <c r="P232">
        <v>4.05</v>
      </c>
      <c r="Q232">
        <v>4.2</v>
      </c>
      <c r="R232" t="s">
        <v>140</v>
      </c>
      <c r="S232" t="s">
        <v>73</v>
      </c>
      <c r="T232" t="s">
        <v>30</v>
      </c>
      <c r="U232" t="str">
        <f t="shared" si="9"/>
        <v>Normal</v>
      </c>
      <c r="V232" t="str">
        <f t="shared" si="10"/>
        <v>Normal</v>
      </c>
      <c r="W232" t="str">
        <f t="shared" si="11"/>
        <v>Normal</v>
      </c>
    </row>
    <row r="233" spans="1:23" x14ac:dyDescent="0.3">
      <c r="A233">
        <v>10933</v>
      </c>
      <c r="B233" s="2">
        <v>45890</v>
      </c>
      <c r="C233" t="s">
        <v>49</v>
      </c>
      <c r="D233" t="s">
        <v>32</v>
      </c>
      <c r="E233" t="s">
        <v>107</v>
      </c>
      <c r="F233" t="s">
        <v>23</v>
      </c>
      <c r="G233" t="s">
        <v>109</v>
      </c>
      <c r="H233" t="s">
        <v>90</v>
      </c>
      <c r="I233" t="s">
        <v>304</v>
      </c>
      <c r="J233">
        <v>1442</v>
      </c>
      <c r="K233">
        <v>11</v>
      </c>
      <c r="L233" t="s">
        <v>27</v>
      </c>
      <c r="M233">
        <v>71</v>
      </c>
      <c r="N233">
        <v>41.7</v>
      </c>
      <c r="O233">
        <v>79.400000000000006</v>
      </c>
      <c r="P233">
        <v>4.96</v>
      </c>
      <c r="Q233">
        <v>5.82</v>
      </c>
      <c r="R233" t="s">
        <v>245</v>
      </c>
      <c r="S233" t="s">
        <v>29</v>
      </c>
      <c r="T233" t="s">
        <v>30</v>
      </c>
      <c r="U233" t="str">
        <f t="shared" si="9"/>
        <v>Normal</v>
      </c>
      <c r="V233" t="str">
        <f t="shared" si="10"/>
        <v>Normal</v>
      </c>
      <c r="W233" t="str">
        <f t="shared" si="11"/>
        <v>Normal</v>
      </c>
    </row>
    <row r="234" spans="1:23" x14ac:dyDescent="0.3">
      <c r="A234">
        <v>10147</v>
      </c>
      <c r="B234" s="2">
        <v>45947</v>
      </c>
      <c r="C234" t="s">
        <v>49</v>
      </c>
      <c r="D234" t="s">
        <v>21</v>
      </c>
      <c r="E234" t="s">
        <v>33</v>
      </c>
      <c r="F234" t="s">
        <v>41</v>
      </c>
      <c r="G234" t="s">
        <v>24</v>
      </c>
      <c r="H234" t="s">
        <v>265</v>
      </c>
      <c r="I234" t="s">
        <v>117</v>
      </c>
      <c r="J234">
        <v>709</v>
      </c>
      <c r="K234">
        <v>3</v>
      </c>
      <c r="L234" t="s">
        <v>57</v>
      </c>
      <c r="M234">
        <v>83</v>
      </c>
      <c r="N234">
        <v>46.9</v>
      </c>
      <c r="O234">
        <v>79.400000000000006</v>
      </c>
      <c r="P234">
        <v>5.91</v>
      </c>
      <c r="Q234">
        <v>3.03</v>
      </c>
      <c r="R234" t="s">
        <v>119</v>
      </c>
      <c r="S234" t="s">
        <v>29</v>
      </c>
      <c r="T234" t="s">
        <v>30</v>
      </c>
      <c r="U234" t="str">
        <f t="shared" si="9"/>
        <v>Normal</v>
      </c>
      <c r="V234" t="str">
        <f t="shared" si="10"/>
        <v>Normal</v>
      </c>
      <c r="W234" t="str">
        <f t="shared" si="11"/>
        <v>Normal</v>
      </c>
    </row>
    <row r="235" spans="1:23" x14ac:dyDescent="0.3">
      <c r="A235">
        <v>11366</v>
      </c>
      <c r="B235" s="2">
        <v>46012</v>
      </c>
      <c r="C235" t="s">
        <v>49</v>
      </c>
      <c r="D235" t="s">
        <v>64</v>
      </c>
      <c r="E235" t="s">
        <v>107</v>
      </c>
      <c r="F235" t="s">
        <v>23</v>
      </c>
      <c r="G235" t="s">
        <v>134</v>
      </c>
      <c r="H235" t="s">
        <v>131</v>
      </c>
      <c r="I235" t="s">
        <v>365</v>
      </c>
      <c r="J235">
        <v>879</v>
      </c>
      <c r="K235">
        <v>20</v>
      </c>
      <c r="L235" t="s">
        <v>68</v>
      </c>
      <c r="M235">
        <v>159</v>
      </c>
      <c r="N235">
        <v>37.299999999999997</v>
      </c>
      <c r="O235">
        <v>79.400000000000006</v>
      </c>
      <c r="P235">
        <v>4.93</v>
      </c>
      <c r="Q235">
        <v>4.45</v>
      </c>
      <c r="R235" t="s">
        <v>63</v>
      </c>
      <c r="S235" t="s">
        <v>73</v>
      </c>
      <c r="T235" t="s">
        <v>30</v>
      </c>
      <c r="U235" t="str">
        <f t="shared" si="9"/>
        <v>Normal</v>
      </c>
      <c r="V235" t="str">
        <f t="shared" si="10"/>
        <v>Normal</v>
      </c>
      <c r="W235" t="str">
        <f t="shared" si="11"/>
        <v>Normal</v>
      </c>
    </row>
    <row r="236" spans="1:23" x14ac:dyDescent="0.3">
      <c r="A236">
        <v>10411</v>
      </c>
      <c r="B236" s="2">
        <v>45938</v>
      </c>
      <c r="C236" t="s">
        <v>20</v>
      </c>
      <c r="D236" t="s">
        <v>21</v>
      </c>
      <c r="E236" t="s">
        <v>33</v>
      </c>
      <c r="F236" t="s">
        <v>81</v>
      </c>
      <c r="G236" t="s">
        <v>89</v>
      </c>
      <c r="H236" t="s">
        <v>114</v>
      </c>
      <c r="I236" t="s">
        <v>290</v>
      </c>
      <c r="J236">
        <v>882</v>
      </c>
      <c r="K236">
        <v>13</v>
      </c>
      <c r="L236" t="s">
        <v>45</v>
      </c>
      <c r="M236">
        <v>161</v>
      </c>
      <c r="N236">
        <v>32</v>
      </c>
      <c r="O236">
        <v>79.2</v>
      </c>
      <c r="P236">
        <v>6.39</v>
      </c>
      <c r="Q236">
        <v>1.58</v>
      </c>
      <c r="R236" t="s">
        <v>164</v>
      </c>
      <c r="S236" t="s">
        <v>29</v>
      </c>
      <c r="T236" t="s">
        <v>30</v>
      </c>
      <c r="U236" t="str">
        <f t="shared" si="9"/>
        <v>Normal</v>
      </c>
      <c r="V236" t="str">
        <f t="shared" si="10"/>
        <v>Normal</v>
      </c>
      <c r="W236" t="str">
        <f t="shared" si="11"/>
        <v>Normal</v>
      </c>
    </row>
    <row r="237" spans="1:23" x14ac:dyDescent="0.3">
      <c r="A237">
        <v>10915</v>
      </c>
      <c r="B237" s="2">
        <v>45971</v>
      </c>
      <c r="C237" t="s">
        <v>31</v>
      </c>
      <c r="D237" t="s">
        <v>64</v>
      </c>
      <c r="E237" t="s">
        <v>107</v>
      </c>
      <c r="F237" t="s">
        <v>81</v>
      </c>
      <c r="G237" t="s">
        <v>89</v>
      </c>
      <c r="H237" t="s">
        <v>190</v>
      </c>
      <c r="I237" t="s">
        <v>331</v>
      </c>
      <c r="J237">
        <v>1335</v>
      </c>
      <c r="K237">
        <v>20</v>
      </c>
      <c r="L237" t="s">
        <v>37</v>
      </c>
      <c r="M237">
        <v>37</v>
      </c>
      <c r="N237">
        <v>42</v>
      </c>
      <c r="O237">
        <v>79.2</v>
      </c>
      <c r="P237">
        <v>4.42</v>
      </c>
      <c r="Q237">
        <v>4.7699999999999996</v>
      </c>
      <c r="R237" t="s">
        <v>183</v>
      </c>
      <c r="S237" t="s">
        <v>73</v>
      </c>
      <c r="T237" t="s">
        <v>30</v>
      </c>
      <c r="U237" t="str">
        <f t="shared" si="9"/>
        <v>Normal</v>
      </c>
      <c r="V237" t="str">
        <f t="shared" si="10"/>
        <v>Normal</v>
      </c>
      <c r="W237" t="str">
        <f t="shared" si="11"/>
        <v>Normal</v>
      </c>
    </row>
    <row r="238" spans="1:23" x14ac:dyDescent="0.3">
      <c r="A238">
        <v>10264</v>
      </c>
      <c r="B238" s="2">
        <v>45756</v>
      </c>
      <c r="C238" t="s">
        <v>49</v>
      </c>
      <c r="D238" t="s">
        <v>32</v>
      </c>
      <c r="E238" t="s">
        <v>107</v>
      </c>
      <c r="F238" t="s">
        <v>41</v>
      </c>
      <c r="G238" t="s">
        <v>89</v>
      </c>
      <c r="H238" t="s">
        <v>180</v>
      </c>
      <c r="I238" t="s">
        <v>285</v>
      </c>
      <c r="J238">
        <v>832</v>
      </c>
      <c r="K238">
        <v>29</v>
      </c>
      <c r="L238" t="s">
        <v>57</v>
      </c>
      <c r="M238">
        <v>155</v>
      </c>
      <c r="N238">
        <v>31.1</v>
      </c>
      <c r="O238">
        <v>79.2</v>
      </c>
      <c r="P238">
        <v>4.79</v>
      </c>
      <c r="Q238">
        <v>2.57</v>
      </c>
      <c r="R238" t="s">
        <v>140</v>
      </c>
      <c r="S238" t="s">
        <v>39</v>
      </c>
      <c r="T238" t="s">
        <v>48</v>
      </c>
      <c r="U238" t="str">
        <f t="shared" si="9"/>
        <v>Normal</v>
      </c>
      <c r="V238" t="str">
        <f t="shared" si="10"/>
        <v>Normal</v>
      </c>
      <c r="W238" t="str">
        <f t="shared" si="11"/>
        <v>Normal</v>
      </c>
    </row>
    <row r="239" spans="1:23" x14ac:dyDescent="0.3">
      <c r="A239">
        <v>10438</v>
      </c>
      <c r="B239" s="2">
        <v>45728</v>
      </c>
      <c r="C239" t="s">
        <v>49</v>
      </c>
      <c r="D239" t="s">
        <v>32</v>
      </c>
      <c r="E239" t="s">
        <v>22</v>
      </c>
      <c r="F239" t="s">
        <v>41</v>
      </c>
      <c r="G239" t="s">
        <v>42</v>
      </c>
      <c r="H239" t="s">
        <v>213</v>
      </c>
      <c r="I239" t="s">
        <v>368</v>
      </c>
      <c r="J239">
        <v>1282</v>
      </c>
      <c r="K239">
        <v>49</v>
      </c>
      <c r="L239" t="s">
        <v>27</v>
      </c>
      <c r="M239">
        <v>29</v>
      </c>
      <c r="N239">
        <v>32.299999999999997</v>
      </c>
      <c r="O239">
        <v>79.2</v>
      </c>
      <c r="P239">
        <v>4.58</v>
      </c>
      <c r="Q239">
        <v>1.05</v>
      </c>
      <c r="R239" t="s">
        <v>243</v>
      </c>
      <c r="S239" t="s">
        <v>29</v>
      </c>
      <c r="T239" t="s">
        <v>48</v>
      </c>
      <c r="U239" t="str">
        <f t="shared" si="9"/>
        <v>Normal</v>
      </c>
      <c r="V239" t="str">
        <f t="shared" si="10"/>
        <v>Normal</v>
      </c>
      <c r="W239" t="str">
        <f t="shared" si="11"/>
        <v>Normal</v>
      </c>
    </row>
    <row r="240" spans="1:23" x14ac:dyDescent="0.3">
      <c r="A240">
        <v>10976</v>
      </c>
      <c r="B240" s="2">
        <v>46006</v>
      </c>
      <c r="C240" t="s">
        <v>20</v>
      </c>
      <c r="D240" t="s">
        <v>21</v>
      </c>
      <c r="E240" t="s">
        <v>33</v>
      </c>
      <c r="F240" t="s">
        <v>41</v>
      </c>
      <c r="G240" t="s">
        <v>89</v>
      </c>
      <c r="H240" t="s">
        <v>93</v>
      </c>
      <c r="I240" t="s">
        <v>266</v>
      </c>
      <c r="J240">
        <v>822</v>
      </c>
      <c r="K240">
        <v>7</v>
      </c>
      <c r="L240" t="s">
        <v>27</v>
      </c>
      <c r="M240">
        <v>136</v>
      </c>
      <c r="N240">
        <v>34</v>
      </c>
      <c r="O240">
        <v>79.2</v>
      </c>
      <c r="P240">
        <v>4.8</v>
      </c>
      <c r="Q240">
        <v>4.0199999999999996</v>
      </c>
      <c r="R240" t="s">
        <v>227</v>
      </c>
      <c r="S240" t="s">
        <v>73</v>
      </c>
      <c r="T240" t="s">
        <v>30</v>
      </c>
      <c r="U240" t="str">
        <f t="shared" si="9"/>
        <v>Normal</v>
      </c>
      <c r="V240" t="str">
        <f t="shared" si="10"/>
        <v>Normal</v>
      </c>
      <c r="W240" t="str">
        <f t="shared" si="11"/>
        <v>Normal</v>
      </c>
    </row>
    <row r="241" spans="1:23" x14ac:dyDescent="0.3">
      <c r="A241">
        <v>10131</v>
      </c>
      <c r="B241" s="2">
        <v>45784</v>
      </c>
      <c r="C241" t="s">
        <v>49</v>
      </c>
      <c r="D241" t="s">
        <v>64</v>
      </c>
      <c r="E241" t="s">
        <v>22</v>
      </c>
      <c r="F241" t="s">
        <v>23</v>
      </c>
      <c r="G241" t="s">
        <v>95</v>
      </c>
      <c r="H241" t="s">
        <v>265</v>
      </c>
      <c r="I241" t="s">
        <v>368</v>
      </c>
      <c r="J241">
        <v>632</v>
      </c>
      <c r="K241">
        <v>52</v>
      </c>
      <c r="L241" t="s">
        <v>27</v>
      </c>
      <c r="M241">
        <v>113</v>
      </c>
      <c r="N241">
        <v>30.9</v>
      </c>
      <c r="O241">
        <v>79.2</v>
      </c>
      <c r="P241">
        <v>4.8099999999999996</v>
      </c>
      <c r="Q241">
        <v>2.96</v>
      </c>
      <c r="R241" t="s">
        <v>87</v>
      </c>
      <c r="S241" t="s">
        <v>39</v>
      </c>
      <c r="T241" t="s">
        <v>48</v>
      </c>
      <c r="U241" t="str">
        <f t="shared" si="9"/>
        <v>Normal</v>
      </c>
      <c r="V241" t="str">
        <f t="shared" si="10"/>
        <v>Normal</v>
      </c>
      <c r="W241" t="str">
        <f t="shared" si="11"/>
        <v>Normal</v>
      </c>
    </row>
    <row r="242" spans="1:23" x14ac:dyDescent="0.3">
      <c r="A242">
        <v>10963</v>
      </c>
      <c r="B242" s="2">
        <v>45944</v>
      </c>
      <c r="C242" t="s">
        <v>31</v>
      </c>
      <c r="D242" t="s">
        <v>32</v>
      </c>
      <c r="E242" t="s">
        <v>33</v>
      </c>
      <c r="F242" t="s">
        <v>41</v>
      </c>
      <c r="G242" t="s">
        <v>113</v>
      </c>
      <c r="H242" t="s">
        <v>123</v>
      </c>
      <c r="I242" t="s">
        <v>237</v>
      </c>
      <c r="J242">
        <v>694</v>
      </c>
      <c r="K242">
        <v>29</v>
      </c>
      <c r="L242" t="s">
        <v>71</v>
      </c>
      <c r="M242">
        <v>31</v>
      </c>
      <c r="N242">
        <v>52.7</v>
      </c>
      <c r="O242">
        <v>79.099999999999994</v>
      </c>
      <c r="P242">
        <v>5.54</v>
      </c>
      <c r="Q242">
        <v>0.81</v>
      </c>
      <c r="R242" t="s">
        <v>164</v>
      </c>
      <c r="S242" t="s">
        <v>29</v>
      </c>
      <c r="T242" t="s">
        <v>48</v>
      </c>
      <c r="U242" t="str">
        <f t="shared" si="9"/>
        <v>Normal</v>
      </c>
      <c r="V242" t="str">
        <f t="shared" si="10"/>
        <v>Normal</v>
      </c>
      <c r="W242" t="str">
        <f t="shared" si="11"/>
        <v>Normal</v>
      </c>
    </row>
    <row r="243" spans="1:23" x14ac:dyDescent="0.3">
      <c r="A243">
        <v>10004</v>
      </c>
      <c r="B243" s="2">
        <v>45672</v>
      </c>
      <c r="C243" t="s">
        <v>20</v>
      </c>
      <c r="D243" t="s">
        <v>64</v>
      </c>
      <c r="E243" t="s">
        <v>22</v>
      </c>
      <c r="F243" t="s">
        <v>81</v>
      </c>
      <c r="G243" t="s">
        <v>134</v>
      </c>
      <c r="H243" t="s">
        <v>99</v>
      </c>
      <c r="I243" t="s">
        <v>94</v>
      </c>
      <c r="J243">
        <v>1526</v>
      </c>
      <c r="K243">
        <v>15</v>
      </c>
      <c r="L243" t="s">
        <v>27</v>
      </c>
      <c r="M243">
        <v>67</v>
      </c>
      <c r="N243">
        <v>46.1</v>
      </c>
      <c r="O243">
        <v>79.099999999999994</v>
      </c>
      <c r="P243">
        <v>5.92</v>
      </c>
      <c r="Q243">
        <v>3.63</v>
      </c>
      <c r="R243" t="s">
        <v>189</v>
      </c>
      <c r="S243" t="s">
        <v>29</v>
      </c>
      <c r="T243" t="s">
        <v>30</v>
      </c>
      <c r="U243" t="str">
        <f t="shared" si="9"/>
        <v>Normal</v>
      </c>
      <c r="V243" t="str">
        <f t="shared" si="10"/>
        <v>Normal</v>
      </c>
      <c r="W243" t="str">
        <f t="shared" si="11"/>
        <v>Normal</v>
      </c>
    </row>
    <row r="244" spans="1:23" x14ac:dyDescent="0.3">
      <c r="A244">
        <v>10003</v>
      </c>
      <c r="B244" s="2">
        <v>45659</v>
      </c>
      <c r="C244" t="s">
        <v>49</v>
      </c>
      <c r="D244" t="s">
        <v>59</v>
      </c>
      <c r="E244" t="s">
        <v>33</v>
      </c>
      <c r="F244" t="s">
        <v>41</v>
      </c>
      <c r="G244" t="s">
        <v>74</v>
      </c>
      <c r="H244" t="s">
        <v>148</v>
      </c>
      <c r="I244" t="s">
        <v>157</v>
      </c>
      <c r="J244">
        <v>958</v>
      </c>
      <c r="K244">
        <v>12</v>
      </c>
      <c r="L244" t="s">
        <v>68</v>
      </c>
      <c r="M244">
        <v>150</v>
      </c>
      <c r="N244">
        <v>43.5</v>
      </c>
      <c r="O244">
        <v>79.099999999999994</v>
      </c>
      <c r="P244">
        <v>4.3899999999999997</v>
      </c>
      <c r="Q244">
        <v>1.06</v>
      </c>
      <c r="R244" t="s">
        <v>184</v>
      </c>
      <c r="S244" t="s">
        <v>39</v>
      </c>
      <c r="T244" t="s">
        <v>30</v>
      </c>
      <c r="U244" t="str">
        <f t="shared" si="9"/>
        <v>Normal</v>
      </c>
      <c r="V244" t="str">
        <f t="shared" si="10"/>
        <v>Normal</v>
      </c>
      <c r="W244" t="str">
        <f t="shared" si="11"/>
        <v>Normal</v>
      </c>
    </row>
    <row r="245" spans="1:23" x14ac:dyDescent="0.3">
      <c r="A245">
        <v>11374</v>
      </c>
      <c r="B245" s="2">
        <v>45998</v>
      </c>
      <c r="C245" t="s">
        <v>49</v>
      </c>
      <c r="D245" t="s">
        <v>64</v>
      </c>
      <c r="E245" t="s">
        <v>22</v>
      </c>
      <c r="F245" t="s">
        <v>81</v>
      </c>
      <c r="G245" t="s">
        <v>95</v>
      </c>
      <c r="H245" t="s">
        <v>215</v>
      </c>
      <c r="I245" t="s">
        <v>181</v>
      </c>
      <c r="J245">
        <v>1594</v>
      </c>
      <c r="K245">
        <v>18</v>
      </c>
      <c r="L245" t="s">
        <v>27</v>
      </c>
      <c r="M245">
        <v>92</v>
      </c>
      <c r="N245">
        <v>41.1</v>
      </c>
      <c r="O245">
        <v>79.099999999999994</v>
      </c>
      <c r="P245">
        <v>5.86</v>
      </c>
      <c r="Q245">
        <v>3.45</v>
      </c>
      <c r="R245" t="s">
        <v>242</v>
      </c>
      <c r="S245" t="s">
        <v>29</v>
      </c>
      <c r="T245" t="s">
        <v>30</v>
      </c>
      <c r="U245" t="str">
        <f t="shared" si="9"/>
        <v>Normal</v>
      </c>
      <c r="V245" t="str">
        <f t="shared" si="10"/>
        <v>Normal</v>
      </c>
      <c r="W245" t="str">
        <f t="shared" si="11"/>
        <v>Normal</v>
      </c>
    </row>
    <row r="246" spans="1:23" x14ac:dyDescent="0.3">
      <c r="A246">
        <v>10076</v>
      </c>
      <c r="B246" s="2">
        <v>45677</v>
      </c>
      <c r="C246" t="s">
        <v>49</v>
      </c>
      <c r="D246" t="s">
        <v>64</v>
      </c>
      <c r="E246" t="s">
        <v>40</v>
      </c>
      <c r="F246" t="s">
        <v>41</v>
      </c>
      <c r="G246" t="s">
        <v>34</v>
      </c>
      <c r="H246" t="s">
        <v>172</v>
      </c>
      <c r="I246" t="s">
        <v>380</v>
      </c>
      <c r="J246">
        <v>608</v>
      </c>
      <c r="K246">
        <v>22</v>
      </c>
      <c r="L246" t="s">
        <v>57</v>
      </c>
      <c r="M246">
        <v>83</v>
      </c>
      <c r="N246">
        <v>40.799999999999997</v>
      </c>
      <c r="O246">
        <v>79.099999999999994</v>
      </c>
      <c r="P246">
        <v>5.72</v>
      </c>
      <c r="Q246">
        <v>1.07</v>
      </c>
      <c r="R246" t="s">
        <v>28</v>
      </c>
      <c r="S246" t="s">
        <v>39</v>
      </c>
      <c r="T246" t="s">
        <v>48</v>
      </c>
      <c r="U246" t="str">
        <f t="shared" si="9"/>
        <v>Normal</v>
      </c>
      <c r="V246" t="str">
        <f t="shared" si="10"/>
        <v>Normal</v>
      </c>
      <c r="W246" t="str">
        <f t="shared" si="11"/>
        <v>Normal</v>
      </c>
    </row>
    <row r="247" spans="1:23" x14ac:dyDescent="0.3">
      <c r="A247">
        <v>10560</v>
      </c>
      <c r="B247" s="2">
        <v>45856</v>
      </c>
      <c r="C247" t="s">
        <v>49</v>
      </c>
      <c r="D247" t="s">
        <v>32</v>
      </c>
      <c r="E247" t="s">
        <v>33</v>
      </c>
      <c r="F247" t="s">
        <v>81</v>
      </c>
      <c r="G247" t="s">
        <v>50</v>
      </c>
      <c r="H247" t="s">
        <v>114</v>
      </c>
      <c r="I247" t="s">
        <v>142</v>
      </c>
      <c r="J247">
        <v>1075</v>
      </c>
      <c r="K247">
        <v>3</v>
      </c>
      <c r="L247" t="s">
        <v>27</v>
      </c>
      <c r="M247">
        <v>28</v>
      </c>
      <c r="N247">
        <v>30.7</v>
      </c>
      <c r="O247">
        <v>79.099999999999994</v>
      </c>
      <c r="P247">
        <v>3.68</v>
      </c>
      <c r="Q247">
        <v>3.49</v>
      </c>
      <c r="R247" t="s">
        <v>243</v>
      </c>
      <c r="S247" t="s">
        <v>39</v>
      </c>
      <c r="T247" t="s">
        <v>30</v>
      </c>
      <c r="U247" t="str">
        <f t="shared" si="9"/>
        <v>Normal</v>
      </c>
      <c r="V247" t="str">
        <f t="shared" si="10"/>
        <v>Normal</v>
      </c>
      <c r="W247" t="str">
        <f t="shared" si="11"/>
        <v>Normal</v>
      </c>
    </row>
    <row r="248" spans="1:23" x14ac:dyDescent="0.3">
      <c r="A248">
        <v>10113</v>
      </c>
      <c r="B248" s="2">
        <v>45874</v>
      </c>
      <c r="C248" t="s">
        <v>20</v>
      </c>
      <c r="D248" t="s">
        <v>59</v>
      </c>
      <c r="E248" t="s">
        <v>107</v>
      </c>
      <c r="F248" t="s">
        <v>23</v>
      </c>
      <c r="G248" t="s">
        <v>34</v>
      </c>
      <c r="H248" t="s">
        <v>69</v>
      </c>
      <c r="I248" t="s">
        <v>225</v>
      </c>
      <c r="J248">
        <v>612</v>
      </c>
      <c r="K248">
        <v>3</v>
      </c>
      <c r="L248" t="s">
        <v>37</v>
      </c>
      <c r="M248">
        <v>86</v>
      </c>
      <c r="N248">
        <v>25</v>
      </c>
      <c r="O248">
        <v>79.099999999999994</v>
      </c>
      <c r="P248">
        <v>5.79</v>
      </c>
      <c r="Q248">
        <v>2.4900000000000002</v>
      </c>
      <c r="R248" t="s">
        <v>184</v>
      </c>
      <c r="S248" t="s">
        <v>47</v>
      </c>
      <c r="T248" t="s">
        <v>30</v>
      </c>
      <c r="U248" t="str">
        <f t="shared" si="9"/>
        <v>Normal</v>
      </c>
      <c r="V248" t="str">
        <f t="shared" si="10"/>
        <v>Normal</v>
      </c>
      <c r="W248" t="str">
        <f t="shared" si="11"/>
        <v>Normal</v>
      </c>
    </row>
    <row r="249" spans="1:23" x14ac:dyDescent="0.3">
      <c r="A249">
        <v>10871</v>
      </c>
      <c r="B249" s="2">
        <v>45770</v>
      </c>
      <c r="C249" t="s">
        <v>49</v>
      </c>
      <c r="D249" t="s">
        <v>21</v>
      </c>
      <c r="E249" t="s">
        <v>107</v>
      </c>
      <c r="F249" t="s">
        <v>23</v>
      </c>
      <c r="G249" t="s">
        <v>34</v>
      </c>
      <c r="H249" t="s">
        <v>138</v>
      </c>
      <c r="I249" t="s">
        <v>379</v>
      </c>
      <c r="J249">
        <v>567</v>
      </c>
      <c r="K249">
        <v>20</v>
      </c>
      <c r="L249" t="s">
        <v>71</v>
      </c>
      <c r="M249">
        <v>13</v>
      </c>
      <c r="N249">
        <v>46.1</v>
      </c>
      <c r="O249">
        <v>79.099999999999994</v>
      </c>
      <c r="P249">
        <v>4.68</v>
      </c>
      <c r="Q249">
        <v>3.57</v>
      </c>
      <c r="R249" t="s">
        <v>183</v>
      </c>
      <c r="S249" t="s">
        <v>39</v>
      </c>
      <c r="T249" t="s">
        <v>48</v>
      </c>
      <c r="U249" t="str">
        <f t="shared" si="9"/>
        <v>Normal</v>
      </c>
      <c r="V249" t="str">
        <f t="shared" si="10"/>
        <v>Normal</v>
      </c>
      <c r="W249" t="str">
        <f t="shared" si="11"/>
        <v>Normal</v>
      </c>
    </row>
    <row r="250" spans="1:23" x14ac:dyDescent="0.3">
      <c r="A250">
        <v>11155</v>
      </c>
      <c r="B250" s="2">
        <v>45890</v>
      </c>
      <c r="C250" t="s">
        <v>31</v>
      </c>
      <c r="D250" t="s">
        <v>59</v>
      </c>
      <c r="E250" t="s">
        <v>40</v>
      </c>
      <c r="F250" t="s">
        <v>23</v>
      </c>
      <c r="G250" t="s">
        <v>34</v>
      </c>
      <c r="H250" t="s">
        <v>101</v>
      </c>
      <c r="I250" t="s">
        <v>91</v>
      </c>
      <c r="J250">
        <v>798</v>
      </c>
      <c r="K250">
        <v>4</v>
      </c>
      <c r="L250" t="s">
        <v>37</v>
      </c>
      <c r="M250">
        <v>151</v>
      </c>
      <c r="N250">
        <v>41.1</v>
      </c>
      <c r="O250">
        <v>79.099999999999994</v>
      </c>
      <c r="P250">
        <v>5.76</v>
      </c>
      <c r="Q250">
        <v>0.99</v>
      </c>
      <c r="R250" t="s">
        <v>202</v>
      </c>
      <c r="S250" t="s">
        <v>47</v>
      </c>
      <c r="T250" t="s">
        <v>30</v>
      </c>
      <c r="U250" t="str">
        <f t="shared" si="9"/>
        <v>Normal</v>
      </c>
      <c r="V250" t="str">
        <f t="shared" si="10"/>
        <v>Normal</v>
      </c>
      <c r="W250" t="str">
        <f t="shared" si="11"/>
        <v>Normal</v>
      </c>
    </row>
    <row r="251" spans="1:23" x14ac:dyDescent="0.3">
      <c r="A251">
        <v>10068</v>
      </c>
      <c r="B251" s="2">
        <v>45883</v>
      </c>
      <c r="C251" t="s">
        <v>20</v>
      </c>
      <c r="D251" t="s">
        <v>21</v>
      </c>
      <c r="E251" t="s">
        <v>22</v>
      </c>
      <c r="F251" t="s">
        <v>23</v>
      </c>
      <c r="G251" t="s">
        <v>24</v>
      </c>
      <c r="H251" t="s">
        <v>75</v>
      </c>
      <c r="I251" t="s">
        <v>163</v>
      </c>
      <c r="J251">
        <v>1506</v>
      </c>
      <c r="K251">
        <v>9</v>
      </c>
      <c r="L251" t="s">
        <v>37</v>
      </c>
      <c r="M251">
        <v>123</v>
      </c>
      <c r="N251">
        <v>38.200000000000003</v>
      </c>
      <c r="O251">
        <v>79</v>
      </c>
      <c r="P251">
        <v>5.57</v>
      </c>
      <c r="Q251">
        <v>3.44</v>
      </c>
      <c r="R251" t="s">
        <v>164</v>
      </c>
      <c r="S251" t="s">
        <v>29</v>
      </c>
      <c r="T251" t="s">
        <v>30</v>
      </c>
      <c r="U251" t="str">
        <f t="shared" si="9"/>
        <v>Normal</v>
      </c>
      <c r="V251" t="str">
        <f t="shared" si="10"/>
        <v>Normal</v>
      </c>
      <c r="W251" t="str">
        <f t="shared" si="11"/>
        <v>Normal</v>
      </c>
    </row>
    <row r="252" spans="1:23" x14ac:dyDescent="0.3">
      <c r="A252">
        <v>10440</v>
      </c>
      <c r="B252" s="2">
        <v>45973</v>
      </c>
      <c r="C252" t="s">
        <v>49</v>
      </c>
      <c r="D252" t="s">
        <v>64</v>
      </c>
      <c r="E252" t="s">
        <v>22</v>
      </c>
      <c r="F252" t="s">
        <v>23</v>
      </c>
      <c r="G252" t="s">
        <v>109</v>
      </c>
      <c r="H252" t="s">
        <v>252</v>
      </c>
      <c r="I252" t="s">
        <v>253</v>
      </c>
      <c r="J252">
        <v>1247</v>
      </c>
      <c r="K252">
        <v>11</v>
      </c>
      <c r="L252" t="s">
        <v>71</v>
      </c>
      <c r="M252">
        <v>171</v>
      </c>
      <c r="N252">
        <v>43</v>
      </c>
      <c r="O252">
        <v>79</v>
      </c>
      <c r="P252">
        <v>4.2</v>
      </c>
      <c r="Q252">
        <v>1.1100000000000001</v>
      </c>
      <c r="R252" t="s">
        <v>209</v>
      </c>
      <c r="S252" t="s">
        <v>39</v>
      </c>
      <c r="T252" t="s">
        <v>30</v>
      </c>
      <c r="U252" t="str">
        <f t="shared" si="9"/>
        <v>Normal</v>
      </c>
      <c r="V252" t="str">
        <f t="shared" si="10"/>
        <v>Normal</v>
      </c>
      <c r="W252" t="str">
        <f t="shared" si="11"/>
        <v>Normal</v>
      </c>
    </row>
    <row r="253" spans="1:23" x14ac:dyDescent="0.3">
      <c r="A253">
        <v>10266</v>
      </c>
      <c r="B253" s="2">
        <v>45746</v>
      </c>
      <c r="C253" t="s">
        <v>49</v>
      </c>
      <c r="D253" t="s">
        <v>64</v>
      </c>
      <c r="E253" t="s">
        <v>107</v>
      </c>
      <c r="F253" t="s">
        <v>41</v>
      </c>
      <c r="G253" t="s">
        <v>109</v>
      </c>
      <c r="H253" t="s">
        <v>96</v>
      </c>
      <c r="I253" t="s">
        <v>135</v>
      </c>
      <c r="J253">
        <v>1214</v>
      </c>
      <c r="K253">
        <v>9</v>
      </c>
      <c r="L253" t="s">
        <v>27</v>
      </c>
      <c r="M253">
        <v>20</v>
      </c>
      <c r="N253">
        <v>45</v>
      </c>
      <c r="O253">
        <v>79</v>
      </c>
      <c r="P253">
        <v>4.8600000000000003</v>
      </c>
      <c r="Q253">
        <v>2.0499999999999998</v>
      </c>
      <c r="R253" t="s">
        <v>137</v>
      </c>
      <c r="S253" t="s">
        <v>47</v>
      </c>
      <c r="T253" t="s">
        <v>30</v>
      </c>
      <c r="U253" t="str">
        <f t="shared" si="9"/>
        <v>Normal</v>
      </c>
      <c r="V253" t="str">
        <f t="shared" si="10"/>
        <v>Normal</v>
      </c>
      <c r="W253" t="str">
        <f t="shared" si="11"/>
        <v>Normal</v>
      </c>
    </row>
    <row r="254" spans="1:23" x14ac:dyDescent="0.3">
      <c r="A254">
        <v>10140</v>
      </c>
      <c r="B254" s="2">
        <v>45721</v>
      </c>
      <c r="C254" t="s">
        <v>31</v>
      </c>
      <c r="D254" t="s">
        <v>64</v>
      </c>
      <c r="E254" t="s">
        <v>33</v>
      </c>
      <c r="F254" t="s">
        <v>41</v>
      </c>
      <c r="G254" t="s">
        <v>54</v>
      </c>
      <c r="H254" t="s">
        <v>223</v>
      </c>
      <c r="I254" t="s">
        <v>259</v>
      </c>
      <c r="J254">
        <v>1448</v>
      </c>
      <c r="K254">
        <v>10</v>
      </c>
      <c r="L254" t="s">
        <v>71</v>
      </c>
      <c r="M254">
        <v>9</v>
      </c>
      <c r="N254">
        <v>37.299999999999997</v>
      </c>
      <c r="O254">
        <v>79</v>
      </c>
      <c r="P254">
        <v>5.0999999999999996</v>
      </c>
      <c r="Q254">
        <v>1.51</v>
      </c>
      <c r="R254" t="s">
        <v>128</v>
      </c>
      <c r="S254" t="s">
        <v>47</v>
      </c>
      <c r="T254" t="s">
        <v>30</v>
      </c>
      <c r="U254" t="str">
        <f t="shared" si="9"/>
        <v>Normal</v>
      </c>
      <c r="V254" t="str">
        <f t="shared" si="10"/>
        <v>Normal</v>
      </c>
      <c r="W254" t="str">
        <f t="shared" si="11"/>
        <v>Normal</v>
      </c>
    </row>
    <row r="255" spans="1:23" x14ac:dyDescent="0.3">
      <c r="A255">
        <v>10010</v>
      </c>
      <c r="B255" s="2">
        <v>46009</v>
      </c>
      <c r="C255" t="s">
        <v>31</v>
      </c>
      <c r="D255" t="s">
        <v>21</v>
      </c>
      <c r="E255" t="s">
        <v>22</v>
      </c>
      <c r="F255" t="s">
        <v>41</v>
      </c>
      <c r="G255" t="s">
        <v>50</v>
      </c>
      <c r="H255" t="s">
        <v>88</v>
      </c>
      <c r="I255" t="s">
        <v>235</v>
      </c>
      <c r="J255">
        <v>1109</v>
      </c>
      <c r="K255">
        <v>23</v>
      </c>
      <c r="L255" t="s">
        <v>68</v>
      </c>
      <c r="M255">
        <v>133</v>
      </c>
      <c r="N255">
        <v>50.2</v>
      </c>
      <c r="O255">
        <v>79</v>
      </c>
      <c r="P255">
        <v>5.36</v>
      </c>
      <c r="Q255">
        <v>1.21</v>
      </c>
      <c r="R255" t="s">
        <v>80</v>
      </c>
      <c r="S255" t="s">
        <v>39</v>
      </c>
      <c r="T255" t="s">
        <v>30</v>
      </c>
      <c r="U255" t="str">
        <f t="shared" si="9"/>
        <v>Normal</v>
      </c>
      <c r="V255" t="str">
        <f t="shared" si="10"/>
        <v>Normal</v>
      </c>
      <c r="W255" t="str">
        <f t="shared" si="11"/>
        <v>Normal</v>
      </c>
    </row>
    <row r="256" spans="1:23" x14ac:dyDescent="0.3">
      <c r="A256">
        <v>10759</v>
      </c>
      <c r="B256" s="2">
        <v>45699</v>
      </c>
      <c r="C256" t="s">
        <v>20</v>
      </c>
      <c r="D256" t="s">
        <v>32</v>
      </c>
      <c r="E256" t="s">
        <v>33</v>
      </c>
      <c r="F256" t="s">
        <v>23</v>
      </c>
      <c r="G256" t="s">
        <v>42</v>
      </c>
      <c r="H256" t="s">
        <v>69</v>
      </c>
      <c r="I256" t="s">
        <v>236</v>
      </c>
      <c r="J256">
        <v>1025</v>
      </c>
      <c r="K256">
        <v>9</v>
      </c>
      <c r="L256" t="s">
        <v>68</v>
      </c>
      <c r="M256">
        <v>25</v>
      </c>
      <c r="N256">
        <v>38.4</v>
      </c>
      <c r="O256">
        <v>79</v>
      </c>
      <c r="P256">
        <v>6.05</v>
      </c>
      <c r="Q256">
        <v>2.7</v>
      </c>
      <c r="R256" t="s">
        <v>137</v>
      </c>
      <c r="S256" t="s">
        <v>39</v>
      </c>
      <c r="T256" t="s">
        <v>30</v>
      </c>
      <c r="U256" t="str">
        <f t="shared" si="9"/>
        <v>Normal</v>
      </c>
      <c r="V256" t="str">
        <f t="shared" si="10"/>
        <v>Normal</v>
      </c>
      <c r="W256" t="str">
        <f t="shared" si="11"/>
        <v>Normal</v>
      </c>
    </row>
    <row r="257" spans="1:23" x14ac:dyDescent="0.3">
      <c r="A257">
        <v>10640</v>
      </c>
      <c r="B257" s="2">
        <v>45766</v>
      </c>
      <c r="C257" t="s">
        <v>31</v>
      </c>
      <c r="D257" t="s">
        <v>32</v>
      </c>
      <c r="E257" t="s">
        <v>22</v>
      </c>
      <c r="F257" t="s">
        <v>23</v>
      </c>
      <c r="G257" t="s">
        <v>60</v>
      </c>
      <c r="H257" t="s">
        <v>265</v>
      </c>
      <c r="I257" t="s">
        <v>185</v>
      </c>
      <c r="J257">
        <v>459</v>
      </c>
      <c r="K257">
        <v>2</v>
      </c>
      <c r="L257" t="s">
        <v>45</v>
      </c>
      <c r="M257">
        <v>7</v>
      </c>
      <c r="N257">
        <v>34.799999999999997</v>
      </c>
      <c r="O257">
        <v>79</v>
      </c>
      <c r="P257">
        <v>5.24</v>
      </c>
      <c r="Q257">
        <v>3.56</v>
      </c>
      <c r="R257" t="s">
        <v>137</v>
      </c>
      <c r="S257" t="s">
        <v>73</v>
      </c>
      <c r="T257" t="s">
        <v>30</v>
      </c>
      <c r="U257" t="str">
        <f t="shared" si="9"/>
        <v>Normal</v>
      </c>
      <c r="V257" t="str">
        <f t="shared" si="10"/>
        <v>Normal</v>
      </c>
      <c r="W257" t="str">
        <f t="shared" si="11"/>
        <v>Normal</v>
      </c>
    </row>
    <row r="258" spans="1:23" x14ac:dyDescent="0.3">
      <c r="A258">
        <v>10404</v>
      </c>
      <c r="B258" s="2">
        <v>45730</v>
      </c>
      <c r="C258" t="s">
        <v>31</v>
      </c>
      <c r="D258" t="s">
        <v>64</v>
      </c>
      <c r="E258" t="s">
        <v>107</v>
      </c>
      <c r="F258" t="s">
        <v>23</v>
      </c>
      <c r="G258" t="s">
        <v>54</v>
      </c>
      <c r="H258" t="s">
        <v>180</v>
      </c>
      <c r="I258" t="s">
        <v>197</v>
      </c>
      <c r="J258">
        <v>693</v>
      </c>
      <c r="K258">
        <v>23</v>
      </c>
      <c r="L258" t="s">
        <v>27</v>
      </c>
      <c r="M258">
        <v>47</v>
      </c>
      <c r="N258">
        <v>40.1</v>
      </c>
      <c r="O258">
        <v>79</v>
      </c>
      <c r="P258">
        <v>4.8899999999999997</v>
      </c>
      <c r="Q258">
        <v>3.07</v>
      </c>
      <c r="R258" t="s">
        <v>103</v>
      </c>
      <c r="S258" t="s">
        <v>73</v>
      </c>
      <c r="T258" t="s">
        <v>48</v>
      </c>
      <c r="U258" t="str">
        <f t="shared" ref="U258:U321" si="12">IF(OR(O258&lt;20,O258&gt;100),"Investigate","Normal")</f>
        <v>Normal</v>
      </c>
      <c r="V258" t="str">
        <f t="shared" ref="V258:V321" si="13">IF(OR(P258&lt;2,P258&gt;10),"Investigate","Normal")</f>
        <v>Normal</v>
      </c>
      <c r="W258" t="str">
        <f t="shared" ref="W258:W321" si="14">IF(Q258&gt;10,"Investigate","Normal")</f>
        <v>Normal</v>
      </c>
    </row>
    <row r="259" spans="1:23" x14ac:dyDescent="0.3">
      <c r="A259">
        <v>10582</v>
      </c>
      <c r="B259" s="2">
        <v>45671</v>
      </c>
      <c r="C259" t="s">
        <v>49</v>
      </c>
      <c r="D259" t="s">
        <v>64</v>
      </c>
      <c r="E259" t="s">
        <v>107</v>
      </c>
      <c r="F259" t="s">
        <v>81</v>
      </c>
      <c r="G259" t="s">
        <v>54</v>
      </c>
      <c r="H259" t="s">
        <v>252</v>
      </c>
      <c r="I259" t="s">
        <v>359</v>
      </c>
      <c r="J259">
        <v>1058</v>
      </c>
      <c r="K259">
        <v>10</v>
      </c>
      <c r="L259" t="s">
        <v>71</v>
      </c>
      <c r="M259">
        <v>39</v>
      </c>
      <c r="N259">
        <v>34.9</v>
      </c>
      <c r="O259">
        <v>78.900000000000006</v>
      </c>
      <c r="P259">
        <v>4.95</v>
      </c>
      <c r="Q259">
        <v>2.5099999999999998</v>
      </c>
      <c r="R259" t="s">
        <v>105</v>
      </c>
      <c r="S259" t="s">
        <v>73</v>
      </c>
      <c r="T259" t="s">
        <v>30</v>
      </c>
      <c r="U259" t="str">
        <f t="shared" si="12"/>
        <v>Normal</v>
      </c>
      <c r="V259" t="str">
        <f t="shared" si="13"/>
        <v>Normal</v>
      </c>
      <c r="W259" t="str">
        <f t="shared" si="14"/>
        <v>Normal</v>
      </c>
    </row>
    <row r="260" spans="1:23" x14ac:dyDescent="0.3">
      <c r="A260">
        <v>10073</v>
      </c>
      <c r="B260" s="2">
        <v>46017</v>
      </c>
      <c r="C260" t="s">
        <v>31</v>
      </c>
      <c r="D260" t="s">
        <v>64</v>
      </c>
      <c r="E260" t="s">
        <v>40</v>
      </c>
      <c r="F260" t="s">
        <v>81</v>
      </c>
      <c r="G260" t="s">
        <v>24</v>
      </c>
      <c r="H260" t="s">
        <v>213</v>
      </c>
      <c r="I260" t="s">
        <v>149</v>
      </c>
      <c r="J260">
        <v>539</v>
      </c>
      <c r="K260">
        <v>6</v>
      </c>
      <c r="L260" t="s">
        <v>45</v>
      </c>
      <c r="M260">
        <v>107</v>
      </c>
      <c r="N260">
        <v>31.3</v>
      </c>
      <c r="O260">
        <v>78.900000000000006</v>
      </c>
      <c r="P260">
        <v>6.21</v>
      </c>
      <c r="Q260">
        <v>3.42</v>
      </c>
      <c r="R260" t="s">
        <v>229</v>
      </c>
      <c r="S260" t="s">
        <v>39</v>
      </c>
      <c r="T260" t="s">
        <v>30</v>
      </c>
      <c r="U260" t="str">
        <f t="shared" si="12"/>
        <v>Normal</v>
      </c>
      <c r="V260" t="str">
        <f t="shared" si="13"/>
        <v>Normal</v>
      </c>
      <c r="W260" t="str">
        <f t="shared" si="14"/>
        <v>Normal</v>
      </c>
    </row>
    <row r="261" spans="1:23" x14ac:dyDescent="0.3">
      <c r="A261">
        <v>10069</v>
      </c>
      <c r="B261" s="2">
        <v>45741</v>
      </c>
      <c r="C261" t="s">
        <v>49</v>
      </c>
      <c r="D261" t="s">
        <v>32</v>
      </c>
      <c r="E261" t="s">
        <v>22</v>
      </c>
      <c r="F261" t="s">
        <v>41</v>
      </c>
      <c r="G261" t="s">
        <v>113</v>
      </c>
      <c r="H261" t="s">
        <v>99</v>
      </c>
      <c r="I261" t="s">
        <v>318</v>
      </c>
      <c r="J261">
        <v>1298</v>
      </c>
      <c r="K261">
        <v>20</v>
      </c>
      <c r="L261" t="s">
        <v>27</v>
      </c>
      <c r="M261">
        <v>128</v>
      </c>
      <c r="N261">
        <v>48.6</v>
      </c>
      <c r="O261">
        <v>78.900000000000006</v>
      </c>
      <c r="P261">
        <v>5.48</v>
      </c>
      <c r="Q261">
        <v>2.48</v>
      </c>
      <c r="R261" t="s">
        <v>119</v>
      </c>
      <c r="S261" t="s">
        <v>47</v>
      </c>
      <c r="T261" t="s">
        <v>30</v>
      </c>
      <c r="U261" t="str">
        <f t="shared" si="12"/>
        <v>Normal</v>
      </c>
      <c r="V261" t="str">
        <f t="shared" si="13"/>
        <v>Normal</v>
      </c>
      <c r="W261" t="str">
        <f t="shared" si="14"/>
        <v>Normal</v>
      </c>
    </row>
    <row r="262" spans="1:23" x14ac:dyDescent="0.3">
      <c r="A262">
        <v>10849</v>
      </c>
      <c r="B262" s="2">
        <v>45883</v>
      </c>
      <c r="C262" t="s">
        <v>31</v>
      </c>
      <c r="D262" t="s">
        <v>59</v>
      </c>
      <c r="E262" t="s">
        <v>40</v>
      </c>
      <c r="F262" t="s">
        <v>23</v>
      </c>
      <c r="G262" t="s">
        <v>109</v>
      </c>
      <c r="H262" t="s">
        <v>66</v>
      </c>
      <c r="I262" t="s">
        <v>325</v>
      </c>
      <c r="J262">
        <v>996</v>
      </c>
      <c r="K262">
        <v>5</v>
      </c>
      <c r="L262" t="s">
        <v>57</v>
      </c>
      <c r="M262">
        <v>18</v>
      </c>
      <c r="N262">
        <v>46</v>
      </c>
      <c r="O262">
        <v>78.900000000000006</v>
      </c>
      <c r="P262">
        <v>6.56</v>
      </c>
      <c r="Q262">
        <v>2.0299999999999998</v>
      </c>
      <c r="R262" t="s">
        <v>245</v>
      </c>
      <c r="S262" t="s">
        <v>73</v>
      </c>
      <c r="T262" t="s">
        <v>30</v>
      </c>
      <c r="U262" t="str">
        <f t="shared" si="12"/>
        <v>Normal</v>
      </c>
      <c r="V262" t="str">
        <f t="shared" si="13"/>
        <v>Normal</v>
      </c>
      <c r="W262" t="str">
        <f t="shared" si="14"/>
        <v>Normal</v>
      </c>
    </row>
    <row r="263" spans="1:23" x14ac:dyDescent="0.3">
      <c r="A263">
        <v>11111</v>
      </c>
      <c r="B263" s="2">
        <v>45991</v>
      </c>
      <c r="C263" t="s">
        <v>31</v>
      </c>
      <c r="D263" t="s">
        <v>64</v>
      </c>
      <c r="E263" t="s">
        <v>33</v>
      </c>
      <c r="F263" t="s">
        <v>41</v>
      </c>
      <c r="G263" t="s">
        <v>89</v>
      </c>
      <c r="H263" t="s">
        <v>144</v>
      </c>
      <c r="I263" t="s">
        <v>230</v>
      </c>
      <c r="J263">
        <v>1246</v>
      </c>
      <c r="K263">
        <v>17</v>
      </c>
      <c r="L263" t="s">
        <v>57</v>
      </c>
      <c r="M263">
        <v>12</v>
      </c>
      <c r="N263">
        <v>43.7</v>
      </c>
      <c r="O263">
        <v>78.900000000000006</v>
      </c>
      <c r="P263">
        <v>5.22</v>
      </c>
      <c r="Q263">
        <v>1.67</v>
      </c>
      <c r="R263" t="s">
        <v>195</v>
      </c>
      <c r="S263" t="s">
        <v>29</v>
      </c>
      <c r="T263" t="s">
        <v>30</v>
      </c>
      <c r="U263" t="str">
        <f t="shared" si="12"/>
        <v>Normal</v>
      </c>
      <c r="V263" t="str">
        <f t="shared" si="13"/>
        <v>Normal</v>
      </c>
      <c r="W263" t="str">
        <f t="shared" si="14"/>
        <v>Normal</v>
      </c>
    </row>
    <row r="264" spans="1:23" x14ac:dyDescent="0.3">
      <c r="A264">
        <v>11369</v>
      </c>
      <c r="B264" s="2">
        <v>45730</v>
      </c>
      <c r="C264" t="s">
        <v>31</v>
      </c>
      <c r="D264" t="s">
        <v>64</v>
      </c>
      <c r="E264" t="s">
        <v>22</v>
      </c>
      <c r="F264" t="s">
        <v>41</v>
      </c>
      <c r="G264" t="s">
        <v>42</v>
      </c>
      <c r="H264" t="s">
        <v>85</v>
      </c>
      <c r="I264" t="s">
        <v>70</v>
      </c>
      <c r="J264">
        <v>476</v>
      </c>
      <c r="K264">
        <v>2</v>
      </c>
      <c r="L264" t="s">
        <v>57</v>
      </c>
      <c r="M264">
        <v>138</v>
      </c>
      <c r="N264">
        <v>45.9</v>
      </c>
      <c r="O264">
        <v>78.900000000000006</v>
      </c>
      <c r="P264">
        <v>4.62</v>
      </c>
      <c r="Q264">
        <v>3.13</v>
      </c>
      <c r="R264" t="s">
        <v>125</v>
      </c>
      <c r="S264" t="s">
        <v>39</v>
      </c>
      <c r="T264" t="s">
        <v>30</v>
      </c>
      <c r="U264" t="str">
        <f t="shared" si="12"/>
        <v>Normal</v>
      </c>
      <c r="V264" t="str">
        <f t="shared" si="13"/>
        <v>Normal</v>
      </c>
      <c r="W264" t="str">
        <f t="shared" si="14"/>
        <v>Normal</v>
      </c>
    </row>
    <row r="265" spans="1:23" x14ac:dyDescent="0.3">
      <c r="A265">
        <v>10952</v>
      </c>
      <c r="B265" s="2">
        <v>45947</v>
      </c>
      <c r="C265" t="s">
        <v>31</v>
      </c>
      <c r="D265" t="s">
        <v>32</v>
      </c>
      <c r="E265" t="s">
        <v>33</v>
      </c>
      <c r="F265" t="s">
        <v>81</v>
      </c>
      <c r="G265" t="s">
        <v>113</v>
      </c>
      <c r="H265" t="s">
        <v>131</v>
      </c>
      <c r="I265" t="s">
        <v>354</v>
      </c>
      <c r="J265">
        <v>699</v>
      </c>
      <c r="K265">
        <v>69</v>
      </c>
      <c r="L265" t="s">
        <v>45</v>
      </c>
      <c r="M265">
        <v>136</v>
      </c>
      <c r="N265">
        <v>47.4</v>
      </c>
      <c r="O265">
        <v>78.900000000000006</v>
      </c>
      <c r="P265">
        <v>6</v>
      </c>
      <c r="Q265">
        <v>3.35</v>
      </c>
      <c r="R265" t="s">
        <v>133</v>
      </c>
      <c r="S265" t="s">
        <v>47</v>
      </c>
      <c r="T265" t="s">
        <v>48</v>
      </c>
      <c r="U265" t="str">
        <f t="shared" si="12"/>
        <v>Normal</v>
      </c>
      <c r="V265" t="str">
        <f t="shared" si="13"/>
        <v>Normal</v>
      </c>
      <c r="W265" t="str">
        <f t="shared" si="14"/>
        <v>Normal</v>
      </c>
    </row>
    <row r="266" spans="1:23" x14ac:dyDescent="0.3">
      <c r="A266">
        <v>10423</v>
      </c>
      <c r="B266" s="2">
        <v>45818</v>
      </c>
      <c r="C266" t="s">
        <v>20</v>
      </c>
      <c r="D266" t="s">
        <v>21</v>
      </c>
      <c r="E266" t="s">
        <v>107</v>
      </c>
      <c r="F266" t="s">
        <v>23</v>
      </c>
      <c r="G266" t="s">
        <v>50</v>
      </c>
      <c r="H266" t="s">
        <v>93</v>
      </c>
      <c r="I266" t="s">
        <v>282</v>
      </c>
      <c r="J266">
        <v>570</v>
      </c>
      <c r="K266">
        <v>2</v>
      </c>
      <c r="L266" t="s">
        <v>57</v>
      </c>
      <c r="M266">
        <v>86</v>
      </c>
      <c r="N266">
        <v>38</v>
      </c>
      <c r="O266">
        <v>78.8</v>
      </c>
      <c r="P266">
        <v>5.8</v>
      </c>
      <c r="Q266">
        <v>2.0499999999999998</v>
      </c>
      <c r="R266" t="s">
        <v>46</v>
      </c>
      <c r="S266" t="s">
        <v>47</v>
      </c>
      <c r="T266" t="s">
        <v>30</v>
      </c>
      <c r="U266" t="str">
        <f t="shared" si="12"/>
        <v>Normal</v>
      </c>
      <c r="V266" t="str">
        <f t="shared" si="13"/>
        <v>Normal</v>
      </c>
      <c r="W266" t="str">
        <f t="shared" si="14"/>
        <v>Normal</v>
      </c>
    </row>
    <row r="267" spans="1:23" x14ac:dyDescent="0.3">
      <c r="A267">
        <v>10901</v>
      </c>
      <c r="B267" s="2">
        <v>45877</v>
      </c>
      <c r="C267" t="s">
        <v>31</v>
      </c>
      <c r="D267" t="s">
        <v>59</v>
      </c>
      <c r="E267" t="s">
        <v>40</v>
      </c>
      <c r="F267" t="s">
        <v>81</v>
      </c>
      <c r="G267" t="s">
        <v>34</v>
      </c>
      <c r="H267" t="s">
        <v>82</v>
      </c>
      <c r="I267" t="s">
        <v>208</v>
      </c>
      <c r="J267">
        <v>925</v>
      </c>
      <c r="K267">
        <v>11</v>
      </c>
      <c r="L267" t="s">
        <v>37</v>
      </c>
      <c r="M267">
        <v>93</v>
      </c>
      <c r="N267">
        <v>34.5</v>
      </c>
      <c r="O267">
        <v>78.8</v>
      </c>
      <c r="P267">
        <v>4.7300000000000004</v>
      </c>
      <c r="Q267">
        <v>4.0199999999999996</v>
      </c>
      <c r="R267" t="s">
        <v>184</v>
      </c>
      <c r="S267" t="s">
        <v>73</v>
      </c>
      <c r="T267" t="s">
        <v>30</v>
      </c>
      <c r="U267" t="str">
        <f t="shared" si="12"/>
        <v>Normal</v>
      </c>
      <c r="V267" t="str">
        <f t="shared" si="13"/>
        <v>Normal</v>
      </c>
      <c r="W267" t="str">
        <f t="shared" si="14"/>
        <v>Normal</v>
      </c>
    </row>
    <row r="268" spans="1:23" x14ac:dyDescent="0.3">
      <c r="A268">
        <v>10561</v>
      </c>
      <c r="B268" s="2">
        <v>45930</v>
      </c>
      <c r="C268" t="s">
        <v>20</v>
      </c>
      <c r="D268" t="s">
        <v>59</v>
      </c>
      <c r="E268" t="s">
        <v>107</v>
      </c>
      <c r="F268" t="s">
        <v>41</v>
      </c>
      <c r="G268" t="s">
        <v>24</v>
      </c>
      <c r="H268" t="s">
        <v>193</v>
      </c>
      <c r="I268" t="s">
        <v>254</v>
      </c>
      <c r="J268">
        <v>1409</v>
      </c>
      <c r="K268">
        <v>18</v>
      </c>
      <c r="L268" t="s">
        <v>27</v>
      </c>
      <c r="M268">
        <v>108</v>
      </c>
      <c r="N268">
        <v>49.8</v>
      </c>
      <c r="O268">
        <v>78.8</v>
      </c>
      <c r="P268">
        <v>5.53</v>
      </c>
      <c r="Q268">
        <v>2.61</v>
      </c>
      <c r="R268" t="s">
        <v>155</v>
      </c>
      <c r="S268" t="s">
        <v>47</v>
      </c>
      <c r="T268" t="s">
        <v>30</v>
      </c>
      <c r="U268" t="str">
        <f t="shared" si="12"/>
        <v>Normal</v>
      </c>
      <c r="V268" t="str">
        <f t="shared" si="13"/>
        <v>Normal</v>
      </c>
      <c r="W268" t="str">
        <f t="shared" si="14"/>
        <v>Normal</v>
      </c>
    </row>
    <row r="269" spans="1:23" x14ac:dyDescent="0.3">
      <c r="A269">
        <v>11157</v>
      </c>
      <c r="B269" s="2">
        <v>45740</v>
      </c>
      <c r="C269" t="s">
        <v>49</v>
      </c>
      <c r="D269" t="s">
        <v>59</v>
      </c>
      <c r="E269" t="s">
        <v>22</v>
      </c>
      <c r="F269" t="s">
        <v>23</v>
      </c>
      <c r="G269" t="s">
        <v>50</v>
      </c>
      <c r="H269" t="s">
        <v>424</v>
      </c>
      <c r="I269" t="s">
        <v>328</v>
      </c>
      <c r="J269">
        <v>986</v>
      </c>
      <c r="K269">
        <v>7</v>
      </c>
      <c r="L269" t="s">
        <v>37</v>
      </c>
      <c r="M269">
        <v>19</v>
      </c>
      <c r="N269">
        <v>38.9</v>
      </c>
      <c r="O269">
        <v>78.8</v>
      </c>
      <c r="P269">
        <v>6.45</v>
      </c>
      <c r="Q269">
        <v>1.89</v>
      </c>
      <c r="R269" t="s">
        <v>128</v>
      </c>
      <c r="S269" t="s">
        <v>73</v>
      </c>
      <c r="T269" t="s">
        <v>30</v>
      </c>
      <c r="U269" t="str">
        <f t="shared" si="12"/>
        <v>Normal</v>
      </c>
      <c r="V269" t="str">
        <f t="shared" si="13"/>
        <v>Normal</v>
      </c>
      <c r="W269" t="str">
        <f t="shared" si="14"/>
        <v>Normal</v>
      </c>
    </row>
    <row r="270" spans="1:23" x14ac:dyDescent="0.3">
      <c r="A270">
        <v>11367</v>
      </c>
      <c r="B270" s="2">
        <v>45777</v>
      </c>
      <c r="C270" t="s">
        <v>31</v>
      </c>
      <c r="D270" t="s">
        <v>32</v>
      </c>
      <c r="E270" t="s">
        <v>22</v>
      </c>
      <c r="F270" t="s">
        <v>23</v>
      </c>
      <c r="G270" t="s">
        <v>134</v>
      </c>
      <c r="H270" t="s">
        <v>43</v>
      </c>
      <c r="I270" t="s">
        <v>261</v>
      </c>
      <c r="J270">
        <v>848</v>
      </c>
      <c r="K270">
        <v>12</v>
      </c>
      <c r="L270" t="s">
        <v>57</v>
      </c>
      <c r="M270">
        <v>9</v>
      </c>
      <c r="N270">
        <v>35.200000000000003</v>
      </c>
      <c r="O270">
        <v>78.8</v>
      </c>
      <c r="P270">
        <v>5.92</v>
      </c>
      <c r="Q270">
        <v>5.44</v>
      </c>
      <c r="R270" t="s">
        <v>87</v>
      </c>
      <c r="S270" t="s">
        <v>39</v>
      </c>
      <c r="T270" t="s">
        <v>30</v>
      </c>
      <c r="U270" t="str">
        <f t="shared" si="12"/>
        <v>Normal</v>
      </c>
      <c r="V270" t="str">
        <f t="shared" si="13"/>
        <v>Normal</v>
      </c>
      <c r="W270" t="str">
        <f t="shared" si="14"/>
        <v>Normal</v>
      </c>
    </row>
    <row r="271" spans="1:23" x14ac:dyDescent="0.3">
      <c r="A271">
        <v>10872</v>
      </c>
      <c r="B271" s="2">
        <v>45933</v>
      </c>
      <c r="C271" t="s">
        <v>20</v>
      </c>
      <c r="D271" t="s">
        <v>32</v>
      </c>
      <c r="E271" t="s">
        <v>33</v>
      </c>
      <c r="F271" t="s">
        <v>23</v>
      </c>
      <c r="G271" t="s">
        <v>34</v>
      </c>
      <c r="H271" t="s">
        <v>131</v>
      </c>
      <c r="I271" t="s">
        <v>168</v>
      </c>
      <c r="J271">
        <v>848</v>
      </c>
      <c r="K271">
        <v>8</v>
      </c>
      <c r="L271" t="s">
        <v>45</v>
      </c>
      <c r="M271">
        <v>11</v>
      </c>
      <c r="N271">
        <v>58.6</v>
      </c>
      <c r="O271">
        <v>78.8</v>
      </c>
      <c r="P271">
        <v>3.85</v>
      </c>
      <c r="Q271">
        <v>2.02</v>
      </c>
      <c r="R271" t="s">
        <v>243</v>
      </c>
      <c r="S271" t="s">
        <v>47</v>
      </c>
      <c r="T271" t="s">
        <v>30</v>
      </c>
      <c r="U271" t="str">
        <f t="shared" si="12"/>
        <v>Normal</v>
      </c>
      <c r="V271" t="str">
        <f t="shared" si="13"/>
        <v>Normal</v>
      </c>
      <c r="W271" t="str">
        <f t="shared" si="14"/>
        <v>Normal</v>
      </c>
    </row>
    <row r="272" spans="1:23" x14ac:dyDescent="0.3">
      <c r="A272">
        <v>10290</v>
      </c>
      <c r="B272" s="2">
        <v>45939</v>
      </c>
      <c r="C272" t="s">
        <v>49</v>
      </c>
      <c r="D272" t="s">
        <v>21</v>
      </c>
      <c r="E272" t="s">
        <v>107</v>
      </c>
      <c r="F272" t="s">
        <v>23</v>
      </c>
      <c r="G272" t="s">
        <v>134</v>
      </c>
      <c r="H272" t="s">
        <v>126</v>
      </c>
      <c r="I272" t="s">
        <v>302</v>
      </c>
      <c r="J272">
        <v>1420</v>
      </c>
      <c r="K272">
        <v>17</v>
      </c>
      <c r="L272" t="s">
        <v>27</v>
      </c>
      <c r="M272">
        <v>19</v>
      </c>
      <c r="N272">
        <v>44.3</v>
      </c>
      <c r="O272">
        <v>78.7</v>
      </c>
      <c r="P272">
        <v>5.4</v>
      </c>
      <c r="Q272">
        <v>3.69</v>
      </c>
      <c r="R272" t="s">
        <v>243</v>
      </c>
      <c r="S272" t="s">
        <v>29</v>
      </c>
      <c r="T272" t="s">
        <v>30</v>
      </c>
      <c r="U272" t="str">
        <f t="shared" si="12"/>
        <v>Normal</v>
      </c>
      <c r="V272" t="str">
        <f t="shared" si="13"/>
        <v>Normal</v>
      </c>
      <c r="W272" t="str">
        <f t="shared" si="14"/>
        <v>Normal</v>
      </c>
    </row>
    <row r="273" spans="1:23" x14ac:dyDescent="0.3">
      <c r="A273">
        <v>10216</v>
      </c>
      <c r="B273" s="2">
        <v>45832</v>
      </c>
      <c r="C273" t="s">
        <v>20</v>
      </c>
      <c r="D273" t="s">
        <v>64</v>
      </c>
      <c r="E273" t="s">
        <v>33</v>
      </c>
      <c r="F273" t="s">
        <v>23</v>
      </c>
      <c r="G273" t="s">
        <v>89</v>
      </c>
      <c r="H273" t="s">
        <v>165</v>
      </c>
      <c r="I273" t="s">
        <v>375</v>
      </c>
      <c r="J273">
        <v>1143</v>
      </c>
      <c r="K273">
        <v>38</v>
      </c>
      <c r="L273" t="s">
        <v>57</v>
      </c>
      <c r="M273">
        <v>82</v>
      </c>
      <c r="N273">
        <v>42.9</v>
      </c>
      <c r="O273">
        <v>78.7</v>
      </c>
      <c r="P273">
        <v>4.96</v>
      </c>
      <c r="Q273">
        <v>2.5099999999999998</v>
      </c>
      <c r="R273" t="s">
        <v>122</v>
      </c>
      <c r="S273" t="s">
        <v>29</v>
      </c>
      <c r="T273" t="s">
        <v>48</v>
      </c>
      <c r="U273" t="str">
        <f t="shared" si="12"/>
        <v>Normal</v>
      </c>
      <c r="V273" t="str">
        <f t="shared" si="13"/>
        <v>Normal</v>
      </c>
      <c r="W273" t="str">
        <f t="shared" si="14"/>
        <v>Normal</v>
      </c>
    </row>
    <row r="274" spans="1:23" x14ac:dyDescent="0.3">
      <c r="A274">
        <v>10447</v>
      </c>
      <c r="B274" s="2">
        <v>45736</v>
      </c>
      <c r="C274" t="s">
        <v>49</v>
      </c>
      <c r="D274" t="s">
        <v>64</v>
      </c>
      <c r="E274" t="s">
        <v>40</v>
      </c>
      <c r="F274" t="s">
        <v>23</v>
      </c>
      <c r="G274" t="s">
        <v>74</v>
      </c>
      <c r="H274" t="s">
        <v>141</v>
      </c>
      <c r="I274" t="s">
        <v>377</v>
      </c>
      <c r="J274">
        <v>1072</v>
      </c>
      <c r="K274">
        <v>3</v>
      </c>
      <c r="L274" t="s">
        <v>68</v>
      </c>
      <c r="M274">
        <v>155</v>
      </c>
      <c r="N274">
        <v>55.7</v>
      </c>
      <c r="O274">
        <v>78.7</v>
      </c>
      <c r="P274">
        <v>4.84</v>
      </c>
      <c r="Q274">
        <v>2.39</v>
      </c>
      <c r="R274" t="s">
        <v>133</v>
      </c>
      <c r="S274" t="s">
        <v>73</v>
      </c>
      <c r="T274" t="s">
        <v>30</v>
      </c>
      <c r="U274" t="str">
        <f t="shared" si="12"/>
        <v>Normal</v>
      </c>
      <c r="V274" t="str">
        <f t="shared" si="13"/>
        <v>Normal</v>
      </c>
      <c r="W274" t="str">
        <f t="shared" si="14"/>
        <v>Normal</v>
      </c>
    </row>
    <row r="275" spans="1:23" x14ac:dyDescent="0.3">
      <c r="A275">
        <v>10924</v>
      </c>
      <c r="B275" s="2">
        <v>45787</v>
      </c>
      <c r="C275" t="s">
        <v>31</v>
      </c>
      <c r="D275" t="s">
        <v>32</v>
      </c>
      <c r="E275" t="s">
        <v>107</v>
      </c>
      <c r="F275" t="s">
        <v>81</v>
      </c>
      <c r="G275" t="s">
        <v>113</v>
      </c>
      <c r="H275" t="s">
        <v>101</v>
      </c>
      <c r="I275" t="s">
        <v>70</v>
      </c>
      <c r="J275">
        <v>848</v>
      </c>
      <c r="K275">
        <v>11</v>
      </c>
      <c r="L275" t="s">
        <v>57</v>
      </c>
      <c r="M275">
        <v>102</v>
      </c>
      <c r="N275">
        <v>32.700000000000003</v>
      </c>
      <c r="O275">
        <v>78.7</v>
      </c>
      <c r="P275">
        <v>5.54</v>
      </c>
      <c r="Q275">
        <v>4.32</v>
      </c>
      <c r="R275" t="s">
        <v>72</v>
      </c>
      <c r="S275" t="s">
        <v>29</v>
      </c>
      <c r="T275" t="s">
        <v>30</v>
      </c>
      <c r="U275" t="str">
        <f t="shared" si="12"/>
        <v>Normal</v>
      </c>
      <c r="V275" t="str">
        <f t="shared" si="13"/>
        <v>Normal</v>
      </c>
      <c r="W275" t="str">
        <f t="shared" si="14"/>
        <v>Normal</v>
      </c>
    </row>
    <row r="276" spans="1:23" x14ac:dyDescent="0.3">
      <c r="A276">
        <v>10891</v>
      </c>
      <c r="B276" s="2">
        <v>45836</v>
      </c>
      <c r="C276" t="s">
        <v>49</v>
      </c>
      <c r="D276" t="s">
        <v>21</v>
      </c>
      <c r="E276" t="s">
        <v>33</v>
      </c>
      <c r="F276" t="s">
        <v>81</v>
      </c>
      <c r="G276" t="s">
        <v>89</v>
      </c>
      <c r="H276" t="s">
        <v>278</v>
      </c>
      <c r="I276" t="s">
        <v>56</v>
      </c>
      <c r="J276">
        <v>699</v>
      </c>
      <c r="K276">
        <v>9</v>
      </c>
      <c r="L276" t="s">
        <v>37</v>
      </c>
      <c r="M276">
        <v>112</v>
      </c>
      <c r="N276">
        <v>39.5</v>
      </c>
      <c r="O276">
        <v>78.7</v>
      </c>
      <c r="P276">
        <v>5.07</v>
      </c>
      <c r="Q276">
        <v>2.74</v>
      </c>
      <c r="R276" t="s">
        <v>28</v>
      </c>
      <c r="S276" t="s">
        <v>29</v>
      </c>
      <c r="T276" t="s">
        <v>30</v>
      </c>
      <c r="U276" t="str">
        <f t="shared" si="12"/>
        <v>Normal</v>
      </c>
      <c r="V276" t="str">
        <f t="shared" si="13"/>
        <v>Normal</v>
      </c>
      <c r="W276" t="str">
        <f t="shared" si="14"/>
        <v>Normal</v>
      </c>
    </row>
    <row r="277" spans="1:23" x14ac:dyDescent="0.3">
      <c r="A277">
        <v>10175</v>
      </c>
      <c r="B277" s="2">
        <v>45833</v>
      </c>
      <c r="C277" t="s">
        <v>49</v>
      </c>
      <c r="D277" t="s">
        <v>64</v>
      </c>
      <c r="E277" t="s">
        <v>33</v>
      </c>
      <c r="F277" t="s">
        <v>23</v>
      </c>
      <c r="G277" t="s">
        <v>74</v>
      </c>
      <c r="H277" t="s">
        <v>138</v>
      </c>
      <c r="I277" t="s">
        <v>219</v>
      </c>
      <c r="J277">
        <v>532</v>
      </c>
      <c r="K277">
        <v>8</v>
      </c>
      <c r="L277" t="s">
        <v>57</v>
      </c>
      <c r="M277">
        <v>89</v>
      </c>
      <c r="N277">
        <v>41.1</v>
      </c>
      <c r="O277">
        <v>78.599999999999994</v>
      </c>
      <c r="P277">
        <v>4.8499999999999996</v>
      </c>
      <c r="Q277">
        <v>1.03</v>
      </c>
      <c r="R277" t="s">
        <v>53</v>
      </c>
      <c r="S277" t="s">
        <v>39</v>
      </c>
      <c r="T277" t="s">
        <v>30</v>
      </c>
      <c r="U277" t="str">
        <f t="shared" si="12"/>
        <v>Normal</v>
      </c>
      <c r="V277" t="str">
        <f t="shared" si="13"/>
        <v>Normal</v>
      </c>
      <c r="W277" t="str">
        <f t="shared" si="14"/>
        <v>Normal</v>
      </c>
    </row>
    <row r="278" spans="1:23" x14ac:dyDescent="0.3">
      <c r="A278">
        <v>11308</v>
      </c>
      <c r="B278" s="2">
        <v>46012</v>
      </c>
      <c r="C278" t="s">
        <v>49</v>
      </c>
      <c r="D278" t="s">
        <v>32</v>
      </c>
      <c r="E278" t="s">
        <v>107</v>
      </c>
      <c r="F278" t="s">
        <v>23</v>
      </c>
      <c r="G278" t="s">
        <v>89</v>
      </c>
      <c r="H278" t="s">
        <v>193</v>
      </c>
      <c r="I278" t="s">
        <v>368</v>
      </c>
      <c r="J278">
        <v>783</v>
      </c>
      <c r="K278">
        <v>11</v>
      </c>
      <c r="L278" t="s">
        <v>45</v>
      </c>
      <c r="M278">
        <v>151</v>
      </c>
      <c r="N278">
        <v>41.8</v>
      </c>
      <c r="O278">
        <v>78.599999999999994</v>
      </c>
      <c r="P278">
        <v>4.5199999999999996</v>
      </c>
      <c r="Q278">
        <v>1.75</v>
      </c>
      <c r="R278" t="s">
        <v>243</v>
      </c>
      <c r="S278" t="s">
        <v>47</v>
      </c>
      <c r="T278" t="s">
        <v>30</v>
      </c>
      <c r="U278" t="str">
        <f t="shared" si="12"/>
        <v>Normal</v>
      </c>
      <c r="V278" t="str">
        <f t="shared" si="13"/>
        <v>Normal</v>
      </c>
      <c r="W278" t="str">
        <f t="shared" si="14"/>
        <v>Normal</v>
      </c>
    </row>
    <row r="279" spans="1:23" x14ac:dyDescent="0.3">
      <c r="A279">
        <v>11403</v>
      </c>
      <c r="B279" s="2">
        <v>45799</v>
      </c>
      <c r="C279" t="s">
        <v>49</v>
      </c>
      <c r="D279" t="s">
        <v>21</v>
      </c>
      <c r="E279" t="s">
        <v>22</v>
      </c>
      <c r="F279" t="s">
        <v>81</v>
      </c>
      <c r="G279" t="s">
        <v>109</v>
      </c>
      <c r="H279" t="s">
        <v>126</v>
      </c>
      <c r="I279" t="s">
        <v>356</v>
      </c>
      <c r="J279">
        <v>698</v>
      </c>
      <c r="K279">
        <v>6</v>
      </c>
      <c r="L279" t="s">
        <v>57</v>
      </c>
      <c r="M279">
        <v>131</v>
      </c>
      <c r="N279">
        <v>42.5</v>
      </c>
      <c r="O279">
        <v>78.599999999999994</v>
      </c>
      <c r="P279">
        <v>6.15</v>
      </c>
      <c r="Q279">
        <v>1.8</v>
      </c>
      <c r="R279" t="s">
        <v>189</v>
      </c>
      <c r="S279" t="s">
        <v>47</v>
      </c>
      <c r="T279" t="s">
        <v>30</v>
      </c>
      <c r="U279" t="str">
        <f t="shared" si="12"/>
        <v>Normal</v>
      </c>
      <c r="V279" t="str">
        <f t="shared" si="13"/>
        <v>Normal</v>
      </c>
      <c r="W279" t="str">
        <f t="shared" si="14"/>
        <v>Normal</v>
      </c>
    </row>
    <row r="280" spans="1:23" x14ac:dyDescent="0.3">
      <c r="A280">
        <v>10269</v>
      </c>
      <c r="B280" s="2">
        <v>45907</v>
      </c>
      <c r="C280" t="s">
        <v>49</v>
      </c>
      <c r="D280" t="s">
        <v>59</v>
      </c>
      <c r="E280" t="s">
        <v>107</v>
      </c>
      <c r="F280" t="s">
        <v>81</v>
      </c>
      <c r="G280" t="s">
        <v>134</v>
      </c>
      <c r="H280" t="s">
        <v>88</v>
      </c>
      <c r="I280" t="s">
        <v>331</v>
      </c>
      <c r="J280">
        <v>744</v>
      </c>
      <c r="K280">
        <v>9</v>
      </c>
      <c r="L280" t="s">
        <v>57</v>
      </c>
      <c r="M280">
        <v>11</v>
      </c>
      <c r="N280">
        <v>36.299999999999997</v>
      </c>
      <c r="O280">
        <v>78.599999999999994</v>
      </c>
      <c r="P280">
        <v>5.38</v>
      </c>
      <c r="Q280">
        <v>2.82</v>
      </c>
      <c r="R280" t="s">
        <v>183</v>
      </c>
      <c r="S280" t="s">
        <v>39</v>
      </c>
      <c r="T280" t="s">
        <v>30</v>
      </c>
      <c r="U280" t="str">
        <f t="shared" si="12"/>
        <v>Normal</v>
      </c>
      <c r="V280" t="str">
        <f t="shared" si="13"/>
        <v>Normal</v>
      </c>
      <c r="W280" t="str">
        <f t="shared" si="14"/>
        <v>Normal</v>
      </c>
    </row>
    <row r="281" spans="1:23" x14ac:dyDescent="0.3">
      <c r="A281">
        <v>10497</v>
      </c>
      <c r="B281" s="2">
        <v>45851</v>
      </c>
      <c r="C281" t="s">
        <v>49</v>
      </c>
      <c r="D281" t="s">
        <v>64</v>
      </c>
      <c r="E281" t="s">
        <v>40</v>
      </c>
      <c r="F281" t="s">
        <v>41</v>
      </c>
      <c r="G281" t="s">
        <v>24</v>
      </c>
      <c r="H281" t="s">
        <v>177</v>
      </c>
      <c r="I281" t="s">
        <v>365</v>
      </c>
      <c r="J281">
        <v>694</v>
      </c>
      <c r="K281">
        <v>2</v>
      </c>
      <c r="L281" t="s">
        <v>45</v>
      </c>
      <c r="M281">
        <v>14</v>
      </c>
      <c r="N281">
        <v>41.6</v>
      </c>
      <c r="O281">
        <v>78.599999999999994</v>
      </c>
      <c r="P281">
        <v>4.3499999999999996</v>
      </c>
      <c r="Q281">
        <v>2.74</v>
      </c>
      <c r="R281" t="s">
        <v>159</v>
      </c>
      <c r="S281" t="s">
        <v>39</v>
      </c>
      <c r="T281" t="s">
        <v>30</v>
      </c>
      <c r="U281" t="str">
        <f t="shared" si="12"/>
        <v>Normal</v>
      </c>
      <c r="V281" t="str">
        <f t="shared" si="13"/>
        <v>Normal</v>
      </c>
      <c r="W281" t="str">
        <f t="shared" si="14"/>
        <v>Normal</v>
      </c>
    </row>
    <row r="282" spans="1:23" x14ac:dyDescent="0.3">
      <c r="A282">
        <v>10757</v>
      </c>
      <c r="B282" s="2">
        <v>45720</v>
      </c>
      <c r="C282" t="s">
        <v>20</v>
      </c>
      <c r="D282" t="s">
        <v>64</v>
      </c>
      <c r="E282" t="s">
        <v>40</v>
      </c>
      <c r="F282" t="s">
        <v>41</v>
      </c>
      <c r="G282" t="s">
        <v>24</v>
      </c>
      <c r="H282" t="s">
        <v>35</v>
      </c>
      <c r="I282" t="s">
        <v>118</v>
      </c>
      <c r="J282">
        <v>512</v>
      </c>
      <c r="K282">
        <v>11</v>
      </c>
      <c r="L282" t="s">
        <v>27</v>
      </c>
      <c r="M282">
        <v>86</v>
      </c>
      <c r="N282">
        <v>34.799999999999997</v>
      </c>
      <c r="O282">
        <v>78.5</v>
      </c>
      <c r="P282">
        <v>4.79</v>
      </c>
      <c r="Q282">
        <v>2.81</v>
      </c>
      <c r="R282" t="s">
        <v>202</v>
      </c>
      <c r="S282" t="s">
        <v>29</v>
      </c>
      <c r="T282" t="s">
        <v>30</v>
      </c>
      <c r="U282" t="str">
        <f t="shared" si="12"/>
        <v>Normal</v>
      </c>
      <c r="V282" t="str">
        <f t="shared" si="13"/>
        <v>Normal</v>
      </c>
      <c r="W282" t="str">
        <f t="shared" si="14"/>
        <v>Normal</v>
      </c>
    </row>
    <row r="283" spans="1:23" x14ac:dyDescent="0.3">
      <c r="A283">
        <v>10169</v>
      </c>
      <c r="B283" s="2">
        <v>45804</v>
      </c>
      <c r="C283" t="s">
        <v>31</v>
      </c>
      <c r="D283" t="s">
        <v>32</v>
      </c>
      <c r="E283" t="s">
        <v>33</v>
      </c>
      <c r="F283" t="s">
        <v>81</v>
      </c>
      <c r="G283" t="s">
        <v>34</v>
      </c>
      <c r="H283" t="s">
        <v>169</v>
      </c>
      <c r="I283" t="s">
        <v>181</v>
      </c>
      <c r="J283">
        <v>788</v>
      </c>
      <c r="K283">
        <v>6</v>
      </c>
      <c r="L283" t="s">
        <v>57</v>
      </c>
      <c r="M283">
        <v>6</v>
      </c>
      <c r="N283">
        <v>44.6</v>
      </c>
      <c r="O283">
        <v>78.5</v>
      </c>
      <c r="P283">
        <v>4.68</v>
      </c>
      <c r="Q283">
        <v>3.65</v>
      </c>
      <c r="R283" t="s">
        <v>46</v>
      </c>
      <c r="S283" t="s">
        <v>29</v>
      </c>
      <c r="T283" t="s">
        <v>30</v>
      </c>
      <c r="U283" t="str">
        <f t="shared" si="12"/>
        <v>Normal</v>
      </c>
      <c r="V283" t="str">
        <f t="shared" si="13"/>
        <v>Normal</v>
      </c>
      <c r="W283" t="str">
        <f t="shared" si="14"/>
        <v>Normal</v>
      </c>
    </row>
    <row r="284" spans="1:23" x14ac:dyDescent="0.3">
      <c r="A284">
        <v>11492</v>
      </c>
      <c r="B284" s="2">
        <v>45889</v>
      </c>
      <c r="C284" t="s">
        <v>31</v>
      </c>
      <c r="D284" t="s">
        <v>21</v>
      </c>
      <c r="E284" t="s">
        <v>22</v>
      </c>
      <c r="F284" t="s">
        <v>23</v>
      </c>
      <c r="G284" t="s">
        <v>42</v>
      </c>
      <c r="H284" t="s">
        <v>161</v>
      </c>
      <c r="I284" t="s">
        <v>306</v>
      </c>
      <c r="J284">
        <v>1420</v>
      </c>
      <c r="K284">
        <v>36</v>
      </c>
      <c r="L284" t="s">
        <v>37</v>
      </c>
      <c r="M284">
        <v>82</v>
      </c>
      <c r="N284">
        <v>36.700000000000003</v>
      </c>
      <c r="O284">
        <v>78.5</v>
      </c>
      <c r="P284">
        <v>5</v>
      </c>
      <c r="Q284">
        <v>3.46</v>
      </c>
      <c r="R284" t="s">
        <v>80</v>
      </c>
      <c r="S284" t="s">
        <v>29</v>
      </c>
      <c r="T284" t="s">
        <v>30</v>
      </c>
      <c r="U284" t="str">
        <f t="shared" si="12"/>
        <v>Normal</v>
      </c>
      <c r="V284" t="str">
        <f t="shared" si="13"/>
        <v>Normal</v>
      </c>
      <c r="W284" t="str">
        <f t="shared" si="14"/>
        <v>Normal</v>
      </c>
    </row>
    <row r="285" spans="1:23" x14ac:dyDescent="0.3">
      <c r="A285">
        <v>10054</v>
      </c>
      <c r="B285" s="2">
        <v>45684</v>
      </c>
      <c r="C285" t="s">
        <v>20</v>
      </c>
      <c r="D285" t="s">
        <v>32</v>
      </c>
      <c r="E285" t="s">
        <v>33</v>
      </c>
      <c r="F285" t="s">
        <v>41</v>
      </c>
      <c r="G285" t="s">
        <v>42</v>
      </c>
      <c r="H285" t="s">
        <v>265</v>
      </c>
      <c r="I285" t="s">
        <v>173</v>
      </c>
      <c r="J285">
        <v>1490</v>
      </c>
      <c r="K285">
        <v>11</v>
      </c>
      <c r="L285" t="s">
        <v>57</v>
      </c>
      <c r="M285">
        <v>142</v>
      </c>
      <c r="N285">
        <v>40.9</v>
      </c>
      <c r="O285">
        <v>78.5</v>
      </c>
      <c r="P285">
        <v>5.51</v>
      </c>
      <c r="Q285">
        <v>0.19</v>
      </c>
      <c r="R285" t="s">
        <v>137</v>
      </c>
      <c r="S285" t="s">
        <v>47</v>
      </c>
      <c r="T285" t="s">
        <v>30</v>
      </c>
      <c r="U285" t="str">
        <f t="shared" si="12"/>
        <v>Normal</v>
      </c>
      <c r="V285" t="str">
        <f t="shared" si="13"/>
        <v>Normal</v>
      </c>
      <c r="W285" t="str">
        <f t="shared" si="14"/>
        <v>Normal</v>
      </c>
    </row>
    <row r="286" spans="1:23" x14ac:dyDescent="0.3">
      <c r="A286">
        <v>11426</v>
      </c>
      <c r="B286" s="2">
        <v>45994</v>
      </c>
      <c r="C286" t="s">
        <v>49</v>
      </c>
      <c r="D286" t="s">
        <v>59</v>
      </c>
      <c r="E286" t="s">
        <v>33</v>
      </c>
      <c r="F286" t="s">
        <v>41</v>
      </c>
      <c r="G286" t="s">
        <v>60</v>
      </c>
      <c r="H286" t="s">
        <v>101</v>
      </c>
      <c r="I286" t="s">
        <v>139</v>
      </c>
      <c r="J286">
        <v>885</v>
      </c>
      <c r="K286">
        <v>27</v>
      </c>
      <c r="L286" t="s">
        <v>57</v>
      </c>
      <c r="M286">
        <v>67</v>
      </c>
      <c r="N286">
        <v>41</v>
      </c>
      <c r="O286">
        <v>78.5</v>
      </c>
      <c r="P286">
        <v>5</v>
      </c>
      <c r="Q286">
        <v>2.89</v>
      </c>
      <c r="R286" t="s">
        <v>202</v>
      </c>
      <c r="S286" t="s">
        <v>29</v>
      </c>
      <c r="T286" t="s">
        <v>48</v>
      </c>
      <c r="U286" t="str">
        <f t="shared" si="12"/>
        <v>Normal</v>
      </c>
      <c r="V286" t="str">
        <f t="shared" si="13"/>
        <v>Normal</v>
      </c>
      <c r="W286" t="str">
        <f t="shared" si="14"/>
        <v>Normal</v>
      </c>
    </row>
    <row r="287" spans="1:23" x14ac:dyDescent="0.3">
      <c r="A287">
        <v>10705</v>
      </c>
      <c r="B287" s="2">
        <v>45711</v>
      </c>
      <c r="C287" t="s">
        <v>49</v>
      </c>
      <c r="D287" t="s">
        <v>32</v>
      </c>
      <c r="E287" t="s">
        <v>22</v>
      </c>
      <c r="F287" t="s">
        <v>41</v>
      </c>
      <c r="G287" t="s">
        <v>113</v>
      </c>
      <c r="H287" t="s">
        <v>287</v>
      </c>
      <c r="I287" t="s">
        <v>203</v>
      </c>
      <c r="J287">
        <v>1208</v>
      </c>
      <c r="K287">
        <v>10</v>
      </c>
      <c r="L287" t="s">
        <v>37</v>
      </c>
      <c r="M287">
        <v>87</v>
      </c>
      <c r="N287">
        <v>37</v>
      </c>
      <c r="O287">
        <v>78.400000000000006</v>
      </c>
      <c r="P287">
        <v>5.72</v>
      </c>
      <c r="Q287">
        <v>3.12</v>
      </c>
      <c r="R287" t="s">
        <v>72</v>
      </c>
      <c r="S287" t="s">
        <v>29</v>
      </c>
      <c r="T287" t="s">
        <v>30</v>
      </c>
      <c r="U287" t="str">
        <f t="shared" si="12"/>
        <v>Normal</v>
      </c>
      <c r="V287" t="str">
        <f t="shared" si="13"/>
        <v>Normal</v>
      </c>
      <c r="W287" t="str">
        <f t="shared" si="14"/>
        <v>Normal</v>
      </c>
    </row>
    <row r="288" spans="1:23" x14ac:dyDescent="0.3">
      <c r="A288">
        <v>10475</v>
      </c>
      <c r="B288" s="2">
        <v>45701</v>
      </c>
      <c r="C288" t="s">
        <v>49</v>
      </c>
      <c r="D288" t="s">
        <v>64</v>
      </c>
      <c r="E288" t="s">
        <v>33</v>
      </c>
      <c r="F288" t="s">
        <v>81</v>
      </c>
      <c r="G288" t="s">
        <v>89</v>
      </c>
      <c r="H288" t="s">
        <v>144</v>
      </c>
      <c r="I288" t="s">
        <v>276</v>
      </c>
      <c r="J288">
        <v>656</v>
      </c>
      <c r="K288">
        <v>4</v>
      </c>
      <c r="L288" t="s">
        <v>27</v>
      </c>
      <c r="M288">
        <v>139</v>
      </c>
      <c r="N288">
        <v>43.9</v>
      </c>
      <c r="O288">
        <v>78.400000000000006</v>
      </c>
      <c r="P288">
        <v>5.5</v>
      </c>
      <c r="Q288">
        <v>3.03</v>
      </c>
      <c r="R288" t="s">
        <v>122</v>
      </c>
      <c r="S288" t="s">
        <v>73</v>
      </c>
      <c r="T288" t="s">
        <v>30</v>
      </c>
      <c r="U288" t="str">
        <f t="shared" si="12"/>
        <v>Normal</v>
      </c>
      <c r="V288" t="str">
        <f t="shared" si="13"/>
        <v>Normal</v>
      </c>
      <c r="W288" t="str">
        <f t="shared" si="14"/>
        <v>Normal</v>
      </c>
    </row>
    <row r="289" spans="1:23" x14ac:dyDescent="0.3">
      <c r="A289">
        <v>11210</v>
      </c>
      <c r="B289" s="2">
        <v>45996</v>
      </c>
      <c r="C289" t="s">
        <v>31</v>
      </c>
      <c r="D289" t="s">
        <v>64</v>
      </c>
      <c r="E289" t="s">
        <v>40</v>
      </c>
      <c r="F289" t="s">
        <v>41</v>
      </c>
      <c r="G289" t="s">
        <v>95</v>
      </c>
      <c r="H289" t="s">
        <v>177</v>
      </c>
      <c r="I289" t="s">
        <v>295</v>
      </c>
      <c r="J289">
        <v>635</v>
      </c>
      <c r="K289">
        <v>5</v>
      </c>
      <c r="L289" t="s">
        <v>27</v>
      </c>
      <c r="M289">
        <v>141</v>
      </c>
      <c r="N289">
        <v>45.3</v>
      </c>
      <c r="O289">
        <v>78.3</v>
      </c>
      <c r="P289">
        <v>5.35</v>
      </c>
      <c r="Q289">
        <v>4.25</v>
      </c>
      <c r="R289" t="s">
        <v>240</v>
      </c>
      <c r="S289" t="s">
        <v>73</v>
      </c>
      <c r="T289" t="s">
        <v>30</v>
      </c>
      <c r="U289" t="str">
        <f t="shared" si="12"/>
        <v>Normal</v>
      </c>
      <c r="V289" t="str">
        <f t="shared" si="13"/>
        <v>Normal</v>
      </c>
      <c r="W289" t="str">
        <f t="shared" si="14"/>
        <v>Normal</v>
      </c>
    </row>
    <row r="290" spans="1:23" x14ac:dyDescent="0.3">
      <c r="A290">
        <v>10234</v>
      </c>
      <c r="B290" s="2">
        <v>45945</v>
      </c>
      <c r="C290" t="s">
        <v>31</v>
      </c>
      <c r="D290" t="s">
        <v>21</v>
      </c>
      <c r="E290" t="s">
        <v>22</v>
      </c>
      <c r="F290" t="s">
        <v>81</v>
      </c>
      <c r="G290" t="s">
        <v>54</v>
      </c>
      <c r="H290" t="s">
        <v>172</v>
      </c>
      <c r="I290" t="s">
        <v>158</v>
      </c>
      <c r="J290">
        <v>1159</v>
      </c>
      <c r="K290">
        <v>13</v>
      </c>
      <c r="L290" t="s">
        <v>57</v>
      </c>
      <c r="M290">
        <v>113</v>
      </c>
      <c r="N290">
        <v>44</v>
      </c>
      <c r="O290">
        <v>78.3</v>
      </c>
      <c r="P290">
        <v>4.3899999999999997</v>
      </c>
      <c r="Q290">
        <v>1.63</v>
      </c>
      <c r="R290" t="s">
        <v>242</v>
      </c>
      <c r="S290" t="s">
        <v>73</v>
      </c>
      <c r="T290" t="s">
        <v>30</v>
      </c>
      <c r="U290" t="str">
        <f t="shared" si="12"/>
        <v>Normal</v>
      </c>
      <c r="V290" t="str">
        <f t="shared" si="13"/>
        <v>Normal</v>
      </c>
      <c r="W290" t="str">
        <f t="shared" si="14"/>
        <v>Normal</v>
      </c>
    </row>
    <row r="291" spans="1:23" x14ac:dyDescent="0.3">
      <c r="A291">
        <v>10348</v>
      </c>
      <c r="B291" s="2">
        <v>45758</v>
      </c>
      <c r="C291" t="s">
        <v>20</v>
      </c>
      <c r="D291" t="s">
        <v>59</v>
      </c>
      <c r="E291" t="s">
        <v>33</v>
      </c>
      <c r="F291" t="s">
        <v>23</v>
      </c>
      <c r="G291" t="s">
        <v>95</v>
      </c>
      <c r="H291" t="s">
        <v>35</v>
      </c>
      <c r="I291" t="s">
        <v>375</v>
      </c>
      <c r="J291">
        <v>1267</v>
      </c>
      <c r="K291">
        <v>15</v>
      </c>
      <c r="L291" t="s">
        <v>45</v>
      </c>
      <c r="M291">
        <v>47</v>
      </c>
      <c r="N291">
        <v>29.1</v>
      </c>
      <c r="O291">
        <v>78.3</v>
      </c>
      <c r="P291">
        <v>5.25</v>
      </c>
      <c r="Q291">
        <v>4.7699999999999996</v>
      </c>
      <c r="R291" t="s">
        <v>202</v>
      </c>
      <c r="S291" t="s">
        <v>39</v>
      </c>
      <c r="T291" t="s">
        <v>30</v>
      </c>
      <c r="U291" t="str">
        <f t="shared" si="12"/>
        <v>Normal</v>
      </c>
      <c r="V291" t="str">
        <f t="shared" si="13"/>
        <v>Normal</v>
      </c>
      <c r="W291" t="str">
        <f t="shared" si="14"/>
        <v>Normal</v>
      </c>
    </row>
    <row r="292" spans="1:23" x14ac:dyDescent="0.3">
      <c r="A292">
        <v>10252</v>
      </c>
      <c r="B292" s="2">
        <v>46005</v>
      </c>
      <c r="C292" t="s">
        <v>31</v>
      </c>
      <c r="D292" t="s">
        <v>64</v>
      </c>
      <c r="E292" t="s">
        <v>40</v>
      </c>
      <c r="F292" t="s">
        <v>41</v>
      </c>
      <c r="G292" t="s">
        <v>34</v>
      </c>
      <c r="H292" t="s">
        <v>35</v>
      </c>
      <c r="I292" t="s">
        <v>307</v>
      </c>
      <c r="J292">
        <v>1336</v>
      </c>
      <c r="K292">
        <v>21</v>
      </c>
      <c r="L292" t="s">
        <v>68</v>
      </c>
      <c r="M292">
        <v>158</v>
      </c>
      <c r="N292">
        <v>44.1</v>
      </c>
      <c r="O292">
        <v>78.3</v>
      </c>
      <c r="P292">
        <v>6.77</v>
      </c>
      <c r="Q292">
        <v>2.2999999999999998</v>
      </c>
      <c r="R292" t="s">
        <v>174</v>
      </c>
      <c r="S292" t="s">
        <v>47</v>
      </c>
      <c r="T292" t="s">
        <v>30</v>
      </c>
      <c r="U292" t="str">
        <f t="shared" si="12"/>
        <v>Normal</v>
      </c>
      <c r="V292" t="str">
        <f t="shared" si="13"/>
        <v>Normal</v>
      </c>
      <c r="W292" t="str">
        <f t="shared" si="14"/>
        <v>Normal</v>
      </c>
    </row>
    <row r="293" spans="1:23" x14ac:dyDescent="0.3">
      <c r="A293">
        <v>10801</v>
      </c>
      <c r="B293" s="2">
        <v>45952</v>
      </c>
      <c r="C293" t="s">
        <v>20</v>
      </c>
      <c r="D293" t="s">
        <v>64</v>
      </c>
      <c r="E293" t="s">
        <v>22</v>
      </c>
      <c r="F293" t="s">
        <v>41</v>
      </c>
      <c r="G293" t="s">
        <v>42</v>
      </c>
      <c r="H293" t="s">
        <v>180</v>
      </c>
      <c r="I293" t="s">
        <v>343</v>
      </c>
      <c r="J293">
        <v>1328</v>
      </c>
      <c r="K293">
        <v>46</v>
      </c>
      <c r="L293" t="s">
        <v>424</v>
      </c>
      <c r="M293">
        <v>145</v>
      </c>
      <c r="N293">
        <v>37</v>
      </c>
      <c r="O293">
        <v>78.3</v>
      </c>
      <c r="P293">
        <v>5.77</v>
      </c>
      <c r="Q293">
        <v>3.65</v>
      </c>
      <c r="R293" t="s">
        <v>179</v>
      </c>
      <c r="S293" t="s">
        <v>73</v>
      </c>
      <c r="T293" t="s">
        <v>48</v>
      </c>
      <c r="U293" t="str">
        <f t="shared" si="12"/>
        <v>Normal</v>
      </c>
      <c r="V293" t="str">
        <f t="shared" si="13"/>
        <v>Normal</v>
      </c>
      <c r="W293" t="str">
        <f t="shared" si="14"/>
        <v>Normal</v>
      </c>
    </row>
    <row r="294" spans="1:23" x14ac:dyDescent="0.3">
      <c r="A294">
        <v>11246</v>
      </c>
      <c r="B294" s="2">
        <v>45763</v>
      </c>
      <c r="C294" t="s">
        <v>49</v>
      </c>
      <c r="D294" t="s">
        <v>59</v>
      </c>
      <c r="E294" t="s">
        <v>107</v>
      </c>
      <c r="F294" t="s">
        <v>23</v>
      </c>
      <c r="G294" t="s">
        <v>89</v>
      </c>
      <c r="H294" t="s">
        <v>175</v>
      </c>
      <c r="I294" t="s">
        <v>335</v>
      </c>
      <c r="J294">
        <v>470</v>
      </c>
      <c r="K294">
        <v>4</v>
      </c>
      <c r="L294" t="s">
        <v>27</v>
      </c>
      <c r="M294">
        <v>65</v>
      </c>
      <c r="N294">
        <v>39.9</v>
      </c>
      <c r="O294">
        <v>78.2</v>
      </c>
      <c r="P294">
        <v>5.58</v>
      </c>
      <c r="Q294">
        <v>3.66</v>
      </c>
      <c r="R294" t="s">
        <v>232</v>
      </c>
      <c r="S294" t="s">
        <v>47</v>
      </c>
      <c r="T294" t="s">
        <v>30</v>
      </c>
      <c r="U294" t="str">
        <f t="shared" si="12"/>
        <v>Normal</v>
      </c>
      <c r="V294" t="str">
        <f t="shared" si="13"/>
        <v>Normal</v>
      </c>
      <c r="W294" t="str">
        <f t="shared" si="14"/>
        <v>Normal</v>
      </c>
    </row>
    <row r="295" spans="1:23" x14ac:dyDescent="0.3">
      <c r="A295">
        <v>10586</v>
      </c>
      <c r="B295" s="2">
        <v>45777</v>
      </c>
      <c r="C295" t="s">
        <v>49</v>
      </c>
      <c r="D295" t="s">
        <v>64</v>
      </c>
      <c r="E295" t="s">
        <v>40</v>
      </c>
      <c r="F295" t="s">
        <v>81</v>
      </c>
      <c r="G295" t="s">
        <v>42</v>
      </c>
      <c r="H295" t="s">
        <v>265</v>
      </c>
      <c r="I295" t="s">
        <v>282</v>
      </c>
      <c r="J295">
        <v>545</v>
      </c>
      <c r="K295">
        <v>4</v>
      </c>
      <c r="L295" t="s">
        <v>45</v>
      </c>
      <c r="M295">
        <v>113</v>
      </c>
      <c r="N295">
        <v>39.5</v>
      </c>
      <c r="O295">
        <v>78.2</v>
      </c>
      <c r="P295">
        <v>4.3899999999999997</v>
      </c>
      <c r="Q295">
        <v>1.78</v>
      </c>
      <c r="R295" t="s">
        <v>167</v>
      </c>
      <c r="S295" t="s">
        <v>29</v>
      </c>
      <c r="T295" t="s">
        <v>30</v>
      </c>
      <c r="U295" t="str">
        <f t="shared" si="12"/>
        <v>Normal</v>
      </c>
      <c r="V295" t="str">
        <f t="shared" si="13"/>
        <v>Normal</v>
      </c>
      <c r="W295" t="str">
        <f t="shared" si="14"/>
        <v>Normal</v>
      </c>
    </row>
    <row r="296" spans="1:23" x14ac:dyDescent="0.3">
      <c r="A296">
        <v>10833</v>
      </c>
      <c r="B296" s="2">
        <v>45698</v>
      </c>
      <c r="C296" t="s">
        <v>49</v>
      </c>
      <c r="D296" t="s">
        <v>32</v>
      </c>
      <c r="E296" t="s">
        <v>33</v>
      </c>
      <c r="F296" t="s">
        <v>41</v>
      </c>
      <c r="G296" t="s">
        <v>109</v>
      </c>
      <c r="H296" t="s">
        <v>82</v>
      </c>
      <c r="I296" t="s">
        <v>139</v>
      </c>
      <c r="J296">
        <v>644</v>
      </c>
      <c r="K296">
        <v>16</v>
      </c>
      <c r="L296" t="s">
        <v>37</v>
      </c>
      <c r="M296">
        <v>96</v>
      </c>
      <c r="N296">
        <v>38.6</v>
      </c>
      <c r="O296">
        <v>78.2</v>
      </c>
      <c r="P296">
        <v>4.3899999999999997</v>
      </c>
      <c r="Q296">
        <v>3.02</v>
      </c>
      <c r="R296" t="s">
        <v>167</v>
      </c>
      <c r="S296" t="s">
        <v>29</v>
      </c>
      <c r="T296" t="s">
        <v>30</v>
      </c>
      <c r="U296" t="str">
        <f t="shared" si="12"/>
        <v>Normal</v>
      </c>
      <c r="V296" t="str">
        <f t="shared" si="13"/>
        <v>Normal</v>
      </c>
      <c r="W296" t="str">
        <f t="shared" si="14"/>
        <v>Normal</v>
      </c>
    </row>
    <row r="297" spans="1:23" x14ac:dyDescent="0.3">
      <c r="A297">
        <v>10521</v>
      </c>
      <c r="B297" s="2">
        <v>45785</v>
      </c>
      <c r="C297" t="s">
        <v>31</v>
      </c>
      <c r="D297" t="s">
        <v>32</v>
      </c>
      <c r="E297" t="s">
        <v>107</v>
      </c>
      <c r="F297" t="s">
        <v>23</v>
      </c>
      <c r="G297" t="s">
        <v>60</v>
      </c>
      <c r="H297" t="s">
        <v>82</v>
      </c>
      <c r="I297" t="s">
        <v>283</v>
      </c>
      <c r="J297">
        <v>809</v>
      </c>
      <c r="K297">
        <v>3</v>
      </c>
      <c r="L297" t="s">
        <v>45</v>
      </c>
      <c r="M297">
        <v>158</v>
      </c>
      <c r="N297">
        <v>49.9</v>
      </c>
      <c r="O297">
        <v>78.2</v>
      </c>
      <c r="P297">
        <v>4.13</v>
      </c>
      <c r="Q297">
        <v>3.76</v>
      </c>
      <c r="R297" t="s">
        <v>77</v>
      </c>
      <c r="S297" t="s">
        <v>29</v>
      </c>
      <c r="T297" t="s">
        <v>30</v>
      </c>
      <c r="U297" t="str">
        <f t="shared" si="12"/>
        <v>Normal</v>
      </c>
      <c r="V297" t="str">
        <f t="shared" si="13"/>
        <v>Normal</v>
      </c>
      <c r="W297" t="str">
        <f t="shared" si="14"/>
        <v>Normal</v>
      </c>
    </row>
    <row r="298" spans="1:23" x14ac:dyDescent="0.3">
      <c r="A298">
        <v>11349</v>
      </c>
      <c r="B298" s="2">
        <v>45836</v>
      </c>
      <c r="C298" t="s">
        <v>20</v>
      </c>
      <c r="D298" t="s">
        <v>32</v>
      </c>
      <c r="E298" t="s">
        <v>22</v>
      </c>
      <c r="F298" t="s">
        <v>41</v>
      </c>
      <c r="G298" t="s">
        <v>60</v>
      </c>
      <c r="H298" t="s">
        <v>93</v>
      </c>
      <c r="I298" t="s">
        <v>104</v>
      </c>
      <c r="J298">
        <v>673</v>
      </c>
      <c r="K298">
        <v>35</v>
      </c>
      <c r="L298" t="s">
        <v>27</v>
      </c>
      <c r="M298">
        <v>7</v>
      </c>
      <c r="N298">
        <v>35</v>
      </c>
      <c r="O298">
        <v>78.099999999999994</v>
      </c>
      <c r="P298">
        <v>5.55</v>
      </c>
      <c r="Q298">
        <v>2.41</v>
      </c>
      <c r="R298" t="s">
        <v>105</v>
      </c>
      <c r="S298" t="s">
        <v>29</v>
      </c>
      <c r="T298" t="s">
        <v>48</v>
      </c>
      <c r="U298" t="str">
        <f t="shared" si="12"/>
        <v>Normal</v>
      </c>
      <c r="V298" t="str">
        <f t="shared" si="13"/>
        <v>Normal</v>
      </c>
      <c r="W298" t="str">
        <f t="shared" si="14"/>
        <v>Normal</v>
      </c>
    </row>
    <row r="299" spans="1:23" x14ac:dyDescent="0.3">
      <c r="A299">
        <v>11164</v>
      </c>
      <c r="B299" s="2">
        <v>45853</v>
      </c>
      <c r="C299" t="s">
        <v>49</v>
      </c>
      <c r="D299" t="s">
        <v>32</v>
      </c>
      <c r="E299" t="s">
        <v>33</v>
      </c>
      <c r="F299" t="s">
        <v>23</v>
      </c>
      <c r="G299" t="s">
        <v>95</v>
      </c>
      <c r="H299" t="s">
        <v>96</v>
      </c>
      <c r="I299" t="s">
        <v>295</v>
      </c>
      <c r="J299">
        <v>1225</v>
      </c>
      <c r="K299">
        <v>7</v>
      </c>
      <c r="L299" t="s">
        <v>57</v>
      </c>
      <c r="M299">
        <v>154</v>
      </c>
      <c r="N299">
        <v>36.4</v>
      </c>
      <c r="O299">
        <v>78.099999999999994</v>
      </c>
      <c r="P299">
        <v>5.2</v>
      </c>
      <c r="Q299">
        <v>3.19</v>
      </c>
      <c r="R299" t="s">
        <v>143</v>
      </c>
      <c r="S299" t="s">
        <v>39</v>
      </c>
      <c r="T299" t="s">
        <v>30</v>
      </c>
      <c r="U299" t="str">
        <f t="shared" si="12"/>
        <v>Normal</v>
      </c>
      <c r="V299" t="str">
        <f t="shared" si="13"/>
        <v>Normal</v>
      </c>
      <c r="W299" t="str">
        <f t="shared" si="14"/>
        <v>Normal</v>
      </c>
    </row>
    <row r="300" spans="1:23" x14ac:dyDescent="0.3">
      <c r="A300">
        <v>10308</v>
      </c>
      <c r="B300" s="2">
        <v>46012</v>
      </c>
      <c r="C300" t="s">
        <v>20</v>
      </c>
      <c r="D300" t="s">
        <v>64</v>
      </c>
      <c r="E300" t="s">
        <v>33</v>
      </c>
      <c r="F300" t="s">
        <v>23</v>
      </c>
      <c r="G300" t="s">
        <v>34</v>
      </c>
      <c r="H300" t="s">
        <v>252</v>
      </c>
      <c r="I300" t="s">
        <v>166</v>
      </c>
      <c r="J300">
        <v>910</v>
      </c>
      <c r="K300">
        <v>12</v>
      </c>
      <c r="L300" t="s">
        <v>45</v>
      </c>
      <c r="M300">
        <v>96</v>
      </c>
      <c r="N300">
        <v>49.3</v>
      </c>
      <c r="O300">
        <v>78.099999999999994</v>
      </c>
      <c r="P300">
        <v>5.95</v>
      </c>
      <c r="Q300">
        <v>2.15</v>
      </c>
      <c r="R300" t="s">
        <v>130</v>
      </c>
      <c r="S300" t="s">
        <v>47</v>
      </c>
      <c r="T300" t="s">
        <v>30</v>
      </c>
      <c r="U300" t="str">
        <f t="shared" si="12"/>
        <v>Normal</v>
      </c>
      <c r="V300" t="str">
        <f t="shared" si="13"/>
        <v>Normal</v>
      </c>
      <c r="W300" t="str">
        <f t="shared" si="14"/>
        <v>Normal</v>
      </c>
    </row>
    <row r="301" spans="1:23" x14ac:dyDescent="0.3">
      <c r="A301">
        <v>10945</v>
      </c>
      <c r="B301" s="2">
        <v>45993</v>
      </c>
      <c r="C301" t="s">
        <v>49</v>
      </c>
      <c r="D301" t="s">
        <v>21</v>
      </c>
      <c r="E301" t="s">
        <v>40</v>
      </c>
      <c r="F301" t="s">
        <v>41</v>
      </c>
      <c r="G301" t="s">
        <v>34</v>
      </c>
      <c r="H301" t="s">
        <v>177</v>
      </c>
      <c r="I301" t="s">
        <v>338</v>
      </c>
      <c r="J301">
        <v>534</v>
      </c>
      <c r="K301">
        <v>7</v>
      </c>
      <c r="L301" t="s">
        <v>68</v>
      </c>
      <c r="M301">
        <v>111</v>
      </c>
      <c r="N301">
        <v>45.5</v>
      </c>
      <c r="O301">
        <v>78.099999999999994</v>
      </c>
      <c r="P301">
        <v>5.4</v>
      </c>
      <c r="Q301">
        <v>1.68</v>
      </c>
      <c r="R301" t="s">
        <v>159</v>
      </c>
      <c r="S301" t="s">
        <v>39</v>
      </c>
      <c r="T301" t="s">
        <v>30</v>
      </c>
      <c r="U301" t="str">
        <f t="shared" si="12"/>
        <v>Normal</v>
      </c>
      <c r="V301" t="str">
        <f t="shared" si="13"/>
        <v>Normal</v>
      </c>
      <c r="W301" t="str">
        <f t="shared" si="14"/>
        <v>Normal</v>
      </c>
    </row>
    <row r="302" spans="1:23" x14ac:dyDescent="0.3">
      <c r="A302">
        <v>10092</v>
      </c>
      <c r="B302" s="2">
        <v>45802</v>
      </c>
      <c r="C302" t="s">
        <v>31</v>
      </c>
      <c r="D302" t="s">
        <v>21</v>
      </c>
      <c r="E302" t="s">
        <v>33</v>
      </c>
      <c r="F302" t="s">
        <v>23</v>
      </c>
      <c r="G302" t="s">
        <v>54</v>
      </c>
      <c r="H302" t="s">
        <v>205</v>
      </c>
      <c r="I302" t="s">
        <v>110</v>
      </c>
      <c r="J302">
        <v>736</v>
      </c>
      <c r="K302">
        <v>9</v>
      </c>
      <c r="L302" t="s">
        <v>68</v>
      </c>
      <c r="M302">
        <v>9</v>
      </c>
      <c r="N302">
        <v>48.1</v>
      </c>
      <c r="O302">
        <v>78.099999999999994</v>
      </c>
      <c r="P302">
        <v>5.82</v>
      </c>
      <c r="Q302">
        <v>1.53</v>
      </c>
      <c r="R302" t="s">
        <v>164</v>
      </c>
      <c r="S302" t="s">
        <v>29</v>
      </c>
      <c r="T302" t="s">
        <v>30</v>
      </c>
      <c r="U302" t="str">
        <f t="shared" si="12"/>
        <v>Normal</v>
      </c>
      <c r="V302" t="str">
        <f t="shared" si="13"/>
        <v>Normal</v>
      </c>
      <c r="W302" t="str">
        <f t="shared" si="14"/>
        <v>Normal</v>
      </c>
    </row>
    <row r="303" spans="1:23" x14ac:dyDescent="0.3">
      <c r="A303">
        <v>10727</v>
      </c>
      <c r="B303" s="2">
        <v>45734</v>
      </c>
      <c r="C303" t="s">
        <v>31</v>
      </c>
      <c r="D303" t="s">
        <v>64</v>
      </c>
      <c r="E303" t="s">
        <v>107</v>
      </c>
      <c r="F303" t="s">
        <v>23</v>
      </c>
      <c r="G303" t="s">
        <v>109</v>
      </c>
      <c r="H303" t="s">
        <v>169</v>
      </c>
      <c r="I303" t="s">
        <v>279</v>
      </c>
      <c r="J303">
        <v>1370</v>
      </c>
      <c r="K303">
        <v>16</v>
      </c>
      <c r="L303" t="s">
        <v>68</v>
      </c>
      <c r="M303">
        <v>139</v>
      </c>
      <c r="N303">
        <v>39.9</v>
      </c>
      <c r="O303">
        <v>78.099999999999994</v>
      </c>
      <c r="P303">
        <v>4.8600000000000003</v>
      </c>
      <c r="Q303">
        <v>1.1499999999999999</v>
      </c>
      <c r="R303" t="s">
        <v>46</v>
      </c>
      <c r="S303" t="s">
        <v>29</v>
      </c>
      <c r="T303" t="s">
        <v>30</v>
      </c>
      <c r="U303" t="str">
        <f t="shared" si="12"/>
        <v>Normal</v>
      </c>
      <c r="V303" t="str">
        <f t="shared" si="13"/>
        <v>Normal</v>
      </c>
      <c r="W303" t="str">
        <f t="shared" si="14"/>
        <v>Normal</v>
      </c>
    </row>
    <row r="304" spans="1:23" x14ac:dyDescent="0.3">
      <c r="A304">
        <v>10473</v>
      </c>
      <c r="B304" s="2">
        <v>45791</v>
      </c>
      <c r="C304" t="s">
        <v>31</v>
      </c>
      <c r="D304" t="s">
        <v>64</v>
      </c>
      <c r="E304" t="s">
        <v>22</v>
      </c>
      <c r="F304" t="s">
        <v>23</v>
      </c>
      <c r="G304" t="s">
        <v>54</v>
      </c>
      <c r="H304" t="s">
        <v>165</v>
      </c>
      <c r="I304" t="s">
        <v>204</v>
      </c>
      <c r="J304">
        <v>887</v>
      </c>
      <c r="K304">
        <v>13</v>
      </c>
      <c r="L304" t="s">
        <v>68</v>
      </c>
      <c r="M304">
        <v>133</v>
      </c>
      <c r="N304">
        <v>47.1</v>
      </c>
      <c r="O304">
        <v>78.099999999999994</v>
      </c>
      <c r="P304">
        <v>4.46</v>
      </c>
      <c r="Q304">
        <v>2.25</v>
      </c>
      <c r="R304" t="s">
        <v>232</v>
      </c>
      <c r="S304" t="s">
        <v>39</v>
      </c>
      <c r="T304" t="s">
        <v>30</v>
      </c>
      <c r="U304" t="str">
        <f t="shared" si="12"/>
        <v>Normal</v>
      </c>
      <c r="V304" t="str">
        <f t="shared" si="13"/>
        <v>Normal</v>
      </c>
      <c r="W304" t="str">
        <f t="shared" si="14"/>
        <v>Normal</v>
      </c>
    </row>
    <row r="305" spans="1:23" x14ac:dyDescent="0.3">
      <c r="A305">
        <v>10745</v>
      </c>
      <c r="B305" s="2">
        <v>45850</v>
      </c>
      <c r="C305" t="s">
        <v>49</v>
      </c>
      <c r="D305" t="s">
        <v>59</v>
      </c>
      <c r="E305" t="s">
        <v>33</v>
      </c>
      <c r="F305" t="s">
        <v>81</v>
      </c>
      <c r="G305" t="s">
        <v>95</v>
      </c>
      <c r="H305" t="s">
        <v>93</v>
      </c>
      <c r="I305" t="s">
        <v>318</v>
      </c>
      <c r="J305">
        <v>1350</v>
      </c>
      <c r="K305">
        <v>17</v>
      </c>
      <c r="L305" t="s">
        <v>71</v>
      </c>
      <c r="M305">
        <v>129</v>
      </c>
      <c r="N305">
        <v>40.5</v>
      </c>
      <c r="O305">
        <v>78</v>
      </c>
      <c r="P305">
        <v>4.8099999999999996</v>
      </c>
      <c r="Q305">
        <v>3.78</v>
      </c>
      <c r="R305" t="s">
        <v>179</v>
      </c>
      <c r="S305" t="s">
        <v>73</v>
      </c>
      <c r="T305" t="s">
        <v>30</v>
      </c>
      <c r="U305" t="str">
        <f t="shared" si="12"/>
        <v>Normal</v>
      </c>
      <c r="V305" t="str">
        <f t="shared" si="13"/>
        <v>Normal</v>
      </c>
      <c r="W305" t="str">
        <f t="shared" si="14"/>
        <v>Normal</v>
      </c>
    </row>
    <row r="306" spans="1:23" x14ac:dyDescent="0.3">
      <c r="A306">
        <v>11472</v>
      </c>
      <c r="B306" s="2">
        <v>45848</v>
      </c>
      <c r="C306" t="s">
        <v>31</v>
      </c>
      <c r="D306" t="s">
        <v>21</v>
      </c>
      <c r="E306" t="s">
        <v>33</v>
      </c>
      <c r="F306" t="s">
        <v>23</v>
      </c>
      <c r="G306" t="s">
        <v>42</v>
      </c>
      <c r="H306" t="s">
        <v>101</v>
      </c>
      <c r="I306" t="s">
        <v>236</v>
      </c>
      <c r="J306">
        <v>531</v>
      </c>
      <c r="K306">
        <v>2</v>
      </c>
      <c r="L306" t="s">
        <v>71</v>
      </c>
      <c r="M306">
        <v>110</v>
      </c>
      <c r="N306">
        <v>49</v>
      </c>
      <c r="O306">
        <v>78</v>
      </c>
      <c r="P306">
        <v>6.5</v>
      </c>
      <c r="Q306">
        <v>1.63</v>
      </c>
      <c r="R306" t="s">
        <v>174</v>
      </c>
      <c r="S306" t="s">
        <v>29</v>
      </c>
      <c r="T306" t="s">
        <v>30</v>
      </c>
      <c r="U306" t="str">
        <f t="shared" si="12"/>
        <v>Normal</v>
      </c>
      <c r="V306" t="str">
        <f t="shared" si="13"/>
        <v>Normal</v>
      </c>
      <c r="W306" t="str">
        <f t="shared" si="14"/>
        <v>Normal</v>
      </c>
    </row>
    <row r="307" spans="1:23" x14ac:dyDescent="0.3">
      <c r="A307">
        <v>10940</v>
      </c>
      <c r="B307" s="2">
        <v>45955</v>
      </c>
      <c r="C307" t="s">
        <v>31</v>
      </c>
      <c r="D307" t="s">
        <v>32</v>
      </c>
      <c r="E307" t="s">
        <v>33</v>
      </c>
      <c r="F307" t="s">
        <v>41</v>
      </c>
      <c r="G307" t="s">
        <v>50</v>
      </c>
      <c r="H307" t="s">
        <v>69</v>
      </c>
      <c r="I307" t="s">
        <v>355</v>
      </c>
      <c r="J307">
        <v>1582</v>
      </c>
      <c r="K307">
        <v>16</v>
      </c>
      <c r="L307" t="s">
        <v>27</v>
      </c>
      <c r="M307">
        <v>51</v>
      </c>
      <c r="N307">
        <v>37.700000000000003</v>
      </c>
      <c r="O307">
        <v>78</v>
      </c>
      <c r="P307">
        <v>6.29</v>
      </c>
      <c r="Q307">
        <v>2.02</v>
      </c>
      <c r="R307" t="s">
        <v>174</v>
      </c>
      <c r="S307" t="s">
        <v>39</v>
      </c>
      <c r="T307" t="s">
        <v>30</v>
      </c>
      <c r="U307" t="str">
        <f t="shared" si="12"/>
        <v>Normal</v>
      </c>
      <c r="V307" t="str">
        <f t="shared" si="13"/>
        <v>Normal</v>
      </c>
      <c r="W307" t="str">
        <f t="shared" si="14"/>
        <v>Normal</v>
      </c>
    </row>
    <row r="308" spans="1:23" x14ac:dyDescent="0.3">
      <c r="A308">
        <v>10845</v>
      </c>
      <c r="B308" s="2">
        <v>45914</v>
      </c>
      <c r="C308" t="s">
        <v>49</v>
      </c>
      <c r="D308" t="s">
        <v>64</v>
      </c>
      <c r="E308" t="s">
        <v>33</v>
      </c>
      <c r="F308" t="s">
        <v>23</v>
      </c>
      <c r="G308" t="s">
        <v>134</v>
      </c>
      <c r="H308" t="s">
        <v>131</v>
      </c>
      <c r="I308" t="s">
        <v>261</v>
      </c>
      <c r="J308">
        <v>1124</v>
      </c>
      <c r="K308">
        <v>9</v>
      </c>
      <c r="L308" t="s">
        <v>37</v>
      </c>
      <c r="M308">
        <v>22</v>
      </c>
      <c r="N308">
        <v>46.4</v>
      </c>
      <c r="O308">
        <v>78</v>
      </c>
      <c r="P308">
        <v>5.0999999999999996</v>
      </c>
      <c r="Q308">
        <v>4.92</v>
      </c>
      <c r="R308" t="s">
        <v>111</v>
      </c>
      <c r="S308" t="s">
        <v>73</v>
      </c>
      <c r="T308" t="s">
        <v>30</v>
      </c>
      <c r="U308" t="str">
        <f t="shared" si="12"/>
        <v>Normal</v>
      </c>
      <c r="V308" t="str">
        <f t="shared" si="13"/>
        <v>Normal</v>
      </c>
      <c r="W308" t="str">
        <f t="shared" si="14"/>
        <v>Normal</v>
      </c>
    </row>
    <row r="309" spans="1:23" x14ac:dyDescent="0.3">
      <c r="A309">
        <v>10285</v>
      </c>
      <c r="B309" s="2">
        <v>45667</v>
      </c>
      <c r="C309" t="s">
        <v>20</v>
      </c>
      <c r="D309" t="s">
        <v>21</v>
      </c>
      <c r="E309" t="s">
        <v>107</v>
      </c>
      <c r="F309" t="s">
        <v>23</v>
      </c>
      <c r="G309" t="s">
        <v>60</v>
      </c>
      <c r="H309" t="s">
        <v>265</v>
      </c>
      <c r="I309" t="s">
        <v>334</v>
      </c>
      <c r="J309">
        <v>1344</v>
      </c>
      <c r="K309">
        <v>7</v>
      </c>
      <c r="L309" t="s">
        <v>68</v>
      </c>
      <c r="M309">
        <v>90</v>
      </c>
      <c r="N309">
        <v>28.2</v>
      </c>
      <c r="O309">
        <v>78</v>
      </c>
      <c r="P309">
        <v>3.55</v>
      </c>
      <c r="Q309">
        <v>2.83</v>
      </c>
      <c r="R309" t="s">
        <v>84</v>
      </c>
      <c r="S309" t="s">
        <v>29</v>
      </c>
      <c r="T309" t="s">
        <v>30</v>
      </c>
      <c r="U309" t="str">
        <f t="shared" si="12"/>
        <v>Normal</v>
      </c>
      <c r="V309" t="str">
        <f t="shared" si="13"/>
        <v>Normal</v>
      </c>
      <c r="W309" t="str">
        <f t="shared" si="14"/>
        <v>Normal</v>
      </c>
    </row>
    <row r="310" spans="1:23" x14ac:dyDescent="0.3">
      <c r="A310">
        <v>10541</v>
      </c>
      <c r="B310" s="2">
        <v>45721</v>
      </c>
      <c r="C310" t="s">
        <v>20</v>
      </c>
      <c r="D310" t="s">
        <v>59</v>
      </c>
      <c r="E310" t="s">
        <v>40</v>
      </c>
      <c r="F310" t="s">
        <v>23</v>
      </c>
      <c r="G310" t="s">
        <v>50</v>
      </c>
      <c r="H310" t="s">
        <v>101</v>
      </c>
      <c r="I310" t="s">
        <v>373</v>
      </c>
      <c r="J310">
        <v>1236</v>
      </c>
      <c r="K310">
        <v>12</v>
      </c>
      <c r="L310" t="s">
        <v>71</v>
      </c>
      <c r="M310">
        <v>7</v>
      </c>
      <c r="N310">
        <v>43.3</v>
      </c>
      <c r="O310">
        <v>78</v>
      </c>
      <c r="P310">
        <v>5.66</v>
      </c>
      <c r="Q310">
        <v>3.46</v>
      </c>
      <c r="R310" t="s">
        <v>119</v>
      </c>
      <c r="S310" t="s">
        <v>73</v>
      </c>
      <c r="T310" t="s">
        <v>30</v>
      </c>
      <c r="U310" t="str">
        <f t="shared" si="12"/>
        <v>Normal</v>
      </c>
      <c r="V310" t="str">
        <f t="shared" si="13"/>
        <v>Normal</v>
      </c>
      <c r="W310" t="str">
        <f t="shared" si="14"/>
        <v>Normal</v>
      </c>
    </row>
    <row r="311" spans="1:23" x14ac:dyDescent="0.3">
      <c r="A311">
        <v>11242</v>
      </c>
      <c r="B311" s="2">
        <v>45943</v>
      </c>
      <c r="C311" t="s">
        <v>31</v>
      </c>
      <c r="D311" t="s">
        <v>32</v>
      </c>
      <c r="E311" t="s">
        <v>107</v>
      </c>
      <c r="F311" t="s">
        <v>41</v>
      </c>
      <c r="G311" t="s">
        <v>109</v>
      </c>
      <c r="H311" t="s">
        <v>196</v>
      </c>
      <c r="I311" t="s">
        <v>331</v>
      </c>
      <c r="J311">
        <v>1047</v>
      </c>
      <c r="K311">
        <v>13</v>
      </c>
      <c r="L311" t="s">
        <v>45</v>
      </c>
      <c r="M311">
        <v>105</v>
      </c>
      <c r="N311">
        <v>41.3</v>
      </c>
      <c r="O311">
        <v>78</v>
      </c>
      <c r="P311">
        <v>5.31</v>
      </c>
      <c r="Q311">
        <v>2.74</v>
      </c>
      <c r="R311" t="s">
        <v>84</v>
      </c>
      <c r="S311" t="s">
        <v>73</v>
      </c>
      <c r="T311" t="s">
        <v>30</v>
      </c>
      <c r="U311" t="str">
        <f t="shared" si="12"/>
        <v>Normal</v>
      </c>
      <c r="V311" t="str">
        <f t="shared" si="13"/>
        <v>Normal</v>
      </c>
      <c r="W311" t="str">
        <f t="shared" si="14"/>
        <v>Normal</v>
      </c>
    </row>
    <row r="312" spans="1:23" x14ac:dyDescent="0.3">
      <c r="A312">
        <v>10977</v>
      </c>
      <c r="B312" s="2">
        <v>45699</v>
      </c>
      <c r="C312" t="s">
        <v>49</v>
      </c>
      <c r="D312" t="s">
        <v>32</v>
      </c>
      <c r="E312" t="s">
        <v>22</v>
      </c>
      <c r="F312" t="s">
        <v>41</v>
      </c>
      <c r="G312" t="s">
        <v>34</v>
      </c>
      <c r="H312" t="s">
        <v>169</v>
      </c>
      <c r="I312" t="s">
        <v>270</v>
      </c>
      <c r="J312">
        <v>1367</v>
      </c>
      <c r="K312">
        <v>9</v>
      </c>
      <c r="L312" t="s">
        <v>45</v>
      </c>
      <c r="M312">
        <v>11</v>
      </c>
      <c r="N312">
        <v>37.1</v>
      </c>
      <c r="O312">
        <v>77.900000000000006</v>
      </c>
      <c r="P312">
        <v>5.65</v>
      </c>
      <c r="Q312">
        <v>3.23</v>
      </c>
      <c r="R312" t="s">
        <v>105</v>
      </c>
      <c r="S312" t="s">
        <v>47</v>
      </c>
      <c r="T312" t="s">
        <v>30</v>
      </c>
      <c r="U312" t="str">
        <f t="shared" si="12"/>
        <v>Normal</v>
      </c>
      <c r="V312" t="str">
        <f t="shared" si="13"/>
        <v>Normal</v>
      </c>
      <c r="W312" t="str">
        <f t="shared" si="14"/>
        <v>Normal</v>
      </c>
    </row>
    <row r="313" spans="1:23" x14ac:dyDescent="0.3">
      <c r="A313">
        <v>11139</v>
      </c>
      <c r="B313" s="2">
        <v>45975</v>
      </c>
      <c r="C313" t="s">
        <v>49</v>
      </c>
      <c r="D313" t="s">
        <v>21</v>
      </c>
      <c r="E313" t="s">
        <v>107</v>
      </c>
      <c r="F313" t="s">
        <v>81</v>
      </c>
      <c r="G313" t="s">
        <v>113</v>
      </c>
      <c r="H313" t="s">
        <v>114</v>
      </c>
      <c r="I313" t="s">
        <v>83</v>
      </c>
      <c r="J313">
        <v>774</v>
      </c>
      <c r="K313">
        <v>5</v>
      </c>
      <c r="L313" t="s">
        <v>37</v>
      </c>
      <c r="M313">
        <v>39</v>
      </c>
      <c r="N313">
        <v>43.8</v>
      </c>
      <c r="O313">
        <v>77.900000000000006</v>
      </c>
      <c r="P313">
        <v>4.63</v>
      </c>
      <c r="Q313">
        <v>2.04</v>
      </c>
      <c r="R313" t="s">
        <v>140</v>
      </c>
      <c r="S313" t="s">
        <v>73</v>
      </c>
      <c r="T313" t="s">
        <v>30</v>
      </c>
      <c r="U313" t="str">
        <f t="shared" si="12"/>
        <v>Normal</v>
      </c>
      <c r="V313" t="str">
        <f t="shared" si="13"/>
        <v>Normal</v>
      </c>
      <c r="W313" t="str">
        <f t="shared" si="14"/>
        <v>Normal</v>
      </c>
    </row>
    <row r="314" spans="1:23" x14ac:dyDescent="0.3">
      <c r="A314">
        <v>10006</v>
      </c>
      <c r="B314" s="2">
        <v>45836</v>
      </c>
      <c r="C314" t="s">
        <v>31</v>
      </c>
      <c r="D314" t="s">
        <v>21</v>
      </c>
      <c r="E314" t="s">
        <v>40</v>
      </c>
      <c r="F314" t="s">
        <v>41</v>
      </c>
      <c r="G314" t="s">
        <v>34</v>
      </c>
      <c r="H314" t="s">
        <v>55</v>
      </c>
      <c r="I314" t="s">
        <v>181</v>
      </c>
      <c r="J314">
        <v>1216</v>
      </c>
      <c r="K314">
        <v>6</v>
      </c>
      <c r="L314" t="s">
        <v>68</v>
      </c>
      <c r="M314">
        <v>147</v>
      </c>
      <c r="N314">
        <v>36.5</v>
      </c>
      <c r="O314">
        <v>77.900000000000006</v>
      </c>
      <c r="P314">
        <v>5.03</v>
      </c>
      <c r="Q314">
        <v>2.33</v>
      </c>
      <c r="R314" t="s">
        <v>58</v>
      </c>
      <c r="S314" t="s">
        <v>47</v>
      </c>
      <c r="T314" t="s">
        <v>30</v>
      </c>
      <c r="U314" t="str">
        <f t="shared" si="12"/>
        <v>Normal</v>
      </c>
      <c r="V314" t="str">
        <f t="shared" si="13"/>
        <v>Normal</v>
      </c>
      <c r="W314" t="str">
        <f t="shared" si="14"/>
        <v>Normal</v>
      </c>
    </row>
    <row r="315" spans="1:23" x14ac:dyDescent="0.3">
      <c r="A315">
        <v>10843</v>
      </c>
      <c r="B315" s="2">
        <v>45896</v>
      </c>
      <c r="C315" t="s">
        <v>49</v>
      </c>
      <c r="D315" t="s">
        <v>59</v>
      </c>
      <c r="E315" t="s">
        <v>107</v>
      </c>
      <c r="F315" t="s">
        <v>41</v>
      </c>
      <c r="G315" t="s">
        <v>113</v>
      </c>
      <c r="H315" t="s">
        <v>131</v>
      </c>
      <c r="I315" t="s">
        <v>154</v>
      </c>
      <c r="J315">
        <v>1017</v>
      </c>
      <c r="K315">
        <v>13</v>
      </c>
      <c r="L315" t="s">
        <v>45</v>
      </c>
      <c r="M315">
        <v>73</v>
      </c>
      <c r="N315">
        <v>43.3</v>
      </c>
      <c r="O315">
        <v>77.900000000000006</v>
      </c>
      <c r="P315">
        <v>4.83</v>
      </c>
      <c r="Q315">
        <v>4.13</v>
      </c>
      <c r="R315" t="s">
        <v>119</v>
      </c>
      <c r="S315" t="s">
        <v>39</v>
      </c>
      <c r="T315" t="s">
        <v>30</v>
      </c>
      <c r="U315" t="str">
        <f t="shared" si="12"/>
        <v>Normal</v>
      </c>
      <c r="V315" t="str">
        <f t="shared" si="13"/>
        <v>Normal</v>
      </c>
      <c r="W315" t="str">
        <f t="shared" si="14"/>
        <v>Normal</v>
      </c>
    </row>
    <row r="316" spans="1:23" x14ac:dyDescent="0.3">
      <c r="A316">
        <v>10634</v>
      </c>
      <c r="B316" s="2">
        <v>45793</v>
      </c>
      <c r="C316" t="s">
        <v>31</v>
      </c>
      <c r="D316" t="s">
        <v>59</v>
      </c>
      <c r="E316" t="s">
        <v>22</v>
      </c>
      <c r="F316" t="s">
        <v>81</v>
      </c>
      <c r="G316" t="s">
        <v>134</v>
      </c>
      <c r="H316" t="s">
        <v>85</v>
      </c>
      <c r="I316" t="s">
        <v>332</v>
      </c>
      <c r="J316">
        <v>1347</v>
      </c>
      <c r="K316">
        <v>15</v>
      </c>
      <c r="L316" t="s">
        <v>45</v>
      </c>
      <c r="M316">
        <v>20</v>
      </c>
      <c r="N316">
        <v>45.5</v>
      </c>
      <c r="O316">
        <v>77.900000000000006</v>
      </c>
      <c r="P316">
        <v>4.53</v>
      </c>
      <c r="Q316">
        <v>3.21</v>
      </c>
      <c r="R316" t="s">
        <v>140</v>
      </c>
      <c r="S316" t="s">
        <v>73</v>
      </c>
      <c r="T316" t="s">
        <v>30</v>
      </c>
      <c r="U316" t="str">
        <f t="shared" si="12"/>
        <v>Normal</v>
      </c>
      <c r="V316" t="str">
        <f t="shared" si="13"/>
        <v>Normal</v>
      </c>
      <c r="W316" t="str">
        <f t="shared" si="14"/>
        <v>Normal</v>
      </c>
    </row>
    <row r="317" spans="1:23" x14ac:dyDescent="0.3">
      <c r="A317">
        <v>11473</v>
      </c>
      <c r="B317" s="2">
        <v>45792</v>
      </c>
      <c r="C317" t="s">
        <v>49</v>
      </c>
      <c r="D317" t="s">
        <v>21</v>
      </c>
      <c r="E317" t="s">
        <v>22</v>
      </c>
      <c r="F317" t="s">
        <v>41</v>
      </c>
      <c r="G317" t="s">
        <v>113</v>
      </c>
      <c r="H317" t="s">
        <v>138</v>
      </c>
      <c r="I317" t="s">
        <v>110</v>
      </c>
      <c r="J317">
        <v>658</v>
      </c>
      <c r="K317">
        <v>2</v>
      </c>
      <c r="L317" t="s">
        <v>45</v>
      </c>
      <c r="M317">
        <v>120</v>
      </c>
      <c r="N317">
        <v>38.799999999999997</v>
      </c>
      <c r="O317">
        <v>77.900000000000006</v>
      </c>
      <c r="P317">
        <v>4.8499999999999996</v>
      </c>
      <c r="Q317">
        <v>2.92</v>
      </c>
      <c r="R317" t="s">
        <v>186</v>
      </c>
      <c r="S317" t="s">
        <v>29</v>
      </c>
      <c r="T317" t="s">
        <v>30</v>
      </c>
      <c r="U317" t="str">
        <f t="shared" si="12"/>
        <v>Normal</v>
      </c>
      <c r="V317" t="str">
        <f t="shared" si="13"/>
        <v>Normal</v>
      </c>
      <c r="W317" t="str">
        <f t="shared" si="14"/>
        <v>Normal</v>
      </c>
    </row>
    <row r="318" spans="1:23" x14ac:dyDescent="0.3">
      <c r="A318">
        <v>10190</v>
      </c>
      <c r="B318" s="2">
        <v>46003</v>
      </c>
      <c r="C318" t="s">
        <v>31</v>
      </c>
      <c r="D318" t="s">
        <v>59</v>
      </c>
      <c r="E318" t="s">
        <v>33</v>
      </c>
      <c r="F318" t="s">
        <v>81</v>
      </c>
      <c r="G318" t="s">
        <v>74</v>
      </c>
      <c r="H318" t="s">
        <v>66</v>
      </c>
      <c r="I318" t="s">
        <v>36</v>
      </c>
      <c r="J318">
        <v>749</v>
      </c>
      <c r="K318">
        <v>9</v>
      </c>
      <c r="L318" t="s">
        <v>71</v>
      </c>
      <c r="M318">
        <v>170</v>
      </c>
      <c r="N318">
        <v>36.299999999999997</v>
      </c>
      <c r="O318">
        <v>77.900000000000006</v>
      </c>
      <c r="P318">
        <v>6.24</v>
      </c>
      <c r="Q318">
        <v>2.93</v>
      </c>
      <c r="R318" t="s">
        <v>105</v>
      </c>
      <c r="S318" t="s">
        <v>29</v>
      </c>
      <c r="T318" t="s">
        <v>30</v>
      </c>
      <c r="U318" t="str">
        <f t="shared" si="12"/>
        <v>Normal</v>
      </c>
      <c r="V318" t="str">
        <f t="shared" si="13"/>
        <v>Normal</v>
      </c>
      <c r="W318" t="str">
        <f t="shared" si="14"/>
        <v>Normal</v>
      </c>
    </row>
    <row r="319" spans="1:23" x14ac:dyDescent="0.3">
      <c r="A319">
        <v>11127</v>
      </c>
      <c r="B319" s="2">
        <v>45858</v>
      </c>
      <c r="C319" t="s">
        <v>20</v>
      </c>
      <c r="D319" t="s">
        <v>21</v>
      </c>
      <c r="E319" t="s">
        <v>107</v>
      </c>
      <c r="F319" t="s">
        <v>41</v>
      </c>
      <c r="G319" t="s">
        <v>109</v>
      </c>
      <c r="H319" t="s">
        <v>144</v>
      </c>
      <c r="I319" t="s">
        <v>268</v>
      </c>
      <c r="J319">
        <v>1037</v>
      </c>
      <c r="K319">
        <v>88</v>
      </c>
      <c r="L319" t="s">
        <v>71</v>
      </c>
      <c r="M319">
        <v>20</v>
      </c>
      <c r="N319">
        <v>47.8</v>
      </c>
      <c r="O319">
        <v>77.900000000000006</v>
      </c>
      <c r="P319">
        <v>5.09</v>
      </c>
      <c r="Q319">
        <v>3.67</v>
      </c>
      <c r="R319" t="s">
        <v>159</v>
      </c>
      <c r="S319" t="s">
        <v>47</v>
      </c>
      <c r="T319" t="s">
        <v>48</v>
      </c>
      <c r="U319" t="str">
        <f t="shared" si="12"/>
        <v>Normal</v>
      </c>
      <c r="V319" t="str">
        <f t="shared" si="13"/>
        <v>Normal</v>
      </c>
      <c r="W319" t="str">
        <f t="shared" si="14"/>
        <v>Normal</v>
      </c>
    </row>
    <row r="320" spans="1:23" x14ac:dyDescent="0.3">
      <c r="A320">
        <v>10615</v>
      </c>
      <c r="B320" s="2">
        <v>45840</v>
      </c>
      <c r="C320" t="s">
        <v>49</v>
      </c>
      <c r="D320" t="s">
        <v>59</v>
      </c>
      <c r="E320" t="s">
        <v>40</v>
      </c>
      <c r="F320" t="s">
        <v>23</v>
      </c>
      <c r="G320" t="s">
        <v>113</v>
      </c>
      <c r="H320" t="s">
        <v>114</v>
      </c>
      <c r="I320" t="s">
        <v>316</v>
      </c>
      <c r="J320">
        <v>1088</v>
      </c>
      <c r="K320">
        <v>27</v>
      </c>
      <c r="L320" t="s">
        <v>57</v>
      </c>
      <c r="M320">
        <v>100</v>
      </c>
      <c r="N320">
        <v>39.6</v>
      </c>
      <c r="O320">
        <v>77.8</v>
      </c>
      <c r="P320">
        <v>4.38</v>
      </c>
      <c r="Q320">
        <v>3.73</v>
      </c>
      <c r="R320" t="s">
        <v>53</v>
      </c>
      <c r="S320" t="s">
        <v>73</v>
      </c>
      <c r="T320" t="s">
        <v>30</v>
      </c>
      <c r="U320" t="str">
        <f t="shared" si="12"/>
        <v>Normal</v>
      </c>
      <c r="V320" t="str">
        <f t="shared" si="13"/>
        <v>Normal</v>
      </c>
      <c r="W320" t="str">
        <f t="shared" si="14"/>
        <v>Normal</v>
      </c>
    </row>
    <row r="321" spans="1:23" x14ac:dyDescent="0.3">
      <c r="A321">
        <v>11415</v>
      </c>
      <c r="B321" s="2">
        <v>45890</v>
      </c>
      <c r="C321" t="s">
        <v>31</v>
      </c>
      <c r="D321" t="s">
        <v>64</v>
      </c>
      <c r="E321" t="s">
        <v>22</v>
      </c>
      <c r="F321" t="s">
        <v>23</v>
      </c>
      <c r="G321" t="s">
        <v>60</v>
      </c>
      <c r="H321" t="s">
        <v>192</v>
      </c>
      <c r="I321" t="s">
        <v>282</v>
      </c>
      <c r="J321">
        <v>838</v>
      </c>
      <c r="K321">
        <v>5</v>
      </c>
      <c r="L321" t="s">
        <v>57</v>
      </c>
      <c r="M321">
        <v>42</v>
      </c>
      <c r="N321">
        <v>50.8</v>
      </c>
      <c r="O321">
        <v>77.8</v>
      </c>
      <c r="P321">
        <v>5.1100000000000003</v>
      </c>
      <c r="Q321">
        <v>0.56999999999999995</v>
      </c>
      <c r="R321" t="s">
        <v>143</v>
      </c>
      <c r="S321" t="s">
        <v>29</v>
      </c>
      <c r="T321" t="s">
        <v>30</v>
      </c>
      <c r="U321" t="str">
        <f t="shared" si="12"/>
        <v>Normal</v>
      </c>
      <c r="V321" t="str">
        <f t="shared" si="13"/>
        <v>Normal</v>
      </c>
      <c r="W321" t="str">
        <f t="shared" si="14"/>
        <v>Normal</v>
      </c>
    </row>
    <row r="322" spans="1:23" x14ac:dyDescent="0.3">
      <c r="A322">
        <v>11353</v>
      </c>
      <c r="B322" s="2">
        <v>45760</v>
      </c>
      <c r="C322" t="s">
        <v>31</v>
      </c>
      <c r="D322" t="s">
        <v>64</v>
      </c>
      <c r="E322" t="s">
        <v>33</v>
      </c>
      <c r="F322" t="s">
        <v>41</v>
      </c>
      <c r="G322" t="s">
        <v>113</v>
      </c>
      <c r="H322" t="s">
        <v>424</v>
      </c>
      <c r="I322" t="s">
        <v>129</v>
      </c>
      <c r="J322">
        <v>1164</v>
      </c>
      <c r="K322">
        <v>16</v>
      </c>
      <c r="L322" t="s">
        <v>57</v>
      </c>
      <c r="M322">
        <v>55</v>
      </c>
      <c r="N322">
        <v>51.2</v>
      </c>
      <c r="O322">
        <v>77.8</v>
      </c>
      <c r="P322">
        <v>5.0199999999999996</v>
      </c>
      <c r="Q322">
        <v>1</v>
      </c>
      <c r="R322" t="s">
        <v>186</v>
      </c>
      <c r="S322" t="s">
        <v>29</v>
      </c>
      <c r="T322" t="s">
        <v>30</v>
      </c>
      <c r="U322" t="str">
        <f t="shared" ref="U322:U385" si="15">IF(OR(O322&lt;20,O322&gt;100),"Investigate","Normal")</f>
        <v>Normal</v>
      </c>
      <c r="V322" t="str">
        <f t="shared" ref="V322:V385" si="16">IF(OR(P322&lt;2,P322&gt;10),"Investigate","Normal")</f>
        <v>Normal</v>
      </c>
      <c r="W322" t="str">
        <f t="shared" ref="W322:W385" si="17">IF(Q322&gt;10,"Investigate","Normal")</f>
        <v>Normal</v>
      </c>
    </row>
    <row r="323" spans="1:23" x14ac:dyDescent="0.3">
      <c r="A323">
        <v>10519</v>
      </c>
      <c r="B323" s="2">
        <v>45668</v>
      </c>
      <c r="C323" t="s">
        <v>49</v>
      </c>
      <c r="D323" t="s">
        <v>21</v>
      </c>
      <c r="E323" t="s">
        <v>107</v>
      </c>
      <c r="F323" t="s">
        <v>23</v>
      </c>
      <c r="G323" t="s">
        <v>24</v>
      </c>
      <c r="H323" t="s">
        <v>43</v>
      </c>
      <c r="I323" t="s">
        <v>217</v>
      </c>
      <c r="J323">
        <v>645</v>
      </c>
      <c r="K323">
        <v>14</v>
      </c>
      <c r="L323" t="s">
        <v>68</v>
      </c>
      <c r="M323">
        <v>7</v>
      </c>
      <c r="N323">
        <v>36.6</v>
      </c>
      <c r="O323">
        <v>77.8</v>
      </c>
      <c r="P323">
        <v>5.5</v>
      </c>
      <c r="Q323">
        <v>1.65</v>
      </c>
      <c r="R323" t="s">
        <v>202</v>
      </c>
      <c r="S323" t="s">
        <v>47</v>
      </c>
      <c r="T323" t="s">
        <v>30</v>
      </c>
      <c r="U323" t="str">
        <f t="shared" si="15"/>
        <v>Normal</v>
      </c>
      <c r="V323" t="str">
        <f t="shared" si="16"/>
        <v>Normal</v>
      </c>
      <c r="W323" t="str">
        <f t="shared" si="17"/>
        <v>Normal</v>
      </c>
    </row>
    <row r="324" spans="1:23" x14ac:dyDescent="0.3">
      <c r="A324">
        <v>10310</v>
      </c>
      <c r="B324" s="2">
        <v>45727</v>
      </c>
      <c r="C324" t="s">
        <v>20</v>
      </c>
      <c r="D324" t="s">
        <v>32</v>
      </c>
      <c r="E324" t="s">
        <v>107</v>
      </c>
      <c r="F324" t="s">
        <v>41</v>
      </c>
      <c r="G324" t="s">
        <v>42</v>
      </c>
      <c r="H324" t="s">
        <v>138</v>
      </c>
      <c r="I324" t="s">
        <v>76</v>
      </c>
      <c r="J324">
        <v>1589</v>
      </c>
      <c r="K324">
        <v>14</v>
      </c>
      <c r="L324" t="s">
        <v>37</v>
      </c>
      <c r="M324">
        <v>144</v>
      </c>
      <c r="N324">
        <v>44.8</v>
      </c>
      <c r="O324">
        <v>77.7</v>
      </c>
      <c r="P324">
        <v>5.2</v>
      </c>
      <c r="Q324">
        <v>2.44</v>
      </c>
      <c r="R324" t="s">
        <v>137</v>
      </c>
      <c r="S324" t="s">
        <v>47</v>
      </c>
      <c r="T324" t="s">
        <v>30</v>
      </c>
      <c r="U324" t="str">
        <f t="shared" si="15"/>
        <v>Normal</v>
      </c>
      <c r="V324" t="str">
        <f t="shared" si="16"/>
        <v>Normal</v>
      </c>
      <c r="W324" t="str">
        <f t="shared" si="17"/>
        <v>Normal</v>
      </c>
    </row>
    <row r="325" spans="1:23" x14ac:dyDescent="0.3">
      <c r="A325">
        <v>11024</v>
      </c>
      <c r="B325" s="2">
        <v>46021</v>
      </c>
      <c r="C325" t="s">
        <v>20</v>
      </c>
      <c r="D325" t="s">
        <v>64</v>
      </c>
      <c r="E325" t="s">
        <v>107</v>
      </c>
      <c r="F325" t="s">
        <v>23</v>
      </c>
      <c r="G325" t="s">
        <v>42</v>
      </c>
      <c r="H325" t="s">
        <v>148</v>
      </c>
      <c r="I325" t="s">
        <v>264</v>
      </c>
      <c r="J325">
        <v>776</v>
      </c>
      <c r="K325">
        <v>3</v>
      </c>
      <c r="L325" t="s">
        <v>45</v>
      </c>
      <c r="M325">
        <v>61</v>
      </c>
      <c r="N325">
        <v>37.299999999999997</v>
      </c>
      <c r="O325">
        <v>77.7</v>
      </c>
      <c r="P325">
        <v>5.5</v>
      </c>
      <c r="Q325">
        <v>1.39</v>
      </c>
      <c r="R325" t="s">
        <v>153</v>
      </c>
      <c r="S325" t="s">
        <v>47</v>
      </c>
      <c r="T325" t="s">
        <v>30</v>
      </c>
      <c r="U325" t="str">
        <f t="shared" si="15"/>
        <v>Normal</v>
      </c>
      <c r="V325" t="str">
        <f t="shared" si="16"/>
        <v>Normal</v>
      </c>
      <c r="W325" t="str">
        <f t="shared" si="17"/>
        <v>Normal</v>
      </c>
    </row>
    <row r="326" spans="1:23" x14ac:dyDescent="0.3">
      <c r="A326">
        <v>10865</v>
      </c>
      <c r="B326" s="2">
        <v>45699</v>
      </c>
      <c r="C326" t="s">
        <v>49</v>
      </c>
      <c r="D326" t="s">
        <v>21</v>
      </c>
      <c r="E326" t="s">
        <v>33</v>
      </c>
      <c r="F326" t="s">
        <v>81</v>
      </c>
      <c r="G326" t="s">
        <v>89</v>
      </c>
      <c r="H326" t="s">
        <v>138</v>
      </c>
      <c r="I326" t="s">
        <v>354</v>
      </c>
      <c r="J326">
        <v>1119</v>
      </c>
      <c r="K326">
        <v>3</v>
      </c>
      <c r="L326" t="s">
        <v>57</v>
      </c>
      <c r="M326">
        <v>43</v>
      </c>
      <c r="N326">
        <v>42.7</v>
      </c>
      <c r="O326">
        <v>77.7</v>
      </c>
      <c r="P326">
        <v>4.67</v>
      </c>
      <c r="Q326">
        <v>2.99</v>
      </c>
      <c r="R326" t="s">
        <v>77</v>
      </c>
      <c r="S326" t="s">
        <v>29</v>
      </c>
      <c r="T326" t="s">
        <v>30</v>
      </c>
      <c r="U326" t="str">
        <f t="shared" si="15"/>
        <v>Normal</v>
      </c>
      <c r="V326" t="str">
        <f t="shared" si="16"/>
        <v>Normal</v>
      </c>
      <c r="W326" t="str">
        <f t="shared" si="17"/>
        <v>Normal</v>
      </c>
    </row>
    <row r="327" spans="1:23" x14ac:dyDescent="0.3">
      <c r="A327">
        <v>10512</v>
      </c>
      <c r="B327" s="2">
        <v>45659</v>
      </c>
      <c r="C327" t="s">
        <v>20</v>
      </c>
      <c r="D327" t="s">
        <v>64</v>
      </c>
      <c r="E327" t="s">
        <v>22</v>
      </c>
      <c r="F327" t="s">
        <v>41</v>
      </c>
      <c r="G327" t="s">
        <v>24</v>
      </c>
      <c r="H327" t="s">
        <v>90</v>
      </c>
      <c r="I327" t="s">
        <v>290</v>
      </c>
      <c r="J327">
        <v>901</v>
      </c>
      <c r="K327">
        <v>11</v>
      </c>
      <c r="L327" t="s">
        <v>57</v>
      </c>
      <c r="M327">
        <v>97</v>
      </c>
      <c r="N327">
        <v>37.700000000000003</v>
      </c>
      <c r="O327">
        <v>77.7</v>
      </c>
      <c r="P327">
        <v>5.3</v>
      </c>
      <c r="Q327">
        <v>2.3199999999999998</v>
      </c>
      <c r="R327" t="s">
        <v>119</v>
      </c>
      <c r="S327" t="s">
        <v>29</v>
      </c>
      <c r="T327" t="s">
        <v>30</v>
      </c>
      <c r="U327" t="str">
        <f t="shared" si="15"/>
        <v>Normal</v>
      </c>
      <c r="V327" t="str">
        <f t="shared" si="16"/>
        <v>Normal</v>
      </c>
      <c r="W327" t="str">
        <f t="shared" si="17"/>
        <v>Normal</v>
      </c>
    </row>
    <row r="328" spans="1:23" x14ac:dyDescent="0.3">
      <c r="A328">
        <v>11438</v>
      </c>
      <c r="B328" s="2">
        <v>45947</v>
      </c>
      <c r="C328" t="s">
        <v>31</v>
      </c>
      <c r="D328" t="s">
        <v>64</v>
      </c>
      <c r="E328" t="s">
        <v>107</v>
      </c>
      <c r="F328" t="s">
        <v>41</v>
      </c>
      <c r="G328" t="s">
        <v>42</v>
      </c>
      <c r="H328" t="s">
        <v>82</v>
      </c>
      <c r="I328" t="s">
        <v>331</v>
      </c>
      <c r="J328">
        <v>746</v>
      </c>
      <c r="K328">
        <v>9</v>
      </c>
      <c r="L328" t="s">
        <v>57</v>
      </c>
      <c r="M328">
        <v>50</v>
      </c>
      <c r="N328">
        <v>37.299999999999997</v>
      </c>
      <c r="O328">
        <v>77.7</v>
      </c>
      <c r="P328">
        <v>5.16</v>
      </c>
      <c r="Q328">
        <v>1.78</v>
      </c>
      <c r="R328" t="s">
        <v>167</v>
      </c>
      <c r="S328" t="s">
        <v>47</v>
      </c>
      <c r="T328" t="s">
        <v>30</v>
      </c>
      <c r="U328" t="str">
        <f t="shared" si="15"/>
        <v>Normal</v>
      </c>
      <c r="V328" t="str">
        <f t="shared" si="16"/>
        <v>Normal</v>
      </c>
      <c r="W328" t="str">
        <f t="shared" si="17"/>
        <v>Normal</v>
      </c>
    </row>
    <row r="329" spans="1:23" x14ac:dyDescent="0.3">
      <c r="A329">
        <v>11074</v>
      </c>
      <c r="B329" s="2">
        <v>45738</v>
      </c>
      <c r="C329" t="s">
        <v>31</v>
      </c>
      <c r="D329" t="s">
        <v>64</v>
      </c>
      <c r="E329" t="s">
        <v>40</v>
      </c>
      <c r="F329" t="s">
        <v>41</v>
      </c>
      <c r="G329" t="s">
        <v>42</v>
      </c>
      <c r="H329" t="s">
        <v>175</v>
      </c>
      <c r="I329" t="s">
        <v>285</v>
      </c>
      <c r="J329">
        <v>1492</v>
      </c>
      <c r="K329">
        <v>13</v>
      </c>
      <c r="L329" t="s">
        <v>37</v>
      </c>
      <c r="M329">
        <v>110</v>
      </c>
      <c r="N329">
        <v>42.6</v>
      </c>
      <c r="O329">
        <v>77.599999999999994</v>
      </c>
      <c r="P329">
        <v>6.44</v>
      </c>
      <c r="Q329">
        <v>3.65</v>
      </c>
      <c r="R329" t="s">
        <v>128</v>
      </c>
      <c r="S329" t="s">
        <v>29</v>
      </c>
      <c r="T329" t="s">
        <v>30</v>
      </c>
      <c r="U329" t="str">
        <f t="shared" si="15"/>
        <v>Normal</v>
      </c>
      <c r="V329" t="str">
        <f t="shared" si="16"/>
        <v>Normal</v>
      </c>
      <c r="W329" t="str">
        <f t="shared" si="17"/>
        <v>Normal</v>
      </c>
    </row>
    <row r="330" spans="1:23" x14ac:dyDescent="0.3">
      <c r="A330">
        <v>10650</v>
      </c>
      <c r="B330" s="2">
        <v>45949</v>
      </c>
      <c r="C330" t="s">
        <v>31</v>
      </c>
      <c r="D330" t="s">
        <v>21</v>
      </c>
      <c r="E330" t="s">
        <v>107</v>
      </c>
      <c r="F330" t="s">
        <v>41</v>
      </c>
      <c r="G330" t="s">
        <v>74</v>
      </c>
      <c r="H330" t="s">
        <v>123</v>
      </c>
      <c r="I330" t="s">
        <v>163</v>
      </c>
      <c r="J330">
        <v>1128</v>
      </c>
      <c r="K330">
        <v>13</v>
      </c>
      <c r="L330" t="s">
        <v>27</v>
      </c>
      <c r="M330">
        <v>117</v>
      </c>
      <c r="N330">
        <v>46.1</v>
      </c>
      <c r="O330">
        <v>77.599999999999994</v>
      </c>
      <c r="P330">
        <v>18</v>
      </c>
      <c r="Q330">
        <v>2.29</v>
      </c>
      <c r="R330" t="s">
        <v>153</v>
      </c>
      <c r="S330" t="s">
        <v>39</v>
      </c>
      <c r="T330" t="s">
        <v>30</v>
      </c>
      <c r="U330" t="str">
        <f t="shared" si="15"/>
        <v>Normal</v>
      </c>
      <c r="V330" t="str">
        <f t="shared" si="16"/>
        <v>Investigate</v>
      </c>
      <c r="W330" t="str">
        <f t="shared" si="17"/>
        <v>Normal</v>
      </c>
    </row>
    <row r="331" spans="1:23" x14ac:dyDescent="0.3">
      <c r="A331">
        <v>10592</v>
      </c>
      <c r="B331" s="2">
        <v>46013</v>
      </c>
      <c r="C331" t="s">
        <v>31</v>
      </c>
      <c r="D331" t="s">
        <v>32</v>
      </c>
      <c r="E331" t="s">
        <v>33</v>
      </c>
      <c r="F331" t="s">
        <v>81</v>
      </c>
      <c r="G331" t="s">
        <v>54</v>
      </c>
      <c r="H331" t="s">
        <v>85</v>
      </c>
      <c r="I331" t="s">
        <v>262</v>
      </c>
      <c r="J331">
        <v>788</v>
      </c>
      <c r="K331">
        <v>3</v>
      </c>
      <c r="L331" t="s">
        <v>71</v>
      </c>
      <c r="M331">
        <v>152</v>
      </c>
      <c r="N331">
        <v>42.2</v>
      </c>
      <c r="O331">
        <v>77.599999999999994</v>
      </c>
      <c r="P331">
        <v>5.21</v>
      </c>
      <c r="Q331">
        <v>2.94</v>
      </c>
      <c r="R331" t="s">
        <v>122</v>
      </c>
      <c r="S331" t="s">
        <v>73</v>
      </c>
      <c r="T331" t="s">
        <v>30</v>
      </c>
      <c r="U331" t="str">
        <f t="shared" si="15"/>
        <v>Normal</v>
      </c>
      <c r="V331" t="str">
        <f t="shared" si="16"/>
        <v>Normal</v>
      </c>
      <c r="W331" t="str">
        <f t="shared" si="17"/>
        <v>Normal</v>
      </c>
    </row>
    <row r="332" spans="1:23" x14ac:dyDescent="0.3">
      <c r="A332">
        <v>10679</v>
      </c>
      <c r="B332" s="2">
        <v>45835</v>
      </c>
      <c r="C332" t="s">
        <v>20</v>
      </c>
      <c r="D332" t="s">
        <v>59</v>
      </c>
      <c r="E332" t="s">
        <v>107</v>
      </c>
      <c r="F332" t="s">
        <v>41</v>
      </c>
      <c r="G332" t="s">
        <v>60</v>
      </c>
      <c r="H332" t="s">
        <v>82</v>
      </c>
      <c r="I332" t="s">
        <v>226</v>
      </c>
      <c r="J332">
        <v>1441</v>
      </c>
      <c r="K332">
        <v>48</v>
      </c>
      <c r="L332" t="s">
        <v>45</v>
      </c>
      <c r="M332">
        <v>127</v>
      </c>
      <c r="N332">
        <v>39.4</v>
      </c>
      <c r="O332">
        <v>77.599999999999994</v>
      </c>
      <c r="P332">
        <v>4.93</v>
      </c>
      <c r="Q332">
        <v>3.15</v>
      </c>
      <c r="R332" t="s">
        <v>209</v>
      </c>
      <c r="S332" t="s">
        <v>47</v>
      </c>
      <c r="T332" t="s">
        <v>48</v>
      </c>
      <c r="U332" t="str">
        <f t="shared" si="15"/>
        <v>Normal</v>
      </c>
      <c r="V332" t="str">
        <f t="shared" si="16"/>
        <v>Normal</v>
      </c>
      <c r="W332" t="str">
        <f t="shared" si="17"/>
        <v>Normal</v>
      </c>
    </row>
    <row r="333" spans="1:23" x14ac:dyDescent="0.3">
      <c r="A333">
        <v>10520</v>
      </c>
      <c r="B333" s="2">
        <v>45803</v>
      </c>
      <c r="C333" t="s">
        <v>31</v>
      </c>
      <c r="D333" t="s">
        <v>21</v>
      </c>
      <c r="E333" t="s">
        <v>22</v>
      </c>
      <c r="F333" t="s">
        <v>41</v>
      </c>
      <c r="G333" t="s">
        <v>109</v>
      </c>
      <c r="H333" t="s">
        <v>82</v>
      </c>
      <c r="I333" t="s">
        <v>233</v>
      </c>
      <c r="J333">
        <v>1116</v>
      </c>
      <c r="K333">
        <v>12</v>
      </c>
      <c r="L333" t="s">
        <v>57</v>
      </c>
      <c r="M333">
        <v>64</v>
      </c>
      <c r="N333">
        <v>32.700000000000003</v>
      </c>
      <c r="O333">
        <v>77.599999999999994</v>
      </c>
      <c r="P333">
        <v>6.02</v>
      </c>
      <c r="Q333">
        <v>1.98</v>
      </c>
      <c r="R333" t="s">
        <v>186</v>
      </c>
      <c r="S333" t="s">
        <v>29</v>
      </c>
      <c r="T333" t="s">
        <v>30</v>
      </c>
      <c r="U333" t="str">
        <f t="shared" si="15"/>
        <v>Normal</v>
      </c>
      <c r="V333" t="str">
        <f t="shared" si="16"/>
        <v>Normal</v>
      </c>
      <c r="W333" t="str">
        <f t="shared" si="17"/>
        <v>Normal</v>
      </c>
    </row>
    <row r="334" spans="1:23" x14ac:dyDescent="0.3">
      <c r="A334">
        <v>10262</v>
      </c>
      <c r="B334" s="2">
        <v>45846</v>
      </c>
      <c r="C334" t="s">
        <v>49</v>
      </c>
      <c r="D334" t="s">
        <v>32</v>
      </c>
      <c r="E334" t="s">
        <v>33</v>
      </c>
      <c r="F334" t="s">
        <v>23</v>
      </c>
      <c r="G334" t="s">
        <v>74</v>
      </c>
      <c r="H334" t="s">
        <v>75</v>
      </c>
      <c r="I334" t="s">
        <v>251</v>
      </c>
      <c r="J334">
        <v>780</v>
      </c>
      <c r="K334">
        <v>14</v>
      </c>
      <c r="L334" t="s">
        <v>57</v>
      </c>
      <c r="M334">
        <v>76</v>
      </c>
      <c r="N334">
        <v>39.299999999999997</v>
      </c>
      <c r="O334">
        <v>77.5</v>
      </c>
      <c r="P334">
        <v>5.7</v>
      </c>
      <c r="Q334">
        <v>3.45</v>
      </c>
      <c r="R334" t="s">
        <v>87</v>
      </c>
      <c r="S334" t="s">
        <v>73</v>
      </c>
      <c r="T334" t="s">
        <v>30</v>
      </c>
      <c r="U334" t="str">
        <f t="shared" si="15"/>
        <v>Normal</v>
      </c>
      <c r="V334" t="str">
        <f t="shared" si="16"/>
        <v>Normal</v>
      </c>
      <c r="W334" t="str">
        <f t="shared" si="17"/>
        <v>Normal</v>
      </c>
    </row>
    <row r="335" spans="1:23" x14ac:dyDescent="0.3">
      <c r="A335">
        <v>10452</v>
      </c>
      <c r="B335" s="2">
        <v>45891</v>
      </c>
      <c r="C335" t="s">
        <v>49</v>
      </c>
      <c r="D335" t="s">
        <v>32</v>
      </c>
      <c r="E335" t="s">
        <v>40</v>
      </c>
      <c r="F335" t="s">
        <v>23</v>
      </c>
      <c r="G335" t="s">
        <v>60</v>
      </c>
      <c r="H335" t="s">
        <v>148</v>
      </c>
      <c r="I335" t="s">
        <v>79</v>
      </c>
      <c r="J335">
        <v>577</v>
      </c>
      <c r="K335">
        <v>7</v>
      </c>
      <c r="L335" t="s">
        <v>27</v>
      </c>
      <c r="M335">
        <v>56</v>
      </c>
      <c r="N335">
        <v>36.299999999999997</v>
      </c>
      <c r="O335">
        <v>77.5</v>
      </c>
      <c r="P335">
        <v>3.95</v>
      </c>
      <c r="Q335">
        <v>4.3600000000000003</v>
      </c>
      <c r="R335" t="s">
        <v>167</v>
      </c>
      <c r="S335" t="s">
        <v>73</v>
      </c>
      <c r="T335" t="s">
        <v>30</v>
      </c>
      <c r="U335" t="str">
        <f t="shared" si="15"/>
        <v>Normal</v>
      </c>
      <c r="V335" t="str">
        <f t="shared" si="16"/>
        <v>Normal</v>
      </c>
      <c r="W335" t="str">
        <f t="shared" si="17"/>
        <v>Normal</v>
      </c>
    </row>
    <row r="336" spans="1:23" x14ac:dyDescent="0.3">
      <c r="A336">
        <v>10468</v>
      </c>
      <c r="B336" s="2">
        <v>45720</v>
      </c>
      <c r="C336" t="s">
        <v>31</v>
      </c>
      <c r="D336" t="s">
        <v>21</v>
      </c>
      <c r="E336" t="s">
        <v>40</v>
      </c>
      <c r="F336" t="s">
        <v>23</v>
      </c>
      <c r="G336" t="s">
        <v>134</v>
      </c>
      <c r="H336" t="s">
        <v>123</v>
      </c>
      <c r="I336" t="s">
        <v>154</v>
      </c>
      <c r="J336">
        <v>595</v>
      </c>
      <c r="K336">
        <v>9</v>
      </c>
      <c r="L336" t="s">
        <v>37</v>
      </c>
      <c r="M336">
        <v>114</v>
      </c>
      <c r="N336">
        <v>35.5</v>
      </c>
      <c r="O336">
        <v>77.5</v>
      </c>
      <c r="P336">
        <v>6.17</v>
      </c>
      <c r="Q336">
        <v>3.92</v>
      </c>
      <c r="R336" t="s">
        <v>105</v>
      </c>
      <c r="S336" t="s">
        <v>47</v>
      </c>
      <c r="T336" t="s">
        <v>30</v>
      </c>
      <c r="U336" t="str">
        <f t="shared" si="15"/>
        <v>Normal</v>
      </c>
      <c r="V336" t="str">
        <f t="shared" si="16"/>
        <v>Normal</v>
      </c>
      <c r="W336" t="str">
        <f t="shared" si="17"/>
        <v>Normal</v>
      </c>
    </row>
    <row r="337" spans="1:23" x14ac:dyDescent="0.3">
      <c r="A337">
        <v>10508</v>
      </c>
      <c r="B337" s="2">
        <v>45676</v>
      </c>
      <c r="C337" t="s">
        <v>20</v>
      </c>
      <c r="D337" t="s">
        <v>64</v>
      </c>
      <c r="E337" t="s">
        <v>107</v>
      </c>
      <c r="F337" t="s">
        <v>41</v>
      </c>
      <c r="G337" t="s">
        <v>42</v>
      </c>
      <c r="H337" t="s">
        <v>144</v>
      </c>
      <c r="I337" t="s">
        <v>375</v>
      </c>
      <c r="J337">
        <v>1535</v>
      </c>
      <c r="K337">
        <v>23</v>
      </c>
      <c r="L337" t="s">
        <v>57</v>
      </c>
      <c r="M337">
        <v>154</v>
      </c>
      <c r="N337">
        <v>36.1</v>
      </c>
      <c r="O337">
        <v>77.5</v>
      </c>
      <c r="P337">
        <v>4.8499999999999996</v>
      </c>
      <c r="Q337">
        <v>1.87</v>
      </c>
      <c r="R337" t="s">
        <v>58</v>
      </c>
      <c r="S337" t="s">
        <v>29</v>
      </c>
      <c r="T337" t="s">
        <v>30</v>
      </c>
      <c r="U337" t="str">
        <f t="shared" si="15"/>
        <v>Normal</v>
      </c>
      <c r="V337" t="str">
        <f t="shared" si="16"/>
        <v>Normal</v>
      </c>
      <c r="W337" t="str">
        <f t="shared" si="17"/>
        <v>Normal</v>
      </c>
    </row>
    <row r="338" spans="1:23" x14ac:dyDescent="0.3">
      <c r="A338">
        <v>10161</v>
      </c>
      <c r="B338" s="2">
        <v>45981</v>
      </c>
      <c r="C338" t="s">
        <v>20</v>
      </c>
      <c r="D338" t="s">
        <v>59</v>
      </c>
      <c r="E338" t="s">
        <v>22</v>
      </c>
      <c r="F338" t="s">
        <v>23</v>
      </c>
      <c r="G338" t="s">
        <v>34</v>
      </c>
      <c r="H338" t="s">
        <v>78</v>
      </c>
      <c r="I338" t="s">
        <v>358</v>
      </c>
      <c r="J338">
        <v>1167</v>
      </c>
      <c r="K338">
        <v>12</v>
      </c>
      <c r="L338" t="s">
        <v>37</v>
      </c>
      <c r="M338">
        <v>63</v>
      </c>
      <c r="N338">
        <v>39.200000000000003</v>
      </c>
      <c r="O338">
        <v>77.5</v>
      </c>
      <c r="P338">
        <v>5.28</v>
      </c>
      <c r="Q338">
        <v>3.44</v>
      </c>
      <c r="R338" t="s">
        <v>280</v>
      </c>
      <c r="S338" t="s">
        <v>47</v>
      </c>
      <c r="T338" t="s">
        <v>30</v>
      </c>
      <c r="U338" t="str">
        <f t="shared" si="15"/>
        <v>Normal</v>
      </c>
      <c r="V338" t="str">
        <f t="shared" si="16"/>
        <v>Normal</v>
      </c>
      <c r="W338" t="str">
        <f t="shared" si="17"/>
        <v>Normal</v>
      </c>
    </row>
    <row r="339" spans="1:23" x14ac:dyDescent="0.3">
      <c r="A339">
        <v>10987</v>
      </c>
      <c r="B339" s="2">
        <v>45662</v>
      </c>
      <c r="C339" t="s">
        <v>49</v>
      </c>
      <c r="D339" t="s">
        <v>21</v>
      </c>
      <c r="E339" t="s">
        <v>40</v>
      </c>
      <c r="F339" t="s">
        <v>41</v>
      </c>
      <c r="G339" t="s">
        <v>134</v>
      </c>
      <c r="H339" t="s">
        <v>66</v>
      </c>
      <c r="I339" t="s">
        <v>290</v>
      </c>
      <c r="J339">
        <v>598</v>
      </c>
      <c r="K339">
        <v>2</v>
      </c>
      <c r="L339" t="s">
        <v>45</v>
      </c>
      <c r="M339">
        <v>7</v>
      </c>
      <c r="N339">
        <v>46.7</v>
      </c>
      <c r="O339">
        <v>77.400000000000006</v>
      </c>
      <c r="P339">
        <v>4.46</v>
      </c>
      <c r="Q339">
        <v>3.01</v>
      </c>
      <c r="R339" t="s">
        <v>130</v>
      </c>
      <c r="S339" t="s">
        <v>29</v>
      </c>
      <c r="T339" t="s">
        <v>30</v>
      </c>
      <c r="U339" t="str">
        <f t="shared" si="15"/>
        <v>Normal</v>
      </c>
      <c r="V339" t="str">
        <f t="shared" si="16"/>
        <v>Normal</v>
      </c>
      <c r="W339" t="str">
        <f t="shared" si="17"/>
        <v>Normal</v>
      </c>
    </row>
    <row r="340" spans="1:23" x14ac:dyDescent="0.3">
      <c r="A340">
        <v>10354</v>
      </c>
      <c r="B340" s="2">
        <v>45768</v>
      </c>
      <c r="C340" t="s">
        <v>49</v>
      </c>
      <c r="D340" t="s">
        <v>21</v>
      </c>
      <c r="E340" t="s">
        <v>40</v>
      </c>
      <c r="F340" t="s">
        <v>81</v>
      </c>
      <c r="G340" t="s">
        <v>95</v>
      </c>
      <c r="H340" t="s">
        <v>177</v>
      </c>
      <c r="I340" t="s">
        <v>201</v>
      </c>
      <c r="J340">
        <v>674</v>
      </c>
      <c r="K340">
        <v>9</v>
      </c>
      <c r="L340" t="s">
        <v>45</v>
      </c>
      <c r="M340">
        <v>5</v>
      </c>
      <c r="N340">
        <v>35.6</v>
      </c>
      <c r="O340">
        <v>77.400000000000006</v>
      </c>
      <c r="P340">
        <v>6.05</v>
      </c>
      <c r="Q340">
        <v>3.02</v>
      </c>
      <c r="R340" t="s">
        <v>152</v>
      </c>
      <c r="S340" t="s">
        <v>73</v>
      </c>
      <c r="T340" t="s">
        <v>30</v>
      </c>
      <c r="U340" t="str">
        <f t="shared" si="15"/>
        <v>Normal</v>
      </c>
      <c r="V340" t="str">
        <f t="shared" si="16"/>
        <v>Normal</v>
      </c>
      <c r="W340" t="str">
        <f t="shared" si="17"/>
        <v>Normal</v>
      </c>
    </row>
    <row r="341" spans="1:23" x14ac:dyDescent="0.3">
      <c r="A341">
        <v>10267</v>
      </c>
      <c r="B341" s="2">
        <v>45805</v>
      </c>
      <c r="C341" t="s">
        <v>31</v>
      </c>
      <c r="D341" t="s">
        <v>64</v>
      </c>
      <c r="E341" t="s">
        <v>22</v>
      </c>
      <c r="F341" t="s">
        <v>23</v>
      </c>
      <c r="G341" t="s">
        <v>109</v>
      </c>
      <c r="H341" t="s">
        <v>43</v>
      </c>
      <c r="I341" t="s">
        <v>362</v>
      </c>
      <c r="J341">
        <v>1046</v>
      </c>
      <c r="K341">
        <v>35</v>
      </c>
      <c r="L341" t="s">
        <v>27</v>
      </c>
      <c r="M341">
        <v>70</v>
      </c>
      <c r="N341">
        <v>45.4</v>
      </c>
      <c r="O341">
        <v>77.400000000000006</v>
      </c>
      <c r="P341">
        <v>5.32</v>
      </c>
      <c r="Q341">
        <v>2.48</v>
      </c>
      <c r="R341" t="s">
        <v>38</v>
      </c>
      <c r="S341" t="s">
        <v>39</v>
      </c>
      <c r="T341" t="s">
        <v>48</v>
      </c>
      <c r="U341" t="str">
        <f t="shared" si="15"/>
        <v>Normal</v>
      </c>
      <c r="V341" t="str">
        <f t="shared" si="16"/>
        <v>Normal</v>
      </c>
      <c r="W341" t="str">
        <f t="shared" si="17"/>
        <v>Normal</v>
      </c>
    </row>
    <row r="342" spans="1:23" x14ac:dyDescent="0.3">
      <c r="A342">
        <v>10744</v>
      </c>
      <c r="B342" s="2">
        <v>46007</v>
      </c>
      <c r="C342" t="s">
        <v>49</v>
      </c>
      <c r="D342" t="s">
        <v>21</v>
      </c>
      <c r="E342" t="s">
        <v>107</v>
      </c>
      <c r="F342" t="s">
        <v>23</v>
      </c>
      <c r="G342" t="s">
        <v>134</v>
      </c>
      <c r="H342" t="s">
        <v>93</v>
      </c>
      <c r="I342" t="s">
        <v>124</v>
      </c>
      <c r="J342">
        <v>1063</v>
      </c>
      <c r="K342">
        <v>90</v>
      </c>
      <c r="L342" t="s">
        <v>57</v>
      </c>
      <c r="M342">
        <v>27</v>
      </c>
      <c r="N342">
        <v>43.1</v>
      </c>
      <c r="O342">
        <v>77.400000000000006</v>
      </c>
      <c r="P342">
        <v>4.82</v>
      </c>
      <c r="Q342">
        <v>1.64</v>
      </c>
      <c r="R342" t="s">
        <v>103</v>
      </c>
      <c r="S342" t="s">
        <v>47</v>
      </c>
      <c r="T342" t="s">
        <v>48</v>
      </c>
      <c r="U342" t="str">
        <f t="shared" si="15"/>
        <v>Normal</v>
      </c>
      <c r="V342" t="str">
        <f t="shared" si="16"/>
        <v>Normal</v>
      </c>
      <c r="W342" t="str">
        <f t="shared" si="17"/>
        <v>Normal</v>
      </c>
    </row>
    <row r="343" spans="1:23" x14ac:dyDescent="0.3">
      <c r="A343">
        <v>10397</v>
      </c>
      <c r="B343" s="2">
        <v>45886</v>
      </c>
      <c r="C343" t="s">
        <v>31</v>
      </c>
      <c r="D343" t="s">
        <v>21</v>
      </c>
      <c r="E343" t="s">
        <v>22</v>
      </c>
      <c r="F343" t="s">
        <v>81</v>
      </c>
      <c r="G343" t="s">
        <v>24</v>
      </c>
      <c r="H343" t="s">
        <v>351</v>
      </c>
      <c r="I343" t="s">
        <v>168</v>
      </c>
      <c r="J343">
        <v>597</v>
      </c>
      <c r="K343">
        <v>16</v>
      </c>
      <c r="L343" t="s">
        <v>57</v>
      </c>
      <c r="M343">
        <v>130</v>
      </c>
      <c r="N343">
        <v>49.2</v>
      </c>
      <c r="O343">
        <v>77.400000000000006</v>
      </c>
      <c r="P343">
        <v>4.8899999999999997</v>
      </c>
      <c r="Q343">
        <v>3.15</v>
      </c>
      <c r="R343" t="s">
        <v>152</v>
      </c>
      <c r="S343" t="s">
        <v>73</v>
      </c>
      <c r="T343" t="s">
        <v>30</v>
      </c>
      <c r="U343" t="str">
        <f t="shared" si="15"/>
        <v>Normal</v>
      </c>
      <c r="V343" t="str">
        <f t="shared" si="16"/>
        <v>Normal</v>
      </c>
      <c r="W343" t="str">
        <f t="shared" si="17"/>
        <v>Normal</v>
      </c>
    </row>
    <row r="344" spans="1:23" x14ac:dyDescent="0.3">
      <c r="A344">
        <v>10686</v>
      </c>
      <c r="B344" s="2">
        <v>45993</v>
      </c>
      <c r="C344" t="s">
        <v>20</v>
      </c>
      <c r="D344" t="s">
        <v>64</v>
      </c>
      <c r="E344" t="s">
        <v>107</v>
      </c>
      <c r="F344" t="s">
        <v>81</v>
      </c>
      <c r="G344" t="s">
        <v>134</v>
      </c>
      <c r="H344" t="s">
        <v>213</v>
      </c>
      <c r="I344" t="s">
        <v>62</v>
      </c>
      <c r="J344">
        <v>743</v>
      </c>
      <c r="K344">
        <v>25</v>
      </c>
      <c r="L344" t="s">
        <v>57</v>
      </c>
      <c r="M344">
        <v>171</v>
      </c>
      <c r="N344">
        <v>49.9</v>
      </c>
      <c r="O344">
        <v>77.400000000000006</v>
      </c>
      <c r="P344">
        <v>5.35</v>
      </c>
      <c r="Q344">
        <v>4.47</v>
      </c>
      <c r="R344" t="s">
        <v>202</v>
      </c>
      <c r="S344" t="s">
        <v>73</v>
      </c>
      <c r="T344" t="s">
        <v>48</v>
      </c>
      <c r="U344" t="str">
        <f t="shared" si="15"/>
        <v>Normal</v>
      </c>
      <c r="V344" t="str">
        <f t="shared" si="16"/>
        <v>Normal</v>
      </c>
      <c r="W344" t="str">
        <f t="shared" si="17"/>
        <v>Normal</v>
      </c>
    </row>
    <row r="345" spans="1:23" x14ac:dyDescent="0.3">
      <c r="A345">
        <v>11278</v>
      </c>
      <c r="B345" s="2">
        <v>45817</v>
      </c>
      <c r="C345" t="s">
        <v>31</v>
      </c>
      <c r="D345" t="s">
        <v>32</v>
      </c>
      <c r="E345" t="s">
        <v>40</v>
      </c>
      <c r="F345" t="s">
        <v>81</v>
      </c>
      <c r="G345" t="s">
        <v>42</v>
      </c>
      <c r="H345" t="s">
        <v>35</v>
      </c>
      <c r="I345" t="s">
        <v>257</v>
      </c>
      <c r="J345">
        <v>1280</v>
      </c>
      <c r="K345">
        <v>5</v>
      </c>
      <c r="L345" t="s">
        <v>68</v>
      </c>
      <c r="M345">
        <v>141</v>
      </c>
      <c r="N345">
        <v>42.4</v>
      </c>
      <c r="O345">
        <v>77.3</v>
      </c>
      <c r="P345">
        <v>3.41</v>
      </c>
      <c r="Q345">
        <v>4.5</v>
      </c>
      <c r="R345" t="s">
        <v>119</v>
      </c>
      <c r="S345" t="s">
        <v>47</v>
      </c>
      <c r="T345" t="s">
        <v>30</v>
      </c>
      <c r="U345" t="str">
        <f t="shared" si="15"/>
        <v>Normal</v>
      </c>
      <c r="V345" t="str">
        <f t="shared" si="16"/>
        <v>Normal</v>
      </c>
      <c r="W345" t="str">
        <f t="shared" si="17"/>
        <v>Normal</v>
      </c>
    </row>
    <row r="346" spans="1:23" x14ac:dyDescent="0.3">
      <c r="A346">
        <v>11202</v>
      </c>
      <c r="B346" s="2">
        <v>45744</v>
      </c>
      <c r="C346" t="s">
        <v>31</v>
      </c>
      <c r="D346" t="s">
        <v>59</v>
      </c>
      <c r="E346" t="s">
        <v>22</v>
      </c>
      <c r="F346" t="s">
        <v>41</v>
      </c>
      <c r="G346" t="s">
        <v>89</v>
      </c>
      <c r="H346" t="s">
        <v>278</v>
      </c>
      <c r="I346" t="s">
        <v>194</v>
      </c>
      <c r="J346">
        <v>1234</v>
      </c>
      <c r="K346">
        <v>16</v>
      </c>
      <c r="L346" t="s">
        <v>27</v>
      </c>
      <c r="M346">
        <v>133</v>
      </c>
      <c r="N346">
        <v>45.1</v>
      </c>
      <c r="O346">
        <v>77.3</v>
      </c>
      <c r="P346">
        <v>5.05</v>
      </c>
      <c r="Q346">
        <v>3.4</v>
      </c>
      <c r="R346" t="s">
        <v>130</v>
      </c>
      <c r="S346" t="s">
        <v>39</v>
      </c>
      <c r="T346" t="s">
        <v>30</v>
      </c>
      <c r="U346" t="str">
        <f t="shared" si="15"/>
        <v>Normal</v>
      </c>
      <c r="V346" t="str">
        <f t="shared" si="16"/>
        <v>Normal</v>
      </c>
      <c r="W346" t="str">
        <f t="shared" si="17"/>
        <v>Normal</v>
      </c>
    </row>
    <row r="347" spans="1:23" x14ac:dyDescent="0.3">
      <c r="A347">
        <v>10012</v>
      </c>
      <c r="B347" s="2">
        <v>45756</v>
      </c>
      <c r="C347" t="s">
        <v>20</v>
      </c>
      <c r="D347" t="s">
        <v>64</v>
      </c>
      <c r="E347" t="s">
        <v>33</v>
      </c>
      <c r="F347" t="s">
        <v>23</v>
      </c>
      <c r="G347" t="s">
        <v>42</v>
      </c>
      <c r="H347" t="s">
        <v>252</v>
      </c>
      <c r="I347" t="s">
        <v>284</v>
      </c>
      <c r="J347">
        <v>1036</v>
      </c>
      <c r="K347">
        <v>15</v>
      </c>
      <c r="L347" t="s">
        <v>57</v>
      </c>
      <c r="M347">
        <v>167</v>
      </c>
      <c r="N347">
        <v>33.700000000000003</v>
      </c>
      <c r="O347">
        <v>77.3</v>
      </c>
      <c r="P347">
        <v>4.42</v>
      </c>
      <c r="Q347">
        <v>3.67</v>
      </c>
      <c r="R347" t="s">
        <v>105</v>
      </c>
      <c r="S347" t="s">
        <v>47</v>
      </c>
      <c r="T347" t="s">
        <v>30</v>
      </c>
      <c r="U347" t="str">
        <f t="shared" si="15"/>
        <v>Normal</v>
      </c>
      <c r="V347" t="str">
        <f t="shared" si="16"/>
        <v>Normal</v>
      </c>
      <c r="W347" t="str">
        <f t="shared" si="17"/>
        <v>Normal</v>
      </c>
    </row>
    <row r="348" spans="1:23" x14ac:dyDescent="0.3">
      <c r="A348">
        <v>10338</v>
      </c>
      <c r="B348" s="2">
        <v>45998</v>
      </c>
      <c r="C348" t="s">
        <v>20</v>
      </c>
      <c r="D348" t="s">
        <v>21</v>
      </c>
      <c r="E348" t="s">
        <v>40</v>
      </c>
      <c r="F348" t="s">
        <v>81</v>
      </c>
      <c r="G348" t="s">
        <v>34</v>
      </c>
      <c r="H348" t="s">
        <v>138</v>
      </c>
      <c r="I348" t="s">
        <v>347</v>
      </c>
      <c r="J348">
        <v>1066</v>
      </c>
      <c r="K348">
        <v>2</v>
      </c>
      <c r="L348" t="s">
        <v>68</v>
      </c>
      <c r="M348">
        <v>134</v>
      </c>
      <c r="N348">
        <v>36.9</v>
      </c>
      <c r="O348">
        <v>77.3</v>
      </c>
      <c r="P348">
        <v>5.99</v>
      </c>
      <c r="Q348">
        <v>2.2000000000000002</v>
      </c>
      <c r="R348" t="s">
        <v>38</v>
      </c>
      <c r="S348" t="s">
        <v>39</v>
      </c>
      <c r="T348" t="s">
        <v>30</v>
      </c>
      <c r="U348" t="str">
        <f t="shared" si="15"/>
        <v>Normal</v>
      </c>
      <c r="V348" t="str">
        <f t="shared" si="16"/>
        <v>Normal</v>
      </c>
      <c r="W348" t="str">
        <f t="shared" si="17"/>
        <v>Normal</v>
      </c>
    </row>
    <row r="349" spans="1:23" x14ac:dyDescent="0.3">
      <c r="A349">
        <v>10388</v>
      </c>
      <c r="B349" s="2">
        <v>45702</v>
      </c>
      <c r="C349" t="s">
        <v>20</v>
      </c>
      <c r="D349" t="s">
        <v>21</v>
      </c>
      <c r="E349" t="s">
        <v>40</v>
      </c>
      <c r="F349" t="s">
        <v>41</v>
      </c>
      <c r="G349" t="s">
        <v>24</v>
      </c>
      <c r="H349" t="s">
        <v>263</v>
      </c>
      <c r="I349" t="s">
        <v>162</v>
      </c>
      <c r="J349">
        <v>779</v>
      </c>
      <c r="K349">
        <v>21</v>
      </c>
      <c r="L349" t="s">
        <v>57</v>
      </c>
      <c r="M349">
        <v>22</v>
      </c>
      <c r="N349">
        <v>45.5</v>
      </c>
      <c r="O349">
        <v>77.3</v>
      </c>
      <c r="P349">
        <v>4.4000000000000004</v>
      </c>
      <c r="Q349">
        <v>2.75</v>
      </c>
      <c r="R349" t="s">
        <v>222</v>
      </c>
      <c r="S349" t="s">
        <v>29</v>
      </c>
      <c r="T349" t="s">
        <v>30</v>
      </c>
      <c r="U349" t="str">
        <f t="shared" si="15"/>
        <v>Normal</v>
      </c>
      <c r="V349" t="str">
        <f t="shared" si="16"/>
        <v>Normal</v>
      </c>
      <c r="W349" t="str">
        <f t="shared" si="17"/>
        <v>Normal</v>
      </c>
    </row>
    <row r="350" spans="1:23" x14ac:dyDescent="0.3">
      <c r="A350">
        <v>10809</v>
      </c>
      <c r="B350" s="2">
        <v>45718</v>
      </c>
      <c r="C350" t="s">
        <v>31</v>
      </c>
      <c r="D350" t="s">
        <v>59</v>
      </c>
      <c r="E350" t="s">
        <v>107</v>
      </c>
      <c r="F350" t="s">
        <v>23</v>
      </c>
      <c r="G350" t="s">
        <v>134</v>
      </c>
      <c r="H350" t="s">
        <v>192</v>
      </c>
      <c r="I350" t="s">
        <v>380</v>
      </c>
      <c r="J350">
        <v>976</v>
      </c>
      <c r="K350">
        <v>17</v>
      </c>
      <c r="L350" t="s">
        <v>68</v>
      </c>
      <c r="M350">
        <v>171</v>
      </c>
      <c r="N350">
        <v>40.4</v>
      </c>
      <c r="O350">
        <v>77.2</v>
      </c>
      <c r="P350">
        <v>4.84</v>
      </c>
      <c r="Q350">
        <v>4.6900000000000004</v>
      </c>
      <c r="R350" t="s">
        <v>183</v>
      </c>
      <c r="S350" t="s">
        <v>39</v>
      </c>
      <c r="T350" t="s">
        <v>30</v>
      </c>
      <c r="U350" t="str">
        <f t="shared" si="15"/>
        <v>Normal</v>
      </c>
      <c r="V350" t="str">
        <f t="shared" si="16"/>
        <v>Normal</v>
      </c>
      <c r="W350" t="str">
        <f t="shared" si="17"/>
        <v>Normal</v>
      </c>
    </row>
    <row r="351" spans="1:23" x14ac:dyDescent="0.3">
      <c r="A351">
        <v>10183</v>
      </c>
      <c r="B351" s="2">
        <v>45794</v>
      </c>
      <c r="C351" t="s">
        <v>31</v>
      </c>
      <c r="D351" t="s">
        <v>64</v>
      </c>
      <c r="E351" t="s">
        <v>33</v>
      </c>
      <c r="F351" t="s">
        <v>81</v>
      </c>
      <c r="G351" t="s">
        <v>95</v>
      </c>
      <c r="H351" t="s">
        <v>101</v>
      </c>
      <c r="I351" t="s">
        <v>104</v>
      </c>
      <c r="J351">
        <v>696</v>
      </c>
      <c r="K351">
        <v>15</v>
      </c>
      <c r="L351" t="s">
        <v>71</v>
      </c>
      <c r="M351">
        <v>179</v>
      </c>
      <c r="N351">
        <v>36.700000000000003</v>
      </c>
      <c r="O351">
        <v>77.2</v>
      </c>
      <c r="P351">
        <v>5.2</v>
      </c>
      <c r="Q351">
        <v>0.65</v>
      </c>
      <c r="R351" t="s">
        <v>38</v>
      </c>
      <c r="S351" t="s">
        <v>29</v>
      </c>
      <c r="T351" t="s">
        <v>30</v>
      </c>
      <c r="U351" t="str">
        <f t="shared" si="15"/>
        <v>Normal</v>
      </c>
      <c r="V351" t="str">
        <f t="shared" si="16"/>
        <v>Normal</v>
      </c>
      <c r="W351" t="str">
        <f t="shared" si="17"/>
        <v>Normal</v>
      </c>
    </row>
    <row r="352" spans="1:23" x14ac:dyDescent="0.3">
      <c r="A352">
        <v>10736</v>
      </c>
      <c r="B352" s="2">
        <v>45723</v>
      </c>
      <c r="C352" t="s">
        <v>31</v>
      </c>
      <c r="D352" t="s">
        <v>64</v>
      </c>
      <c r="E352" t="s">
        <v>40</v>
      </c>
      <c r="F352" t="s">
        <v>23</v>
      </c>
      <c r="G352" t="s">
        <v>50</v>
      </c>
      <c r="H352" t="s">
        <v>88</v>
      </c>
      <c r="I352" t="s">
        <v>121</v>
      </c>
      <c r="J352">
        <v>1061</v>
      </c>
      <c r="K352">
        <v>11</v>
      </c>
      <c r="L352" t="s">
        <v>71</v>
      </c>
      <c r="M352">
        <v>156</v>
      </c>
      <c r="N352">
        <v>35.4</v>
      </c>
      <c r="O352">
        <v>77.2</v>
      </c>
      <c r="P352">
        <v>4.3899999999999997</v>
      </c>
      <c r="Q352">
        <v>3.39</v>
      </c>
      <c r="R352" t="s">
        <v>153</v>
      </c>
      <c r="S352" t="s">
        <v>29</v>
      </c>
      <c r="T352" t="s">
        <v>30</v>
      </c>
      <c r="U352" t="str">
        <f t="shared" si="15"/>
        <v>Normal</v>
      </c>
      <c r="V352" t="str">
        <f t="shared" si="16"/>
        <v>Normal</v>
      </c>
      <c r="W352" t="str">
        <f t="shared" si="17"/>
        <v>Normal</v>
      </c>
    </row>
    <row r="353" spans="1:23" x14ac:dyDescent="0.3">
      <c r="A353">
        <v>10418</v>
      </c>
      <c r="B353" s="2">
        <v>45977</v>
      </c>
      <c r="C353" t="s">
        <v>31</v>
      </c>
      <c r="D353" t="s">
        <v>64</v>
      </c>
      <c r="E353" t="s">
        <v>107</v>
      </c>
      <c r="F353" t="s">
        <v>23</v>
      </c>
      <c r="G353" t="s">
        <v>109</v>
      </c>
      <c r="H353" t="s">
        <v>190</v>
      </c>
      <c r="I353" t="s">
        <v>343</v>
      </c>
      <c r="J353">
        <v>501</v>
      </c>
      <c r="K353">
        <v>5</v>
      </c>
      <c r="L353" t="s">
        <v>37</v>
      </c>
      <c r="M353">
        <v>21</v>
      </c>
      <c r="N353">
        <v>44.4</v>
      </c>
      <c r="O353">
        <v>77.2</v>
      </c>
      <c r="P353">
        <v>4.72</v>
      </c>
      <c r="Q353">
        <v>2.21</v>
      </c>
      <c r="R353" t="s">
        <v>125</v>
      </c>
      <c r="S353" t="s">
        <v>39</v>
      </c>
      <c r="T353" t="s">
        <v>30</v>
      </c>
      <c r="U353" t="str">
        <f t="shared" si="15"/>
        <v>Normal</v>
      </c>
      <c r="V353" t="str">
        <f t="shared" si="16"/>
        <v>Normal</v>
      </c>
      <c r="W353" t="str">
        <f t="shared" si="17"/>
        <v>Normal</v>
      </c>
    </row>
    <row r="354" spans="1:23" x14ac:dyDescent="0.3">
      <c r="A354">
        <v>10649</v>
      </c>
      <c r="B354" s="2">
        <v>45715</v>
      </c>
      <c r="C354" t="s">
        <v>31</v>
      </c>
      <c r="D354" t="s">
        <v>32</v>
      </c>
      <c r="E354" t="s">
        <v>22</v>
      </c>
      <c r="F354" t="s">
        <v>23</v>
      </c>
      <c r="G354" t="s">
        <v>50</v>
      </c>
      <c r="H354" t="s">
        <v>263</v>
      </c>
      <c r="I354" t="s">
        <v>321</v>
      </c>
      <c r="J354">
        <v>1310</v>
      </c>
      <c r="K354">
        <v>39</v>
      </c>
      <c r="L354" t="s">
        <v>57</v>
      </c>
      <c r="M354">
        <v>39</v>
      </c>
      <c r="N354">
        <v>29.7</v>
      </c>
      <c r="O354">
        <v>77.2</v>
      </c>
      <c r="P354">
        <v>6.38</v>
      </c>
      <c r="Q354">
        <v>1.66</v>
      </c>
      <c r="R354" t="s">
        <v>103</v>
      </c>
      <c r="S354" t="s">
        <v>39</v>
      </c>
      <c r="T354" t="s">
        <v>30</v>
      </c>
      <c r="U354" t="str">
        <f t="shared" si="15"/>
        <v>Normal</v>
      </c>
      <c r="V354" t="str">
        <f t="shared" si="16"/>
        <v>Normal</v>
      </c>
      <c r="W354" t="str">
        <f t="shared" si="17"/>
        <v>Normal</v>
      </c>
    </row>
    <row r="355" spans="1:23" x14ac:dyDescent="0.3">
      <c r="A355">
        <v>10892</v>
      </c>
      <c r="B355" s="2">
        <v>45958</v>
      </c>
      <c r="C355" t="s">
        <v>20</v>
      </c>
      <c r="D355" t="s">
        <v>21</v>
      </c>
      <c r="E355" t="s">
        <v>22</v>
      </c>
      <c r="F355" t="s">
        <v>81</v>
      </c>
      <c r="G355" t="s">
        <v>50</v>
      </c>
      <c r="H355" t="s">
        <v>99</v>
      </c>
      <c r="I355" t="s">
        <v>353</v>
      </c>
      <c r="J355">
        <v>503</v>
      </c>
      <c r="K355">
        <v>4</v>
      </c>
      <c r="L355" t="s">
        <v>45</v>
      </c>
      <c r="M355">
        <v>120</v>
      </c>
      <c r="N355">
        <v>36.6</v>
      </c>
      <c r="O355">
        <v>77.2</v>
      </c>
      <c r="P355">
        <v>4.34</v>
      </c>
      <c r="Q355">
        <v>4.2699999999999996</v>
      </c>
      <c r="R355" t="s">
        <v>243</v>
      </c>
      <c r="S355" t="s">
        <v>73</v>
      </c>
      <c r="T355" t="s">
        <v>30</v>
      </c>
      <c r="U355" t="str">
        <f t="shared" si="15"/>
        <v>Normal</v>
      </c>
      <c r="V355" t="str">
        <f t="shared" si="16"/>
        <v>Normal</v>
      </c>
      <c r="W355" t="str">
        <f t="shared" si="17"/>
        <v>Normal</v>
      </c>
    </row>
    <row r="356" spans="1:23" x14ac:dyDescent="0.3">
      <c r="A356">
        <v>10467</v>
      </c>
      <c r="B356" s="2">
        <v>45785</v>
      </c>
      <c r="C356" t="s">
        <v>49</v>
      </c>
      <c r="D356" t="s">
        <v>32</v>
      </c>
      <c r="E356" t="s">
        <v>22</v>
      </c>
      <c r="F356" t="s">
        <v>23</v>
      </c>
      <c r="G356" t="s">
        <v>54</v>
      </c>
      <c r="H356" t="s">
        <v>96</v>
      </c>
      <c r="I356" t="s">
        <v>178</v>
      </c>
      <c r="J356">
        <v>1129</v>
      </c>
      <c r="K356">
        <v>13</v>
      </c>
      <c r="L356" t="s">
        <v>57</v>
      </c>
      <c r="M356">
        <v>23</v>
      </c>
      <c r="N356">
        <v>47.2</v>
      </c>
      <c r="O356">
        <v>77.2</v>
      </c>
      <c r="P356">
        <v>5.24</v>
      </c>
      <c r="Q356">
        <v>2.81</v>
      </c>
      <c r="R356" t="s">
        <v>103</v>
      </c>
      <c r="S356" t="s">
        <v>73</v>
      </c>
      <c r="T356" t="s">
        <v>30</v>
      </c>
      <c r="U356" t="str">
        <f t="shared" si="15"/>
        <v>Normal</v>
      </c>
      <c r="V356" t="str">
        <f t="shared" si="16"/>
        <v>Normal</v>
      </c>
      <c r="W356" t="str">
        <f t="shared" si="17"/>
        <v>Normal</v>
      </c>
    </row>
    <row r="357" spans="1:23" x14ac:dyDescent="0.3">
      <c r="A357">
        <v>10148</v>
      </c>
      <c r="B357" s="2">
        <v>45764</v>
      </c>
      <c r="C357" t="s">
        <v>31</v>
      </c>
      <c r="D357" t="s">
        <v>64</v>
      </c>
      <c r="E357" t="s">
        <v>40</v>
      </c>
      <c r="F357" t="s">
        <v>81</v>
      </c>
      <c r="G357" t="s">
        <v>34</v>
      </c>
      <c r="H357" t="s">
        <v>120</v>
      </c>
      <c r="I357" t="s">
        <v>276</v>
      </c>
      <c r="J357">
        <v>839</v>
      </c>
      <c r="K357">
        <v>4</v>
      </c>
      <c r="L357" t="s">
        <v>45</v>
      </c>
      <c r="M357">
        <v>147</v>
      </c>
      <c r="N357">
        <v>41.2</v>
      </c>
      <c r="O357">
        <v>77.099999999999994</v>
      </c>
      <c r="P357">
        <v>5.68</v>
      </c>
      <c r="Q357">
        <v>2.61</v>
      </c>
      <c r="R357" t="s">
        <v>186</v>
      </c>
      <c r="S357" t="s">
        <v>73</v>
      </c>
      <c r="T357" t="s">
        <v>30</v>
      </c>
      <c r="U357" t="str">
        <f t="shared" si="15"/>
        <v>Normal</v>
      </c>
      <c r="V357" t="str">
        <f t="shared" si="16"/>
        <v>Normal</v>
      </c>
      <c r="W357" t="str">
        <f t="shared" si="17"/>
        <v>Normal</v>
      </c>
    </row>
    <row r="358" spans="1:23" x14ac:dyDescent="0.3">
      <c r="A358">
        <v>10554</v>
      </c>
      <c r="B358" s="2">
        <v>45760</v>
      </c>
      <c r="C358" t="s">
        <v>20</v>
      </c>
      <c r="D358" t="s">
        <v>64</v>
      </c>
      <c r="E358" t="s">
        <v>33</v>
      </c>
      <c r="F358" t="s">
        <v>23</v>
      </c>
      <c r="G358" t="s">
        <v>50</v>
      </c>
      <c r="H358" t="s">
        <v>196</v>
      </c>
      <c r="I358" t="s">
        <v>355</v>
      </c>
      <c r="J358">
        <v>1415</v>
      </c>
      <c r="K358">
        <v>10</v>
      </c>
      <c r="L358" t="s">
        <v>37</v>
      </c>
      <c r="M358">
        <v>44</v>
      </c>
      <c r="N358">
        <v>37.1</v>
      </c>
      <c r="O358">
        <v>77.099999999999994</v>
      </c>
      <c r="P358">
        <v>5.7</v>
      </c>
      <c r="Q358">
        <v>4.63</v>
      </c>
      <c r="R358" t="s">
        <v>58</v>
      </c>
      <c r="S358" t="s">
        <v>29</v>
      </c>
      <c r="T358" t="s">
        <v>30</v>
      </c>
      <c r="U358" t="str">
        <f t="shared" si="15"/>
        <v>Normal</v>
      </c>
      <c r="V358" t="str">
        <f t="shared" si="16"/>
        <v>Normal</v>
      </c>
      <c r="W358" t="str">
        <f t="shared" si="17"/>
        <v>Normal</v>
      </c>
    </row>
    <row r="359" spans="1:23" x14ac:dyDescent="0.3">
      <c r="A359">
        <v>11463</v>
      </c>
      <c r="B359" s="2">
        <v>45759</v>
      </c>
      <c r="C359" t="s">
        <v>20</v>
      </c>
      <c r="D359" t="s">
        <v>59</v>
      </c>
      <c r="E359" t="s">
        <v>33</v>
      </c>
      <c r="F359" t="s">
        <v>41</v>
      </c>
      <c r="G359" t="s">
        <v>113</v>
      </c>
      <c r="H359" t="s">
        <v>175</v>
      </c>
      <c r="I359" t="s">
        <v>332</v>
      </c>
      <c r="J359">
        <v>865</v>
      </c>
      <c r="K359">
        <v>13</v>
      </c>
      <c r="L359" t="s">
        <v>27</v>
      </c>
      <c r="M359">
        <v>5</v>
      </c>
      <c r="N359">
        <v>26.8</v>
      </c>
      <c r="O359">
        <v>77.099999999999994</v>
      </c>
      <c r="P359">
        <v>5.56</v>
      </c>
      <c r="Q359">
        <v>2.08</v>
      </c>
      <c r="R359" t="s">
        <v>63</v>
      </c>
      <c r="S359" t="s">
        <v>73</v>
      </c>
      <c r="T359" t="s">
        <v>30</v>
      </c>
      <c r="U359" t="str">
        <f t="shared" si="15"/>
        <v>Normal</v>
      </c>
      <c r="V359" t="str">
        <f t="shared" si="16"/>
        <v>Normal</v>
      </c>
      <c r="W359" t="str">
        <f t="shared" si="17"/>
        <v>Normal</v>
      </c>
    </row>
    <row r="360" spans="1:23" x14ac:dyDescent="0.3">
      <c r="A360">
        <v>10030</v>
      </c>
      <c r="B360" s="2">
        <v>45968</v>
      </c>
      <c r="C360" t="s">
        <v>49</v>
      </c>
      <c r="D360" t="s">
        <v>21</v>
      </c>
      <c r="E360" t="s">
        <v>22</v>
      </c>
      <c r="F360" t="s">
        <v>41</v>
      </c>
      <c r="G360" t="s">
        <v>109</v>
      </c>
      <c r="H360" t="s">
        <v>165</v>
      </c>
      <c r="I360" t="s">
        <v>217</v>
      </c>
      <c r="J360">
        <v>1276</v>
      </c>
      <c r="K360">
        <v>17</v>
      </c>
      <c r="L360" t="s">
        <v>424</v>
      </c>
      <c r="M360">
        <v>27</v>
      </c>
      <c r="N360">
        <v>38.799999999999997</v>
      </c>
      <c r="O360">
        <v>77</v>
      </c>
      <c r="P360">
        <v>4.3499999999999996</v>
      </c>
      <c r="Q360">
        <v>2.64</v>
      </c>
      <c r="R360" t="s">
        <v>186</v>
      </c>
      <c r="S360" t="s">
        <v>73</v>
      </c>
      <c r="T360" t="s">
        <v>30</v>
      </c>
      <c r="U360" t="str">
        <f t="shared" si="15"/>
        <v>Normal</v>
      </c>
      <c r="V360" t="str">
        <f t="shared" si="16"/>
        <v>Normal</v>
      </c>
      <c r="W360" t="str">
        <f t="shared" si="17"/>
        <v>Normal</v>
      </c>
    </row>
    <row r="361" spans="1:23" x14ac:dyDescent="0.3">
      <c r="A361">
        <v>11261</v>
      </c>
      <c r="B361" s="2">
        <v>45805</v>
      </c>
      <c r="C361" t="s">
        <v>49</v>
      </c>
      <c r="D361" t="s">
        <v>32</v>
      </c>
      <c r="E361" t="s">
        <v>107</v>
      </c>
      <c r="F361" t="s">
        <v>23</v>
      </c>
      <c r="G361" t="s">
        <v>95</v>
      </c>
      <c r="H361" t="s">
        <v>66</v>
      </c>
      <c r="I361" t="s">
        <v>226</v>
      </c>
      <c r="J361">
        <v>1433</v>
      </c>
      <c r="K361">
        <v>13</v>
      </c>
      <c r="L361" t="s">
        <v>71</v>
      </c>
      <c r="M361">
        <v>91</v>
      </c>
      <c r="N361">
        <v>30.9</v>
      </c>
      <c r="O361">
        <v>77</v>
      </c>
      <c r="P361">
        <v>5.34</v>
      </c>
      <c r="Q361">
        <v>3.37</v>
      </c>
      <c r="R361" t="s">
        <v>53</v>
      </c>
      <c r="S361" t="s">
        <v>47</v>
      </c>
      <c r="T361" t="s">
        <v>30</v>
      </c>
      <c r="U361" t="str">
        <f t="shared" si="15"/>
        <v>Normal</v>
      </c>
      <c r="V361" t="str">
        <f t="shared" si="16"/>
        <v>Normal</v>
      </c>
      <c r="W361" t="str">
        <f t="shared" si="17"/>
        <v>Normal</v>
      </c>
    </row>
    <row r="362" spans="1:23" x14ac:dyDescent="0.3">
      <c r="A362">
        <v>10193</v>
      </c>
      <c r="B362" s="2">
        <v>45844</v>
      </c>
      <c r="C362" t="s">
        <v>20</v>
      </c>
      <c r="D362" t="s">
        <v>32</v>
      </c>
      <c r="E362" t="s">
        <v>33</v>
      </c>
      <c r="F362" t="s">
        <v>41</v>
      </c>
      <c r="G362" t="s">
        <v>54</v>
      </c>
      <c r="H362" t="s">
        <v>192</v>
      </c>
      <c r="I362" t="s">
        <v>135</v>
      </c>
      <c r="J362">
        <v>814</v>
      </c>
      <c r="K362">
        <v>7</v>
      </c>
      <c r="L362" t="s">
        <v>71</v>
      </c>
      <c r="M362">
        <v>90</v>
      </c>
      <c r="N362">
        <v>51.3</v>
      </c>
      <c r="O362">
        <v>77</v>
      </c>
      <c r="P362">
        <v>6.06</v>
      </c>
      <c r="Q362">
        <v>5.0199999999999996</v>
      </c>
      <c r="R362" t="s">
        <v>227</v>
      </c>
      <c r="S362" t="s">
        <v>73</v>
      </c>
      <c r="T362" t="s">
        <v>30</v>
      </c>
      <c r="U362" t="str">
        <f t="shared" si="15"/>
        <v>Normal</v>
      </c>
      <c r="V362" t="str">
        <f t="shared" si="16"/>
        <v>Normal</v>
      </c>
      <c r="W362" t="str">
        <f t="shared" si="17"/>
        <v>Normal</v>
      </c>
    </row>
    <row r="363" spans="1:23" x14ac:dyDescent="0.3">
      <c r="A363">
        <v>10610</v>
      </c>
      <c r="B363" s="2">
        <v>45667</v>
      </c>
      <c r="C363" t="s">
        <v>20</v>
      </c>
      <c r="D363" t="s">
        <v>64</v>
      </c>
      <c r="E363" t="s">
        <v>40</v>
      </c>
      <c r="F363" t="s">
        <v>41</v>
      </c>
      <c r="G363" t="s">
        <v>54</v>
      </c>
      <c r="H363" t="s">
        <v>61</v>
      </c>
      <c r="I363" t="s">
        <v>256</v>
      </c>
      <c r="J363">
        <v>1553</v>
      </c>
      <c r="K363">
        <v>155</v>
      </c>
      <c r="L363" t="s">
        <v>37</v>
      </c>
      <c r="M363">
        <v>146</v>
      </c>
      <c r="N363">
        <v>40.700000000000003</v>
      </c>
      <c r="O363">
        <v>77</v>
      </c>
      <c r="P363">
        <v>5.04</v>
      </c>
      <c r="Q363">
        <v>2</v>
      </c>
      <c r="R363" t="s">
        <v>227</v>
      </c>
      <c r="S363" t="s">
        <v>47</v>
      </c>
      <c r="T363" t="s">
        <v>48</v>
      </c>
      <c r="U363" t="str">
        <f t="shared" si="15"/>
        <v>Normal</v>
      </c>
      <c r="V363" t="str">
        <f t="shared" si="16"/>
        <v>Normal</v>
      </c>
      <c r="W363" t="str">
        <f t="shared" si="17"/>
        <v>Normal</v>
      </c>
    </row>
    <row r="364" spans="1:23" x14ac:dyDescent="0.3">
      <c r="A364">
        <v>10532</v>
      </c>
      <c r="B364" s="2">
        <v>45729</v>
      </c>
      <c r="C364" t="s">
        <v>49</v>
      </c>
      <c r="D364" t="s">
        <v>64</v>
      </c>
      <c r="E364" t="s">
        <v>40</v>
      </c>
      <c r="F364" t="s">
        <v>23</v>
      </c>
      <c r="G364" t="s">
        <v>113</v>
      </c>
      <c r="H364" t="s">
        <v>144</v>
      </c>
      <c r="I364" t="s">
        <v>303</v>
      </c>
      <c r="J364">
        <v>970</v>
      </c>
      <c r="K364">
        <v>32</v>
      </c>
      <c r="L364" t="s">
        <v>57</v>
      </c>
      <c r="M364">
        <v>11</v>
      </c>
      <c r="N364">
        <v>39.5</v>
      </c>
      <c r="O364">
        <v>77</v>
      </c>
      <c r="P364">
        <v>5.86</v>
      </c>
      <c r="Q364">
        <v>1.1399999999999999</v>
      </c>
      <c r="R364" t="s">
        <v>143</v>
      </c>
      <c r="S364" t="s">
        <v>47</v>
      </c>
      <c r="T364" t="s">
        <v>48</v>
      </c>
      <c r="U364" t="str">
        <f t="shared" si="15"/>
        <v>Normal</v>
      </c>
      <c r="V364" t="str">
        <f t="shared" si="16"/>
        <v>Normal</v>
      </c>
      <c r="W364" t="str">
        <f t="shared" si="17"/>
        <v>Normal</v>
      </c>
    </row>
    <row r="365" spans="1:23" x14ac:dyDescent="0.3">
      <c r="A365">
        <v>10790</v>
      </c>
      <c r="B365" s="2">
        <v>45707</v>
      </c>
      <c r="C365" t="s">
        <v>31</v>
      </c>
      <c r="D365" t="s">
        <v>21</v>
      </c>
      <c r="E365" t="s">
        <v>107</v>
      </c>
      <c r="F365" t="s">
        <v>41</v>
      </c>
      <c r="G365" t="s">
        <v>95</v>
      </c>
      <c r="H365" t="s">
        <v>351</v>
      </c>
      <c r="I365" t="s">
        <v>129</v>
      </c>
      <c r="J365">
        <v>1029</v>
      </c>
      <c r="K365">
        <v>20</v>
      </c>
      <c r="L365" t="s">
        <v>45</v>
      </c>
      <c r="M365">
        <v>145</v>
      </c>
      <c r="N365">
        <v>44.2</v>
      </c>
      <c r="O365">
        <v>77</v>
      </c>
      <c r="P365">
        <v>4.4800000000000004</v>
      </c>
      <c r="Q365">
        <v>3.92</v>
      </c>
      <c r="R365" t="s">
        <v>128</v>
      </c>
      <c r="S365" t="s">
        <v>29</v>
      </c>
      <c r="T365" t="s">
        <v>30</v>
      </c>
      <c r="U365" t="str">
        <f t="shared" si="15"/>
        <v>Normal</v>
      </c>
      <c r="V365" t="str">
        <f t="shared" si="16"/>
        <v>Normal</v>
      </c>
      <c r="W365" t="str">
        <f t="shared" si="17"/>
        <v>Normal</v>
      </c>
    </row>
    <row r="366" spans="1:23" x14ac:dyDescent="0.3">
      <c r="A366">
        <v>10828</v>
      </c>
      <c r="B366" s="2">
        <v>45798</v>
      </c>
      <c r="C366" t="s">
        <v>49</v>
      </c>
      <c r="D366" t="s">
        <v>21</v>
      </c>
      <c r="E366" t="s">
        <v>40</v>
      </c>
      <c r="F366" t="s">
        <v>23</v>
      </c>
      <c r="G366" t="s">
        <v>34</v>
      </c>
      <c r="H366" t="s">
        <v>75</v>
      </c>
      <c r="I366" t="s">
        <v>332</v>
      </c>
      <c r="J366">
        <v>890</v>
      </c>
      <c r="K366">
        <v>57</v>
      </c>
      <c r="L366" t="s">
        <v>71</v>
      </c>
      <c r="M366">
        <v>146</v>
      </c>
      <c r="N366">
        <v>41.1</v>
      </c>
      <c r="O366">
        <v>76.900000000000006</v>
      </c>
      <c r="P366">
        <v>5.59</v>
      </c>
      <c r="Q366">
        <v>3.91</v>
      </c>
      <c r="R366" t="s">
        <v>245</v>
      </c>
      <c r="S366" t="s">
        <v>39</v>
      </c>
      <c r="T366" t="s">
        <v>48</v>
      </c>
      <c r="U366" t="str">
        <f t="shared" si="15"/>
        <v>Normal</v>
      </c>
      <c r="V366" t="str">
        <f t="shared" si="16"/>
        <v>Normal</v>
      </c>
      <c r="W366" t="str">
        <f t="shared" si="17"/>
        <v>Normal</v>
      </c>
    </row>
    <row r="367" spans="1:23" x14ac:dyDescent="0.3">
      <c r="A367">
        <v>10181</v>
      </c>
      <c r="B367" s="2">
        <v>45766</v>
      </c>
      <c r="C367" t="s">
        <v>31</v>
      </c>
      <c r="D367" t="s">
        <v>32</v>
      </c>
      <c r="E367" t="s">
        <v>33</v>
      </c>
      <c r="F367" t="s">
        <v>41</v>
      </c>
      <c r="G367" t="s">
        <v>109</v>
      </c>
      <c r="H367" t="s">
        <v>43</v>
      </c>
      <c r="I367" t="s">
        <v>282</v>
      </c>
      <c r="J367">
        <v>763</v>
      </c>
      <c r="K367">
        <v>11</v>
      </c>
      <c r="L367" t="s">
        <v>71</v>
      </c>
      <c r="M367">
        <v>80</v>
      </c>
      <c r="N367">
        <v>44.9</v>
      </c>
      <c r="O367">
        <v>76.900000000000006</v>
      </c>
      <c r="P367">
        <v>6.85</v>
      </c>
      <c r="Q367">
        <v>1.56</v>
      </c>
      <c r="R367" t="s">
        <v>167</v>
      </c>
      <c r="S367" t="s">
        <v>39</v>
      </c>
      <c r="T367" t="s">
        <v>30</v>
      </c>
      <c r="U367" t="str">
        <f t="shared" si="15"/>
        <v>Normal</v>
      </c>
      <c r="V367" t="str">
        <f t="shared" si="16"/>
        <v>Normal</v>
      </c>
      <c r="W367" t="str">
        <f t="shared" si="17"/>
        <v>Normal</v>
      </c>
    </row>
    <row r="368" spans="1:23" x14ac:dyDescent="0.3">
      <c r="A368">
        <v>10022</v>
      </c>
      <c r="B368" s="2">
        <v>45732</v>
      </c>
      <c r="C368" t="s">
        <v>20</v>
      </c>
      <c r="D368" t="s">
        <v>21</v>
      </c>
      <c r="E368" t="s">
        <v>107</v>
      </c>
      <c r="F368" t="s">
        <v>23</v>
      </c>
      <c r="G368" t="s">
        <v>24</v>
      </c>
      <c r="H368" t="s">
        <v>120</v>
      </c>
      <c r="I368" t="s">
        <v>309</v>
      </c>
      <c r="J368">
        <v>1471</v>
      </c>
      <c r="K368">
        <v>19</v>
      </c>
      <c r="L368" t="s">
        <v>27</v>
      </c>
      <c r="M368">
        <v>105</v>
      </c>
      <c r="N368">
        <v>47.2</v>
      </c>
      <c r="O368">
        <v>76.900000000000006</v>
      </c>
      <c r="P368">
        <v>5.18</v>
      </c>
      <c r="Q368">
        <v>2.93</v>
      </c>
      <c r="R368" t="s">
        <v>184</v>
      </c>
      <c r="S368" t="s">
        <v>73</v>
      </c>
      <c r="T368" t="s">
        <v>30</v>
      </c>
      <c r="U368" t="str">
        <f t="shared" si="15"/>
        <v>Normal</v>
      </c>
      <c r="V368" t="str">
        <f t="shared" si="16"/>
        <v>Normal</v>
      </c>
      <c r="W368" t="str">
        <f t="shared" si="17"/>
        <v>Normal</v>
      </c>
    </row>
    <row r="369" spans="1:23" x14ac:dyDescent="0.3">
      <c r="A369">
        <v>10122</v>
      </c>
      <c r="B369" s="2">
        <v>45964</v>
      </c>
      <c r="C369" t="s">
        <v>31</v>
      </c>
      <c r="D369" t="s">
        <v>59</v>
      </c>
      <c r="E369" t="s">
        <v>33</v>
      </c>
      <c r="F369" t="s">
        <v>41</v>
      </c>
      <c r="G369" t="s">
        <v>50</v>
      </c>
      <c r="H369" t="s">
        <v>192</v>
      </c>
      <c r="I369" t="s">
        <v>335</v>
      </c>
      <c r="J369">
        <v>605</v>
      </c>
      <c r="K369">
        <v>8</v>
      </c>
      <c r="L369" t="s">
        <v>45</v>
      </c>
      <c r="M369">
        <v>154</v>
      </c>
      <c r="N369">
        <v>47.6</v>
      </c>
      <c r="O369">
        <v>76.900000000000006</v>
      </c>
      <c r="P369">
        <v>4.82</v>
      </c>
      <c r="Q369">
        <v>3.53</v>
      </c>
      <c r="R369" t="s">
        <v>111</v>
      </c>
      <c r="S369" t="s">
        <v>47</v>
      </c>
      <c r="T369" t="s">
        <v>30</v>
      </c>
      <c r="U369" t="str">
        <f t="shared" si="15"/>
        <v>Normal</v>
      </c>
      <c r="V369" t="str">
        <f t="shared" si="16"/>
        <v>Normal</v>
      </c>
      <c r="W369" t="str">
        <f t="shared" si="17"/>
        <v>Normal</v>
      </c>
    </row>
    <row r="370" spans="1:23" x14ac:dyDescent="0.3">
      <c r="A370">
        <v>10248</v>
      </c>
      <c r="B370" s="2">
        <v>45991</v>
      </c>
      <c r="C370" t="s">
        <v>20</v>
      </c>
      <c r="D370" t="s">
        <v>64</v>
      </c>
      <c r="E370" t="s">
        <v>22</v>
      </c>
      <c r="F370" t="s">
        <v>81</v>
      </c>
      <c r="G370" t="s">
        <v>50</v>
      </c>
      <c r="H370" t="s">
        <v>165</v>
      </c>
      <c r="I370" t="s">
        <v>211</v>
      </c>
      <c r="J370">
        <v>900</v>
      </c>
      <c r="K370">
        <v>26</v>
      </c>
      <c r="L370" t="s">
        <v>68</v>
      </c>
      <c r="M370">
        <v>26</v>
      </c>
      <c r="N370">
        <v>56.7</v>
      </c>
      <c r="O370">
        <v>76.8</v>
      </c>
      <c r="P370">
        <v>4.8099999999999996</v>
      </c>
      <c r="Q370">
        <v>3.7</v>
      </c>
      <c r="R370" t="s">
        <v>195</v>
      </c>
      <c r="S370" t="s">
        <v>29</v>
      </c>
      <c r="T370" t="s">
        <v>30</v>
      </c>
      <c r="U370" t="str">
        <f t="shared" si="15"/>
        <v>Normal</v>
      </c>
      <c r="V370" t="str">
        <f t="shared" si="16"/>
        <v>Normal</v>
      </c>
      <c r="W370" t="str">
        <f t="shared" si="17"/>
        <v>Normal</v>
      </c>
    </row>
    <row r="371" spans="1:23" x14ac:dyDescent="0.3">
      <c r="A371">
        <v>11044</v>
      </c>
      <c r="B371" s="2">
        <v>45968</v>
      </c>
      <c r="C371" t="s">
        <v>20</v>
      </c>
      <c r="D371" t="s">
        <v>21</v>
      </c>
      <c r="E371" t="s">
        <v>33</v>
      </c>
      <c r="F371" t="s">
        <v>41</v>
      </c>
      <c r="G371" t="s">
        <v>134</v>
      </c>
      <c r="H371" t="s">
        <v>205</v>
      </c>
      <c r="I371" t="s">
        <v>176</v>
      </c>
      <c r="J371">
        <v>1220</v>
      </c>
      <c r="K371">
        <v>10</v>
      </c>
      <c r="L371" t="s">
        <v>37</v>
      </c>
      <c r="M371">
        <v>144</v>
      </c>
      <c r="N371">
        <v>36.799999999999997</v>
      </c>
      <c r="O371">
        <v>76.8</v>
      </c>
      <c r="P371">
        <v>4.83</v>
      </c>
      <c r="Q371">
        <v>2.13</v>
      </c>
      <c r="R371" t="s">
        <v>227</v>
      </c>
      <c r="S371" t="s">
        <v>73</v>
      </c>
      <c r="T371" t="s">
        <v>30</v>
      </c>
      <c r="U371" t="str">
        <f t="shared" si="15"/>
        <v>Normal</v>
      </c>
      <c r="V371" t="str">
        <f t="shared" si="16"/>
        <v>Normal</v>
      </c>
      <c r="W371" t="str">
        <f t="shared" si="17"/>
        <v>Normal</v>
      </c>
    </row>
    <row r="372" spans="1:23" x14ac:dyDescent="0.3">
      <c r="A372">
        <v>11392</v>
      </c>
      <c r="B372" s="2">
        <v>45752</v>
      </c>
      <c r="C372" t="s">
        <v>49</v>
      </c>
      <c r="D372" t="s">
        <v>64</v>
      </c>
      <c r="E372" t="s">
        <v>33</v>
      </c>
      <c r="F372" t="s">
        <v>23</v>
      </c>
      <c r="G372" t="s">
        <v>34</v>
      </c>
      <c r="H372" t="s">
        <v>99</v>
      </c>
      <c r="I372" t="s">
        <v>67</v>
      </c>
      <c r="J372">
        <v>507</v>
      </c>
      <c r="K372">
        <v>18</v>
      </c>
      <c r="L372" t="s">
        <v>57</v>
      </c>
      <c r="M372">
        <v>24</v>
      </c>
      <c r="N372">
        <v>38.6</v>
      </c>
      <c r="O372">
        <v>76.8</v>
      </c>
      <c r="P372">
        <v>5.04</v>
      </c>
      <c r="Q372">
        <v>4.26</v>
      </c>
      <c r="R372" t="s">
        <v>189</v>
      </c>
      <c r="S372" t="s">
        <v>29</v>
      </c>
      <c r="T372" t="s">
        <v>48</v>
      </c>
      <c r="U372" t="str">
        <f t="shared" si="15"/>
        <v>Normal</v>
      </c>
      <c r="V372" t="str">
        <f t="shared" si="16"/>
        <v>Normal</v>
      </c>
      <c r="W372" t="str">
        <f t="shared" si="17"/>
        <v>Normal</v>
      </c>
    </row>
    <row r="373" spans="1:23" x14ac:dyDescent="0.3">
      <c r="A373">
        <v>11023</v>
      </c>
      <c r="B373" s="2">
        <v>45948</v>
      </c>
      <c r="C373" t="s">
        <v>20</v>
      </c>
      <c r="D373" t="s">
        <v>64</v>
      </c>
      <c r="E373" t="s">
        <v>22</v>
      </c>
      <c r="F373" t="s">
        <v>41</v>
      </c>
      <c r="G373" t="s">
        <v>34</v>
      </c>
      <c r="H373" t="s">
        <v>51</v>
      </c>
      <c r="I373" t="s">
        <v>312</v>
      </c>
      <c r="J373">
        <v>997</v>
      </c>
      <c r="K373">
        <v>3</v>
      </c>
      <c r="L373" t="s">
        <v>45</v>
      </c>
      <c r="M373">
        <v>54</v>
      </c>
      <c r="N373">
        <v>49.5</v>
      </c>
      <c r="O373">
        <v>76.8</v>
      </c>
      <c r="P373">
        <v>4.72</v>
      </c>
      <c r="Q373">
        <v>2.2599999999999998</v>
      </c>
      <c r="R373" t="s">
        <v>125</v>
      </c>
      <c r="S373" t="s">
        <v>73</v>
      </c>
      <c r="T373" t="s">
        <v>30</v>
      </c>
      <c r="U373" t="str">
        <f t="shared" si="15"/>
        <v>Normal</v>
      </c>
      <c r="V373" t="str">
        <f t="shared" si="16"/>
        <v>Normal</v>
      </c>
      <c r="W373" t="str">
        <f t="shared" si="17"/>
        <v>Normal</v>
      </c>
    </row>
    <row r="374" spans="1:23" x14ac:dyDescent="0.3">
      <c r="A374">
        <v>11061</v>
      </c>
      <c r="B374" s="2">
        <v>45782</v>
      </c>
      <c r="C374" t="s">
        <v>49</v>
      </c>
      <c r="D374" t="s">
        <v>32</v>
      </c>
      <c r="E374" t="s">
        <v>22</v>
      </c>
      <c r="F374" t="s">
        <v>41</v>
      </c>
      <c r="G374" t="s">
        <v>24</v>
      </c>
      <c r="H374" t="s">
        <v>93</v>
      </c>
      <c r="I374" t="s">
        <v>219</v>
      </c>
      <c r="J374">
        <v>1056</v>
      </c>
      <c r="K374">
        <v>11</v>
      </c>
      <c r="L374" t="s">
        <v>68</v>
      </c>
      <c r="M374">
        <v>61</v>
      </c>
      <c r="N374">
        <v>45.7</v>
      </c>
      <c r="O374">
        <v>76.8</v>
      </c>
      <c r="P374">
        <v>3.87</v>
      </c>
      <c r="Q374">
        <v>2.9</v>
      </c>
      <c r="R374" t="s">
        <v>38</v>
      </c>
      <c r="S374" t="s">
        <v>29</v>
      </c>
      <c r="T374" t="s">
        <v>30</v>
      </c>
      <c r="U374" t="str">
        <f t="shared" si="15"/>
        <v>Normal</v>
      </c>
      <c r="V374" t="str">
        <f t="shared" si="16"/>
        <v>Normal</v>
      </c>
      <c r="W374" t="str">
        <f t="shared" si="17"/>
        <v>Normal</v>
      </c>
    </row>
    <row r="375" spans="1:23" x14ac:dyDescent="0.3">
      <c r="A375">
        <v>10151</v>
      </c>
      <c r="B375" s="2">
        <v>45931</v>
      </c>
      <c r="C375" t="s">
        <v>31</v>
      </c>
      <c r="D375" t="s">
        <v>21</v>
      </c>
      <c r="E375" t="s">
        <v>33</v>
      </c>
      <c r="F375" t="s">
        <v>41</v>
      </c>
      <c r="G375" t="s">
        <v>109</v>
      </c>
      <c r="H375" t="s">
        <v>25</v>
      </c>
      <c r="I375" t="s">
        <v>284</v>
      </c>
      <c r="J375">
        <v>1573</v>
      </c>
      <c r="K375">
        <v>17</v>
      </c>
      <c r="L375" t="s">
        <v>68</v>
      </c>
      <c r="M375">
        <v>69</v>
      </c>
      <c r="N375">
        <v>39.700000000000003</v>
      </c>
      <c r="O375">
        <v>76.8</v>
      </c>
      <c r="P375">
        <v>4.76</v>
      </c>
      <c r="Q375">
        <v>2.62</v>
      </c>
      <c r="R375" t="s">
        <v>179</v>
      </c>
      <c r="S375" t="s">
        <v>424</v>
      </c>
      <c r="T375" t="s">
        <v>30</v>
      </c>
      <c r="U375" t="str">
        <f t="shared" si="15"/>
        <v>Normal</v>
      </c>
      <c r="V375" t="str">
        <f t="shared" si="16"/>
        <v>Normal</v>
      </c>
      <c r="W375" t="str">
        <f t="shared" si="17"/>
        <v>Normal</v>
      </c>
    </row>
    <row r="376" spans="1:23" x14ac:dyDescent="0.3">
      <c r="A376">
        <v>10045</v>
      </c>
      <c r="B376" s="2">
        <v>45959</v>
      </c>
      <c r="C376" t="s">
        <v>31</v>
      </c>
      <c r="D376" t="s">
        <v>21</v>
      </c>
      <c r="E376" t="s">
        <v>33</v>
      </c>
      <c r="F376" t="s">
        <v>41</v>
      </c>
      <c r="G376" t="s">
        <v>42</v>
      </c>
      <c r="H376" t="s">
        <v>200</v>
      </c>
      <c r="I376" t="s">
        <v>236</v>
      </c>
      <c r="J376">
        <v>460</v>
      </c>
      <c r="K376">
        <v>7</v>
      </c>
      <c r="L376" t="s">
        <v>37</v>
      </c>
      <c r="M376">
        <v>108</v>
      </c>
      <c r="N376">
        <v>54.5</v>
      </c>
      <c r="O376">
        <v>76.7</v>
      </c>
      <c r="P376">
        <v>5.37</v>
      </c>
      <c r="Q376">
        <v>3.29</v>
      </c>
      <c r="R376" t="s">
        <v>80</v>
      </c>
      <c r="S376" t="s">
        <v>73</v>
      </c>
      <c r="T376" t="s">
        <v>30</v>
      </c>
      <c r="U376" t="str">
        <f t="shared" si="15"/>
        <v>Normal</v>
      </c>
      <c r="V376" t="str">
        <f t="shared" si="16"/>
        <v>Normal</v>
      </c>
      <c r="W376" t="str">
        <f t="shared" si="17"/>
        <v>Normal</v>
      </c>
    </row>
    <row r="377" spans="1:23" x14ac:dyDescent="0.3">
      <c r="A377">
        <v>11496</v>
      </c>
      <c r="B377" s="2">
        <v>45741</v>
      </c>
      <c r="C377" t="s">
        <v>49</v>
      </c>
      <c r="D377" t="s">
        <v>59</v>
      </c>
      <c r="E377" t="s">
        <v>107</v>
      </c>
      <c r="F377" t="s">
        <v>81</v>
      </c>
      <c r="G377" t="s">
        <v>54</v>
      </c>
      <c r="H377" t="s">
        <v>148</v>
      </c>
      <c r="I377" t="s">
        <v>70</v>
      </c>
      <c r="J377">
        <v>1560</v>
      </c>
      <c r="K377">
        <v>10</v>
      </c>
      <c r="L377" t="s">
        <v>45</v>
      </c>
      <c r="M377">
        <v>22</v>
      </c>
      <c r="N377">
        <v>42.8</v>
      </c>
      <c r="O377">
        <v>76.7</v>
      </c>
      <c r="P377">
        <v>5.43</v>
      </c>
      <c r="Q377">
        <v>2.25</v>
      </c>
      <c r="R377" t="s">
        <v>46</v>
      </c>
      <c r="S377" t="s">
        <v>39</v>
      </c>
      <c r="T377" t="s">
        <v>30</v>
      </c>
      <c r="U377" t="str">
        <f t="shared" si="15"/>
        <v>Normal</v>
      </c>
      <c r="V377" t="str">
        <f t="shared" si="16"/>
        <v>Normal</v>
      </c>
      <c r="W377" t="str">
        <f t="shared" si="17"/>
        <v>Normal</v>
      </c>
    </row>
    <row r="378" spans="1:23" x14ac:dyDescent="0.3">
      <c r="A378">
        <v>10918</v>
      </c>
      <c r="B378" s="2">
        <v>45709</v>
      </c>
      <c r="C378" t="s">
        <v>20</v>
      </c>
      <c r="D378" t="s">
        <v>59</v>
      </c>
      <c r="E378" t="s">
        <v>40</v>
      </c>
      <c r="F378" t="s">
        <v>23</v>
      </c>
      <c r="G378" t="s">
        <v>89</v>
      </c>
      <c r="H378" t="s">
        <v>96</v>
      </c>
      <c r="I378" t="s">
        <v>194</v>
      </c>
      <c r="J378">
        <v>770</v>
      </c>
      <c r="K378">
        <v>45</v>
      </c>
      <c r="L378" t="s">
        <v>37</v>
      </c>
      <c r="M378">
        <v>167</v>
      </c>
      <c r="N378">
        <v>42.1</v>
      </c>
      <c r="O378">
        <v>76.7</v>
      </c>
      <c r="P378">
        <v>3.76</v>
      </c>
      <c r="Q378">
        <v>3.9</v>
      </c>
      <c r="R378" t="s">
        <v>84</v>
      </c>
      <c r="S378" t="s">
        <v>39</v>
      </c>
      <c r="T378" t="s">
        <v>48</v>
      </c>
      <c r="U378" t="str">
        <f t="shared" si="15"/>
        <v>Normal</v>
      </c>
      <c r="V378" t="str">
        <f t="shared" si="16"/>
        <v>Normal</v>
      </c>
      <c r="W378" t="str">
        <f t="shared" si="17"/>
        <v>Normal</v>
      </c>
    </row>
    <row r="379" spans="1:23" x14ac:dyDescent="0.3">
      <c r="A379">
        <v>11290</v>
      </c>
      <c r="B379" s="2">
        <v>45791</v>
      </c>
      <c r="C379" t="s">
        <v>20</v>
      </c>
      <c r="D379" t="s">
        <v>64</v>
      </c>
      <c r="E379" t="s">
        <v>22</v>
      </c>
      <c r="F379" t="s">
        <v>23</v>
      </c>
      <c r="G379" t="s">
        <v>42</v>
      </c>
      <c r="H379" t="s">
        <v>223</v>
      </c>
      <c r="I379" t="s">
        <v>364</v>
      </c>
      <c r="J379">
        <v>1171</v>
      </c>
      <c r="K379">
        <v>20</v>
      </c>
      <c r="L379" t="s">
        <v>37</v>
      </c>
      <c r="M379">
        <v>80</v>
      </c>
      <c r="N379">
        <v>30.9</v>
      </c>
      <c r="O379">
        <v>76.7</v>
      </c>
      <c r="P379">
        <v>5.2</v>
      </c>
      <c r="Q379">
        <v>3.25</v>
      </c>
      <c r="R379" t="s">
        <v>63</v>
      </c>
      <c r="S379" t="s">
        <v>73</v>
      </c>
      <c r="T379" t="s">
        <v>30</v>
      </c>
      <c r="U379" t="str">
        <f t="shared" si="15"/>
        <v>Normal</v>
      </c>
      <c r="V379" t="str">
        <f t="shared" si="16"/>
        <v>Normal</v>
      </c>
      <c r="W379" t="str">
        <f t="shared" si="17"/>
        <v>Normal</v>
      </c>
    </row>
    <row r="380" spans="1:23" x14ac:dyDescent="0.3">
      <c r="A380">
        <v>10664</v>
      </c>
      <c r="B380" s="2">
        <v>45992</v>
      </c>
      <c r="C380" t="s">
        <v>31</v>
      </c>
      <c r="D380" t="s">
        <v>64</v>
      </c>
      <c r="E380" t="s">
        <v>107</v>
      </c>
      <c r="F380" t="s">
        <v>23</v>
      </c>
      <c r="G380" t="s">
        <v>95</v>
      </c>
      <c r="H380" t="s">
        <v>278</v>
      </c>
      <c r="I380" t="s">
        <v>163</v>
      </c>
      <c r="J380">
        <v>495</v>
      </c>
      <c r="K380">
        <v>2</v>
      </c>
      <c r="L380" t="s">
        <v>57</v>
      </c>
      <c r="M380">
        <v>103</v>
      </c>
      <c r="N380">
        <v>40.700000000000003</v>
      </c>
      <c r="O380">
        <v>76.7</v>
      </c>
      <c r="P380">
        <v>5.69</v>
      </c>
      <c r="Q380">
        <v>2.85</v>
      </c>
      <c r="R380" t="s">
        <v>122</v>
      </c>
      <c r="S380" t="s">
        <v>29</v>
      </c>
      <c r="T380" t="s">
        <v>30</v>
      </c>
      <c r="U380" t="str">
        <f t="shared" si="15"/>
        <v>Normal</v>
      </c>
      <c r="V380" t="str">
        <f t="shared" si="16"/>
        <v>Normal</v>
      </c>
      <c r="W380" t="str">
        <f t="shared" si="17"/>
        <v>Normal</v>
      </c>
    </row>
    <row r="381" spans="1:23" x14ac:dyDescent="0.3">
      <c r="A381">
        <v>11488</v>
      </c>
      <c r="B381" s="2">
        <v>45767</v>
      </c>
      <c r="C381" t="s">
        <v>31</v>
      </c>
      <c r="D381" t="s">
        <v>59</v>
      </c>
      <c r="E381" t="s">
        <v>22</v>
      </c>
      <c r="F381" t="s">
        <v>41</v>
      </c>
      <c r="G381" t="s">
        <v>50</v>
      </c>
      <c r="H381" t="s">
        <v>144</v>
      </c>
      <c r="I381" t="s">
        <v>370</v>
      </c>
      <c r="J381">
        <v>1321</v>
      </c>
      <c r="K381">
        <v>10</v>
      </c>
      <c r="L381" t="s">
        <v>57</v>
      </c>
      <c r="M381">
        <v>170</v>
      </c>
      <c r="N381">
        <v>41</v>
      </c>
      <c r="O381">
        <v>76.7</v>
      </c>
      <c r="P381">
        <v>4.71</v>
      </c>
      <c r="Q381">
        <v>4.53</v>
      </c>
      <c r="R381" t="s">
        <v>232</v>
      </c>
      <c r="S381" t="s">
        <v>47</v>
      </c>
      <c r="T381" t="s">
        <v>30</v>
      </c>
      <c r="U381" t="str">
        <f t="shared" si="15"/>
        <v>Normal</v>
      </c>
      <c r="V381" t="str">
        <f t="shared" si="16"/>
        <v>Normal</v>
      </c>
      <c r="W381" t="str">
        <f t="shared" si="17"/>
        <v>Normal</v>
      </c>
    </row>
    <row r="382" spans="1:23" x14ac:dyDescent="0.3">
      <c r="A382">
        <v>10722</v>
      </c>
      <c r="B382" s="2">
        <v>45928</v>
      </c>
      <c r="C382" t="s">
        <v>31</v>
      </c>
      <c r="D382" t="s">
        <v>32</v>
      </c>
      <c r="E382" t="s">
        <v>33</v>
      </c>
      <c r="F382" t="s">
        <v>41</v>
      </c>
      <c r="G382" t="s">
        <v>50</v>
      </c>
      <c r="H382" t="s">
        <v>88</v>
      </c>
      <c r="I382" t="s">
        <v>151</v>
      </c>
      <c r="J382">
        <v>700</v>
      </c>
      <c r="K382">
        <v>5</v>
      </c>
      <c r="L382" t="s">
        <v>57</v>
      </c>
      <c r="M382">
        <v>65</v>
      </c>
      <c r="N382">
        <v>42.2</v>
      </c>
      <c r="O382">
        <v>76.599999999999994</v>
      </c>
      <c r="P382">
        <v>5.63</v>
      </c>
      <c r="Q382">
        <v>0.09</v>
      </c>
      <c r="R382" t="s">
        <v>152</v>
      </c>
      <c r="S382" t="s">
        <v>73</v>
      </c>
      <c r="T382" t="s">
        <v>30</v>
      </c>
      <c r="U382" t="str">
        <f t="shared" si="15"/>
        <v>Normal</v>
      </c>
      <c r="V382" t="str">
        <f t="shared" si="16"/>
        <v>Normal</v>
      </c>
      <c r="W382" t="str">
        <f t="shared" si="17"/>
        <v>Normal</v>
      </c>
    </row>
    <row r="383" spans="1:23" x14ac:dyDescent="0.3">
      <c r="A383">
        <v>10221</v>
      </c>
      <c r="B383" s="2">
        <v>45753</v>
      </c>
      <c r="C383" t="s">
        <v>31</v>
      </c>
      <c r="D383" t="s">
        <v>21</v>
      </c>
      <c r="E383" t="s">
        <v>22</v>
      </c>
      <c r="F383" t="s">
        <v>41</v>
      </c>
      <c r="G383" t="s">
        <v>109</v>
      </c>
      <c r="H383" t="s">
        <v>177</v>
      </c>
      <c r="I383" t="s">
        <v>256</v>
      </c>
      <c r="J383">
        <v>1479</v>
      </c>
      <c r="K383">
        <v>9</v>
      </c>
      <c r="L383" t="s">
        <v>45</v>
      </c>
      <c r="M383">
        <v>39</v>
      </c>
      <c r="N383">
        <v>41.1</v>
      </c>
      <c r="O383">
        <v>76.599999999999994</v>
      </c>
      <c r="P383">
        <v>4.63</v>
      </c>
      <c r="Q383">
        <v>3.74</v>
      </c>
      <c r="R383" t="s">
        <v>80</v>
      </c>
      <c r="S383" t="s">
        <v>39</v>
      </c>
      <c r="T383" t="s">
        <v>30</v>
      </c>
      <c r="U383" t="str">
        <f t="shared" si="15"/>
        <v>Normal</v>
      </c>
      <c r="V383" t="str">
        <f t="shared" si="16"/>
        <v>Normal</v>
      </c>
      <c r="W383" t="str">
        <f t="shared" si="17"/>
        <v>Normal</v>
      </c>
    </row>
    <row r="384" spans="1:23" x14ac:dyDescent="0.3">
      <c r="A384">
        <v>10247</v>
      </c>
      <c r="B384" s="2">
        <v>45780</v>
      </c>
      <c r="C384" t="s">
        <v>31</v>
      </c>
      <c r="D384" t="s">
        <v>32</v>
      </c>
      <c r="E384" t="s">
        <v>40</v>
      </c>
      <c r="F384" t="s">
        <v>41</v>
      </c>
      <c r="G384" t="s">
        <v>95</v>
      </c>
      <c r="H384" t="s">
        <v>213</v>
      </c>
      <c r="I384" t="s">
        <v>374</v>
      </c>
      <c r="J384">
        <v>1526</v>
      </c>
      <c r="K384">
        <v>13</v>
      </c>
      <c r="L384" t="s">
        <v>27</v>
      </c>
      <c r="M384">
        <v>115</v>
      </c>
      <c r="N384">
        <v>39.6</v>
      </c>
      <c r="O384">
        <v>76.599999999999994</v>
      </c>
      <c r="P384">
        <v>5.1100000000000003</v>
      </c>
      <c r="Q384">
        <v>1.27</v>
      </c>
      <c r="R384" t="s">
        <v>186</v>
      </c>
      <c r="S384" t="s">
        <v>73</v>
      </c>
      <c r="T384" t="s">
        <v>30</v>
      </c>
      <c r="U384" t="str">
        <f t="shared" si="15"/>
        <v>Normal</v>
      </c>
      <c r="V384" t="str">
        <f t="shared" si="16"/>
        <v>Normal</v>
      </c>
      <c r="W384" t="str">
        <f t="shared" si="17"/>
        <v>Normal</v>
      </c>
    </row>
    <row r="385" spans="1:23" x14ac:dyDescent="0.3">
      <c r="A385">
        <v>10932</v>
      </c>
      <c r="B385" s="2">
        <v>45779</v>
      </c>
      <c r="C385" t="s">
        <v>20</v>
      </c>
      <c r="D385" t="s">
        <v>32</v>
      </c>
      <c r="E385" t="s">
        <v>40</v>
      </c>
      <c r="F385" t="s">
        <v>41</v>
      </c>
      <c r="G385" t="s">
        <v>74</v>
      </c>
      <c r="H385" t="s">
        <v>263</v>
      </c>
      <c r="I385" t="s">
        <v>191</v>
      </c>
      <c r="J385">
        <v>604</v>
      </c>
      <c r="K385">
        <v>5</v>
      </c>
      <c r="L385" t="s">
        <v>424</v>
      </c>
      <c r="M385">
        <v>63</v>
      </c>
      <c r="N385">
        <v>33.4</v>
      </c>
      <c r="O385">
        <v>76.5</v>
      </c>
      <c r="P385">
        <v>5.0999999999999996</v>
      </c>
      <c r="Q385">
        <v>1.3</v>
      </c>
      <c r="R385" t="s">
        <v>119</v>
      </c>
      <c r="S385" t="s">
        <v>29</v>
      </c>
      <c r="T385" t="s">
        <v>30</v>
      </c>
      <c r="U385" t="str">
        <f t="shared" si="15"/>
        <v>Normal</v>
      </c>
      <c r="V385" t="str">
        <f t="shared" si="16"/>
        <v>Normal</v>
      </c>
      <c r="W385" t="str">
        <f t="shared" si="17"/>
        <v>Normal</v>
      </c>
    </row>
    <row r="386" spans="1:23" x14ac:dyDescent="0.3">
      <c r="A386">
        <v>10635</v>
      </c>
      <c r="B386" s="2">
        <v>45691</v>
      </c>
      <c r="C386" t="s">
        <v>31</v>
      </c>
      <c r="D386" t="s">
        <v>32</v>
      </c>
      <c r="E386" t="s">
        <v>40</v>
      </c>
      <c r="F386" t="s">
        <v>23</v>
      </c>
      <c r="G386" t="s">
        <v>74</v>
      </c>
      <c r="H386" t="s">
        <v>61</v>
      </c>
      <c r="I386" t="s">
        <v>62</v>
      </c>
      <c r="J386">
        <v>1283</v>
      </c>
      <c r="K386">
        <v>17</v>
      </c>
      <c r="L386" t="s">
        <v>37</v>
      </c>
      <c r="M386">
        <v>116</v>
      </c>
      <c r="N386">
        <v>44.3</v>
      </c>
      <c r="O386">
        <v>76.5</v>
      </c>
      <c r="P386">
        <v>5.39</v>
      </c>
      <c r="Q386">
        <v>1.47</v>
      </c>
      <c r="R386" t="s">
        <v>152</v>
      </c>
      <c r="S386" t="s">
        <v>29</v>
      </c>
      <c r="T386" t="s">
        <v>30</v>
      </c>
      <c r="U386" t="str">
        <f t="shared" ref="U386:U449" si="18">IF(OR(O386&lt;20,O386&gt;100),"Investigate","Normal")</f>
        <v>Normal</v>
      </c>
      <c r="V386" t="str">
        <f t="shared" ref="V386:V449" si="19">IF(OR(P386&lt;2,P386&gt;10),"Investigate","Normal")</f>
        <v>Normal</v>
      </c>
      <c r="W386" t="str">
        <f t="shared" ref="W386:W449" si="20">IF(Q386&gt;10,"Investigate","Normal")</f>
        <v>Normal</v>
      </c>
    </row>
    <row r="387" spans="1:23" x14ac:dyDescent="0.3">
      <c r="A387">
        <v>10539</v>
      </c>
      <c r="B387" s="2">
        <v>45798</v>
      </c>
      <c r="C387" t="s">
        <v>20</v>
      </c>
      <c r="D387" t="s">
        <v>21</v>
      </c>
      <c r="E387" t="s">
        <v>40</v>
      </c>
      <c r="F387" t="s">
        <v>81</v>
      </c>
      <c r="G387" t="s">
        <v>74</v>
      </c>
      <c r="H387" t="s">
        <v>172</v>
      </c>
      <c r="I387" t="s">
        <v>348</v>
      </c>
      <c r="J387">
        <v>1319</v>
      </c>
      <c r="K387">
        <v>7</v>
      </c>
      <c r="L387" t="s">
        <v>71</v>
      </c>
      <c r="M387">
        <v>173</v>
      </c>
      <c r="N387">
        <v>46.5</v>
      </c>
      <c r="O387">
        <v>76.5</v>
      </c>
      <c r="P387">
        <v>4.04</v>
      </c>
      <c r="Q387">
        <v>2.76</v>
      </c>
      <c r="R387" t="s">
        <v>152</v>
      </c>
      <c r="S387" t="s">
        <v>73</v>
      </c>
      <c r="T387" t="s">
        <v>30</v>
      </c>
      <c r="U387" t="str">
        <f t="shared" si="18"/>
        <v>Normal</v>
      </c>
      <c r="V387" t="str">
        <f t="shared" si="19"/>
        <v>Normal</v>
      </c>
      <c r="W387" t="str">
        <f t="shared" si="20"/>
        <v>Normal</v>
      </c>
    </row>
    <row r="388" spans="1:23" x14ac:dyDescent="0.3">
      <c r="A388">
        <v>11464</v>
      </c>
      <c r="B388" s="2">
        <v>45942</v>
      </c>
      <c r="C388" t="s">
        <v>20</v>
      </c>
      <c r="D388" t="s">
        <v>21</v>
      </c>
      <c r="E388" t="s">
        <v>40</v>
      </c>
      <c r="F388" t="s">
        <v>41</v>
      </c>
      <c r="G388" t="s">
        <v>60</v>
      </c>
      <c r="H388" t="s">
        <v>138</v>
      </c>
      <c r="I388" t="s">
        <v>162</v>
      </c>
      <c r="J388">
        <v>1347</v>
      </c>
      <c r="K388">
        <v>89</v>
      </c>
      <c r="L388" t="s">
        <v>71</v>
      </c>
      <c r="M388">
        <v>143</v>
      </c>
      <c r="N388">
        <v>44.2</v>
      </c>
      <c r="O388">
        <v>76.5</v>
      </c>
      <c r="P388">
        <v>5.63</v>
      </c>
      <c r="Q388">
        <v>3.38</v>
      </c>
      <c r="R388" t="s">
        <v>147</v>
      </c>
      <c r="S388" t="s">
        <v>39</v>
      </c>
      <c r="T388" t="s">
        <v>48</v>
      </c>
      <c r="U388" t="str">
        <f t="shared" si="18"/>
        <v>Normal</v>
      </c>
      <c r="V388" t="str">
        <f t="shared" si="19"/>
        <v>Normal</v>
      </c>
      <c r="W388" t="str">
        <f t="shared" si="20"/>
        <v>Normal</v>
      </c>
    </row>
    <row r="389" spans="1:23" x14ac:dyDescent="0.3">
      <c r="A389">
        <v>11001</v>
      </c>
      <c r="B389" s="2">
        <v>45745</v>
      </c>
      <c r="C389" t="s">
        <v>49</v>
      </c>
      <c r="D389" t="s">
        <v>64</v>
      </c>
      <c r="E389" t="s">
        <v>40</v>
      </c>
      <c r="F389" t="s">
        <v>41</v>
      </c>
      <c r="G389" t="s">
        <v>89</v>
      </c>
      <c r="H389" t="s">
        <v>175</v>
      </c>
      <c r="I389" t="s">
        <v>290</v>
      </c>
      <c r="J389">
        <v>651</v>
      </c>
      <c r="K389">
        <v>21</v>
      </c>
      <c r="L389" t="s">
        <v>45</v>
      </c>
      <c r="M389">
        <v>50</v>
      </c>
      <c r="N389">
        <v>39</v>
      </c>
      <c r="O389">
        <v>76.5</v>
      </c>
      <c r="P389">
        <v>4.75</v>
      </c>
      <c r="Q389">
        <v>3.54</v>
      </c>
      <c r="R389" t="s">
        <v>128</v>
      </c>
      <c r="S389" t="s">
        <v>47</v>
      </c>
      <c r="T389" t="s">
        <v>48</v>
      </c>
      <c r="U389" t="str">
        <f t="shared" si="18"/>
        <v>Normal</v>
      </c>
      <c r="V389" t="str">
        <f t="shared" si="19"/>
        <v>Normal</v>
      </c>
      <c r="W389" t="str">
        <f t="shared" si="20"/>
        <v>Normal</v>
      </c>
    </row>
    <row r="390" spans="1:23" x14ac:dyDescent="0.3">
      <c r="A390">
        <v>10446</v>
      </c>
      <c r="B390" s="2">
        <v>45753</v>
      </c>
      <c r="C390" t="s">
        <v>20</v>
      </c>
      <c r="D390" t="s">
        <v>64</v>
      </c>
      <c r="E390" t="s">
        <v>33</v>
      </c>
      <c r="F390" t="s">
        <v>23</v>
      </c>
      <c r="G390" t="s">
        <v>113</v>
      </c>
      <c r="H390" t="s">
        <v>148</v>
      </c>
      <c r="I390" t="s">
        <v>239</v>
      </c>
      <c r="J390">
        <v>684</v>
      </c>
      <c r="K390">
        <v>7</v>
      </c>
      <c r="L390" t="s">
        <v>45</v>
      </c>
      <c r="M390">
        <v>75</v>
      </c>
      <c r="N390">
        <v>36</v>
      </c>
      <c r="O390">
        <v>76.5</v>
      </c>
      <c r="P390">
        <v>5.73</v>
      </c>
      <c r="Q390">
        <v>2.31</v>
      </c>
      <c r="R390" t="s">
        <v>140</v>
      </c>
      <c r="S390" t="s">
        <v>73</v>
      </c>
      <c r="T390" t="s">
        <v>30</v>
      </c>
      <c r="U390" t="str">
        <f t="shared" si="18"/>
        <v>Normal</v>
      </c>
      <c r="V390" t="str">
        <f t="shared" si="19"/>
        <v>Normal</v>
      </c>
      <c r="W390" t="str">
        <f t="shared" si="20"/>
        <v>Normal</v>
      </c>
    </row>
    <row r="391" spans="1:23" x14ac:dyDescent="0.3">
      <c r="A391">
        <v>10194</v>
      </c>
      <c r="B391" s="2">
        <v>45731</v>
      </c>
      <c r="C391" t="s">
        <v>20</v>
      </c>
      <c r="D391" t="s">
        <v>32</v>
      </c>
      <c r="E391" t="s">
        <v>22</v>
      </c>
      <c r="F391" t="s">
        <v>23</v>
      </c>
      <c r="G391" t="s">
        <v>95</v>
      </c>
      <c r="H391" t="s">
        <v>78</v>
      </c>
      <c r="I391" t="s">
        <v>333</v>
      </c>
      <c r="J391">
        <v>1598</v>
      </c>
      <c r="K391">
        <v>47</v>
      </c>
      <c r="L391" t="s">
        <v>71</v>
      </c>
      <c r="M391">
        <v>143</v>
      </c>
      <c r="N391">
        <v>40.6</v>
      </c>
      <c r="O391">
        <v>76.5</v>
      </c>
      <c r="P391">
        <v>4.0199999999999996</v>
      </c>
      <c r="Q391">
        <v>2.96</v>
      </c>
      <c r="R391" t="s">
        <v>186</v>
      </c>
      <c r="S391" t="s">
        <v>73</v>
      </c>
      <c r="T391" t="s">
        <v>30</v>
      </c>
      <c r="U391" t="str">
        <f t="shared" si="18"/>
        <v>Normal</v>
      </c>
      <c r="V391" t="str">
        <f t="shared" si="19"/>
        <v>Normal</v>
      </c>
      <c r="W391" t="str">
        <f t="shared" si="20"/>
        <v>Normal</v>
      </c>
    </row>
    <row r="392" spans="1:23" x14ac:dyDescent="0.3">
      <c r="A392">
        <v>10819</v>
      </c>
      <c r="B392" s="2">
        <v>45944</v>
      </c>
      <c r="C392" t="s">
        <v>31</v>
      </c>
      <c r="D392" t="s">
        <v>59</v>
      </c>
      <c r="E392" t="s">
        <v>33</v>
      </c>
      <c r="F392" t="s">
        <v>41</v>
      </c>
      <c r="G392" t="s">
        <v>134</v>
      </c>
      <c r="H392" t="s">
        <v>192</v>
      </c>
      <c r="I392" t="s">
        <v>331</v>
      </c>
      <c r="J392">
        <v>1321</v>
      </c>
      <c r="K392">
        <v>5</v>
      </c>
      <c r="L392" t="s">
        <v>71</v>
      </c>
      <c r="M392">
        <v>102</v>
      </c>
      <c r="N392">
        <v>38.799999999999997</v>
      </c>
      <c r="O392">
        <v>76.400000000000006</v>
      </c>
      <c r="P392">
        <v>4.96</v>
      </c>
      <c r="Q392">
        <v>3.51</v>
      </c>
      <c r="R392" t="s">
        <v>130</v>
      </c>
      <c r="S392" t="s">
        <v>47</v>
      </c>
      <c r="T392" t="s">
        <v>30</v>
      </c>
      <c r="U392" t="str">
        <f t="shared" si="18"/>
        <v>Normal</v>
      </c>
      <c r="V392" t="str">
        <f t="shared" si="19"/>
        <v>Normal</v>
      </c>
      <c r="W392" t="str">
        <f t="shared" si="20"/>
        <v>Normal</v>
      </c>
    </row>
    <row r="393" spans="1:23" x14ac:dyDescent="0.3">
      <c r="A393">
        <v>10320</v>
      </c>
      <c r="B393" s="2">
        <v>45722</v>
      </c>
      <c r="C393" t="s">
        <v>20</v>
      </c>
      <c r="D393" t="s">
        <v>64</v>
      </c>
      <c r="E393" t="s">
        <v>40</v>
      </c>
      <c r="F393" t="s">
        <v>81</v>
      </c>
      <c r="G393" t="s">
        <v>34</v>
      </c>
      <c r="H393" t="s">
        <v>424</v>
      </c>
      <c r="I393" t="s">
        <v>79</v>
      </c>
      <c r="J393">
        <v>955</v>
      </c>
      <c r="K393">
        <v>10</v>
      </c>
      <c r="L393" t="s">
        <v>68</v>
      </c>
      <c r="M393">
        <v>7</v>
      </c>
      <c r="N393">
        <v>36.1</v>
      </c>
      <c r="O393">
        <v>76.400000000000006</v>
      </c>
      <c r="P393">
        <v>5.17</v>
      </c>
      <c r="Q393">
        <v>1.05</v>
      </c>
      <c r="R393" t="s">
        <v>103</v>
      </c>
      <c r="S393" t="s">
        <v>73</v>
      </c>
      <c r="T393" t="s">
        <v>30</v>
      </c>
      <c r="U393" t="str">
        <f t="shared" si="18"/>
        <v>Normal</v>
      </c>
      <c r="V393" t="str">
        <f t="shared" si="19"/>
        <v>Normal</v>
      </c>
      <c r="W393" t="str">
        <f t="shared" si="20"/>
        <v>Normal</v>
      </c>
    </row>
    <row r="394" spans="1:23" x14ac:dyDescent="0.3">
      <c r="A394">
        <v>10086</v>
      </c>
      <c r="B394" s="2">
        <v>45815</v>
      </c>
      <c r="C394" t="s">
        <v>49</v>
      </c>
      <c r="D394" t="s">
        <v>59</v>
      </c>
      <c r="E394" t="s">
        <v>22</v>
      </c>
      <c r="F394" t="s">
        <v>81</v>
      </c>
      <c r="G394" t="s">
        <v>60</v>
      </c>
      <c r="H394" t="s">
        <v>200</v>
      </c>
      <c r="I394" t="s">
        <v>203</v>
      </c>
      <c r="J394">
        <v>943</v>
      </c>
      <c r="K394">
        <v>6</v>
      </c>
      <c r="L394" t="s">
        <v>68</v>
      </c>
      <c r="M394">
        <v>11</v>
      </c>
      <c r="N394">
        <v>35.200000000000003</v>
      </c>
      <c r="O394">
        <v>76.400000000000006</v>
      </c>
      <c r="P394">
        <v>6.68</v>
      </c>
      <c r="Q394">
        <v>3.04</v>
      </c>
      <c r="R394" t="s">
        <v>240</v>
      </c>
      <c r="S394" t="s">
        <v>29</v>
      </c>
      <c r="T394" t="s">
        <v>30</v>
      </c>
      <c r="U394" t="str">
        <f t="shared" si="18"/>
        <v>Normal</v>
      </c>
      <c r="V394" t="str">
        <f t="shared" si="19"/>
        <v>Normal</v>
      </c>
      <c r="W394" t="str">
        <f t="shared" si="20"/>
        <v>Normal</v>
      </c>
    </row>
    <row r="395" spans="1:23" x14ac:dyDescent="0.3">
      <c r="A395">
        <v>10085</v>
      </c>
      <c r="B395" s="2">
        <v>45678</v>
      </c>
      <c r="C395" t="s">
        <v>31</v>
      </c>
      <c r="D395" t="s">
        <v>32</v>
      </c>
      <c r="E395" t="s">
        <v>40</v>
      </c>
      <c r="F395" t="s">
        <v>81</v>
      </c>
      <c r="G395" t="s">
        <v>109</v>
      </c>
      <c r="H395" t="s">
        <v>141</v>
      </c>
      <c r="I395" t="s">
        <v>347</v>
      </c>
      <c r="J395">
        <v>1232</v>
      </c>
      <c r="K395">
        <v>9</v>
      </c>
      <c r="L395" t="s">
        <v>71</v>
      </c>
      <c r="M395">
        <v>40</v>
      </c>
      <c r="N395">
        <v>40.700000000000003</v>
      </c>
      <c r="O395">
        <v>76.400000000000006</v>
      </c>
      <c r="P395">
        <v>5.17</v>
      </c>
      <c r="Q395">
        <v>1.75</v>
      </c>
      <c r="R395" t="s">
        <v>128</v>
      </c>
      <c r="S395" t="s">
        <v>73</v>
      </c>
      <c r="T395" t="s">
        <v>30</v>
      </c>
      <c r="U395" t="str">
        <f t="shared" si="18"/>
        <v>Normal</v>
      </c>
      <c r="V395" t="str">
        <f t="shared" si="19"/>
        <v>Normal</v>
      </c>
      <c r="W395" t="str">
        <f t="shared" si="20"/>
        <v>Normal</v>
      </c>
    </row>
    <row r="396" spans="1:23" x14ac:dyDescent="0.3">
      <c r="A396">
        <v>11310</v>
      </c>
      <c r="B396" s="2">
        <v>45844</v>
      </c>
      <c r="C396" t="s">
        <v>31</v>
      </c>
      <c r="D396" t="s">
        <v>32</v>
      </c>
      <c r="E396" t="s">
        <v>107</v>
      </c>
      <c r="F396" t="s">
        <v>23</v>
      </c>
      <c r="G396" t="s">
        <v>89</v>
      </c>
      <c r="H396" t="s">
        <v>120</v>
      </c>
      <c r="I396" t="s">
        <v>234</v>
      </c>
      <c r="J396">
        <v>1064</v>
      </c>
      <c r="K396">
        <v>10</v>
      </c>
      <c r="L396" t="s">
        <v>45</v>
      </c>
      <c r="M396">
        <v>36</v>
      </c>
      <c r="N396">
        <v>45.6</v>
      </c>
      <c r="O396">
        <v>76.400000000000006</v>
      </c>
      <c r="P396">
        <v>4.42</v>
      </c>
      <c r="Q396">
        <v>2.66</v>
      </c>
      <c r="R396" t="s">
        <v>87</v>
      </c>
      <c r="S396" t="s">
        <v>29</v>
      </c>
      <c r="T396" t="s">
        <v>30</v>
      </c>
      <c r="U396" t="str">
        <f t="shared" si="18"/>
        <v>Normal</v>
      </c>
      <c r="V396" t="str">
        <f t="shared" si="19"/>
        <v>Normal</v>
      </c>
      <c r="W396" t="str">
        <f t="shared" si="20"/>
        <v>Normal</v>
      </c>
    </row>
    <row r="397" spans="1:23" x14ac:dyDescent="0.3">
      <c r="A397">
        <v>10359</v>
      </c>
      <c r="B397" s="2">
        <v>45800</v>
      </c>
      <c r="C397" t="s">
        <v>31</v>
      </c>
      <c r="D397" t="s">
        <v>21</v>
      </c>
      <c r="E397" t="s">
        <v>40</v>
      </c>
      <c r="F397" t="s">
        <v>23</v>
      </c>
      <c r="G397" t="s">
        <v>60</v>
      </c>
      <c r="H397" t="s">
        <v>265</v>
      </c>
      <c r="I397" t="s">
        <v>332</v>
      </c>
      <c r="J397">
        <v>1113</v>
      </c>
      <c r="K397">
        <v>15</v>
      </c>
      <c r="L397" t="s">
        <v>68</v>
      </c>
      <c r="M397">
        <v>27</v>
      </c>
      <c r="N397">
        <v>47.1</v>
      </c>
      <c r="O397">
        <v>76.3</v>
      </c>
      <c r="P397">
        <v>5.77</v>
      </c>
      <c r="Q397">
        <v>5.43</v>
      </c>
      <c r="R397" t="s">
        <v>195</v>
      </c>
      <c r="S397" t="s">
        <v>39</v>
      </c>
      <c r="T397" t="s">
        <v>30</v>
      </c>
      <c r="U397" t="str">
        <f t="shared" si="18"/>
        <v>Normal</v>
      </c>
      <c r="V397" t="str">
        <f t="shared" si="19"/>
        <v>Normal</v>
      </c>
      <c r="W397" t="str">
        <f t="shared" si="20"/>
        <v>Normal</v>
      </c>
    </row>
    <row r="398" spans="1:23" x14ac:dyDescent="0.3">
      <c r="A398">
        <v>10842</v>
      </c>
      <c r="B398" s="2">
        <v>45690</v>
      </c>
      <c r="C398" t="s">
        <v>31</v>
      </c>
      <c r="D398" t="s">
        <v>32</v>
      </c>
      <c r="E398" t="s">
        <v>107</v>
      </c>
      <c r="F398" t="s">
        <v>81</v>
      </c>
      <c r="G398" t="s">
        <v>54</v>
      </c>
      <c r="H398" t="s">
        <v>141</v>
      </c>
      <c r="I398" t="s">
        <v>83</v>
      </c>
      <c r="J398">
        <v>1279</v>
      </c>
      <c r="K398">
        <v>6</v>
      </c>
      <c r="L398" t="s">
        <v>45</v>
      </c>
      <c r="M398">
        <v>101</v>
      </c>
      <c r="N398">
        <v>47.8</v>
      </c>
      <c r="O398">
        <v>76.3</v>
      </c>
      <c r="P398">
        <v>5.8</v>
      </c>
      <c r="Q398">
        <v>3.08</v>
      </c>
      <c r="R398" t="s">
        <v>243</v>
      </c>
      <c r="S398" t="s">
        <v>39</v>
      </c>
      <c r="T398" t="s">
        <v>30</v>
      </c>
      <c r="U398" t="str">
        <f t="shared" si="18"/>
        <v>Normal</v>
      </c>
      <c r="V398" t="str">
        <f t="shared" si="19"/>
        <v>Normal</v>
      </c>
      <c r="W398" t="str">
        <f t="shared" si="20"/>
        <v>Normal</v>
      </c>
    </row>
    <row r="399" spans="1:23" x14ac:dyDescent="0.3">
      <c r="A399">
        <v>10009</v>
      </c>
      <c r="B399" s="2">
        <v>45860</v>
      </c>
      <c r="C399" t="s">
        <v>31</v>
      </c>
      <c r="D399" t="s">
        <v>64</v>
      </c>
      <c r="E399" t="s">
        <v>40</v>
      </c>
      <c r="F399" t="s">
        <v>81</v>
      </c>
      <c r="G399" t="s">
        <v>109</v>
      </c>
      <c r="H399" t="s">
        <v>172</v>
      </c>
      <c r="I399" t="s">
        <v>256</v>
      </c>
      <c r="J399">
        <v>834</v>
      </c>
      <c r="K399">
        <v>58</v>
      </c>
      <c r="L399" t="s">
        <v>68</v>
      </c>
      <c r="M399">
        <v>143</v>
      </c>
      <c r="N399">
        <v>45.6</v>
      </c>
      <c r="O399">
        <v>76.3</v>
      </c>
      <c r="P399">
        <v>5.22</v>
      </c>
      <c r="Q399">
        <v>1.48</v>
      </c>
      <c r="R399" t="s">
        <v>227</v>
      </c>
      <c r="S399" t="s">
        <v>73</v>
      </c>
      <c r="T399" t="s">
        <v>48</v>
      </c>
      <c r="U399" t="str">
        <f t="shared" si="18"/>
        <v>Normal</v>
      </c>
      <c r="V399" t="str">
        <f t="shared" si="19"/>
        <v>Normal</v>
      </c>
      <c r="W399" t="str">
        <f t="shared" si="20"/>
        <v>Normal</v>
      </c>
    </row>
    <row r="400" spans="1:23" x14ac:dyDescent="0.3">
      <c r="A400">
        <v>10403</v>
      </c>
      <c r="B400" s="2">
        <v>45820</v>
      </c>
      <c r="C400" t="s">
        <v>31</v>
      </c>
      <c r="D400" t="s">
        <v>21</v>
      </c>
      <c r="E400" t="s">
        <v>107</v>
      </c>
      <c r="F400" t="s">
        <v>23</v>
      </c>
      <c r="G400" t="s">
        <v>109</v>
      </c>
      <c r="H400" t="s">
        <v>175</v>
      </c>
      <c r="I400" t="s">
        <v>302</v>
      </c>
      <c r="J400">
        <v>1147</v>
      </c>
      <c r="K400">
        <v>16</v>
      </c>
      <c r="L400" t="s">
        <v>45</v>
      </c>
      <c r="M400">
        <v>87</v>
      </c>
      <c r="N400">
        <v>39.799999999999997</v>
      </c>
      <c r="O400">
        <v>76.3</v>
      </c>
      <c r="P400">
        <v>5.26</v>
      </c>
      <c r="Q400">
        <v>4.25</v>
      </c>
      <c r="R400" t="s">
        <v>122</v>
      </c>
      <c r="S400" t="s">
        <v>29</v>
      </c>
      <c r="T400" t="s">
        <v>30</v>
      </c>
      <c r="U400" t="str">
        <f t="shared" si="18"/>
        <v>Normal</v>
      </c>
      <c r="V400" t="str">
        <f t="shared" si="19"/>
        <v>Normal</v>
      </c>
      <c r="W400" t="str">
        <f t="shared" si="20"/>
        <v>Normal</v>
      </c>
    </row>
    <row r="401" spans="1:23" x14ac:dyDescent="0.3">
      <c r="A401">
        <v>10414</v>
      </c>
      <c r="B401" s="2">
        <v>45700</v>
      </c>
      <c r="C401" t="s">
        <v>31</v>
      </c>
      <c r="D401" t="s">
        <v>32</v>
      </c>
      <c r="E401" t="s">
        <v>22</v>
      </c>
      <c r="F401" t="s">
        <v>41</v>
      </c>
      <c r="G401" t="s">
        <v>95</v>
      </c>
      <c r="H401" t="s">
        <v>190</v>
      </c>
      <c r="I401" t="s">
        <v>191</v>
      </c>
      <c r="J401">
        <v>832</v>
      </c>
      <c r="K401">
        <v>6</v>
      </c>
      <c r="L401" t="s">
        <v>27</v>
      </c>
      <c r="M401">
        <v>84</v>
      </c>
      <c r="N401">
        <v>35.299999999999997</v>
      </c>
      <c r="O401">
        <v>76.2</v>
      </c>
      <c r="P401">
        <v>5.99</v>
      </c>
      <c r="Q401">
        <v>3.94</v>
      </c>
      <c r="R401" t="s">
        <v>72</v>
      </c>
      <c r="S401" t="s">
        <v>73</v>
      </c>
      <c r="T401" t="s">
        <v>30</v>
      </c>
      <c r="U401" t="str">
        <f t="shared" si="18"/>
        <v>Normal</v>
      </c>
      <c r="V401" t="str">
        <f t="shared" si="19"/>
        <v>Normal</v>
      </c>
      <c r="W401" t="str">
        <f t="shared" si="20"/>
        <v>Normal</v>
      </c>
    </row>
    <row r="402" spans="1:23" x14ac:dyDescent="0.3">
      <c r="A402">
        <v>10480</v>
      </c>
      <c r="B402" s="2">
        <v>45950</v>
      </c>
      <c r="C402" t="s">
        <v>20</v>
      </c>
      <c r="D402" t="s">
        <v>59</v>
      </c>
      <c r="E402" t="s">
        <v>40</v>
      </c>
      <c r="F402" t="s">
        <v>23</v>
      </c>
      <c r="G402" t="s">
        <v>34</v>
      </c>
      <c r="H402" t="s">
        <v>278</v>
      </c>
      <c r="I402" t="s">
        <v>317</v>
      </c>
      <c r="J402">
        <v>598</v>
      </c>
      <c r="K402">
        <v>6</v>
      </c>
      <c r="L402" t="s">
        <v>45</v>
      </c>
      <c r="M402">
        <v>80</v>
      </c>
      <c r="N402">
        <v>49.3</v>
      </c>
      <c r="O402">
        <v>76.2</v>
      </c>
      <c r="P402">
        <v>3.84</v>
      </c>
      <c r="Q402">
        <v>3.88</v>
      </c>
      <c r="R402" t="s">
        <v>227</v>
      </c>
      <c r="S402" t="s">
        <v>424</v>
      </c>
      <c r="T402" t="s">
        <v>30</v>
      </c>
      <c r="U402" t="str">
        <f t="shared" si="18"/>
        <v>Normal</v>
      </c>
      <c r="V402" t="str">
        <f t="shared" si="19"/>
        <v>Normal</v>
      </c>
      <c r="W402" t="str">
        <f t="shared" si="20"/>
        <v>Normal</v>
      </c>
    </row>
    <row r="403" spans="1:23" x14ac:dyDescent="0.3">
      <c r="A403">
        <v>10788</v>
      </c>
      <c r="B403" s="2">
        <v>45690</v>
      </c>
      <c r="C403" t="s">
        <v>31</v>
      </c>
      <c r="D403" t="s">
        <v>32</v>
      </c>
      <c r="E403" t="s">
        <v>33</v>
      </c>
      <c r="F403" t="s">
        <v>81</v>
      </c>
      <c r="G403" t="s">
        <v>109</v>
      </c>
      <c r="H403" t="s">
        <v>200</v>
      </c>
      <c r="I403" t="s">
        <v>70</v>
      </c>
      <c r="J403">
        <v>984</v>
      </c>
      <c r="K403">
        <v>11</v>
      </c>
      <c r="L403" t="s">
        <v>45</v>
      </c>
      <c r="M403">
        <v>60</v>
      </c>
      <c r="N403">
        <v>42.1</v>
      </c>
      <c r="O403">
        <v>76.2</v>
      </c>
      <c r="P403">
        <v>6.5</v>
      </c>
      <c r="Q403">
        <v>2.62</v>
      </c>
      <c r="R403" t="s">
        <v>183</v>
      </c>
      <c r="S403" t="s">
        <v>47</v>
      </c>
      <c r="T403" t="s">
        <v>30</v>
      </c>
      <c r="U403" t="str">
        <f t="shared" si="18"/>
        <v>Normal</v>
      </c>
      <c r="V403" t="str">
        <f t="shared" si="19"/>
        <v>Normal</v>
      </c>
      <c r="W403" t="str">
        <f t="shared" si="20"/>
        <v>Normal</v>
      </c>
    </row>
    <row r="404" spans="1:23" x14ac:dyDescent="0.3">
      <c r="A404">
        <v>10550</v>
      </c>
      <c r="B404" s="2">
        <v>45930</v>
      </c>
      <c r="C404" t="s">
        <v>20</v>
      </c>
      <c r="D404" t="s">
        <v>64</v>
      </c>
      <c r="E404" t="s">
        <v>107</v>
      </c>
      <c r="F404" t="s">
        <v>41</v>
      </c>
      <c r="G404" t="s">
        <v>42</v>
      </c>
      <c r="H404" t="s">
        <v>177</v>
      </c>
      <c r="I404" t="s">
        <v>305</v>
      </c>
      <c r="J404">
        <v>797</v>
      </c>
      <c r="K404">
        <v>3</v>
      </c>
      <c r="L404" t="s">
        <v>45</v>
      </c>
      <c r="M404">
        <v>13</v>
      </c>
      <c r="N404">
        <v>61</v>
      </c>
      <c r="O404">
        <v>76.2</v>
      </c>
      <c r="P404">
        <v>5.37</v>
      </c>
      <c r="Q404">
        <v>3.48</v>
      </c>
      <c r="R404" t="s">
        <v>130</v>
      </c>
      <c r="S404" t="s">
        <v>47</v>
      </c>
      <c r="T404" t="s">
        <v>30</v>
      </c>
      <c r="U404" t="str">
        <f t="shared" si="18"/>
        <v>Normal</v>
      </c>
      <c r="V404" t="str">
        <f t="shared" si="19"/>
        <v>Normal</v>
      </c>
      <c r="W404" t="str">
        <f t="shared" si="20"/>
        <v>Normal</v>
      </c>
    </row>
    <row r="405" spans="1:23" x14ac:dyDescent="0.3">
      <c r="A405">
        <v>10335</v>
      </c>
      <c r="B405" s="2">
        <v>45865</v>
      </c>
      <c r="C405" t="s">
        <v>49</v>
      </c>
      <c r="D405" t="s">
        <v>64</v>
      </c>
      <c r="E405" t="s">
        <v>107</v>
      </c>
      <c r="F405" t="s">
        <v>41</v>
      </c>
      <c r="G405" t="s">
        <v>95</v>
      </c>
      <c r="H405" t="s">
        <v>252</v>
      </c>
      <c r="I405" t="s">
        <v>333</v>
      </c>
      <c r="J405">
        <v>478</v>
      </c>
      <c r="K405">
        <v>2</v>
      </c>
      <c r="L405" t="s">
        <v>71</v>
      </c>
      <c r="M405">
        <v>70</v>
      </c>
      <c r="N405">
        <v>48.7</v>
      </c>
      <c r="O405">
        <v>76.2</v>
      </c>
      <c r="P405">
        <v>5.05</v>
      </c>
      <c r="Q405">
        <v>2.58</v>
      </c>
      <c r="R405" t="s">
        <v>216</v>
      </c>
      <c r="S405" t="s">
        <v>47</v>
      </c>
      <c r="T405" t="s">
        <v>30</v>
      </c>
      <c r="U405" t="str">
        <f t="shared" si="18"/>
        <v>Normal</v>
      </c>
      <c r="V405" t="str">
        <f t="shared" si="19"/>
        <v>Normal</v>
      </c>
      <c r="W405" t="str">
        <f t="shared" si="20"/>
        <v>Normal</v>
      </c>
    </row>
    <row r="406" spans="1:23" x14ac:dyDescent="0.3">
      <c r="A406">
        <v>10303</v>
      </c>
      <c r="B406" s="2">
        <v>45972</v>
      </c>
      <c r="C406" t="s">
        <v>49</v>
      </c>
      <c r="D406" t="s">
        <v>32</v>
      </c>
      <c r="E406" t="s">
        <v>107</v>
      </c>
      <c r="F406" t="s">
        <v>41</v>
      </c>
      <c r="G406" t="s">
        <v>113</v>
      </c>
      <c r="H406" t="s">
        <v>25</v>
      </c>
      <c r="I406" t="s">
        <v>388</v>
      </c>
      <c r="J406">
        <v>1549</v>
      </c>
      <c r="K406">
        <v>17</v>
      </c>
      <c r="L406" t="s">
        <v>71</v>
      </c>
      <c r="M406">
        <v>171</v>
      </c>
      <c r="N406">
        <v>39.5</v>
      </c>
      <c r="O406">
        <v>76.2</v>
      </c>
      <c r="P406">
        <v>5.82</v>
      </c>
      <c r="Q406">
        <v>2.7</v>
      </c>
      <c r="R406" t="s">
        <v>147</v>
      </c>
      <c r="S406" t="s">
        <v>39</v>
      </c>
      <c r="T406" t="s">
        <v>30</v>
      </c>
      <c r="U406" t="str">
        <f t="shared" si="18"/>
        <v>Normal</v>
      </c>
      <c r="V406" t="str">
        <f t="shared" si="19"/>
        <v>Normal</v>
      </c>
      <c r="W406" t="str">
        <f t="shared" si="20"/>
        <v>Normal</v>
      </c>
    </row>
    <row r="407" spans="1:23" x14ac:dyDescent="0.3">
      <c r="A407">
        <v>11211</v>
      </c>
      <c r="B407" s="2">
        <v>45910</v>
      </c>
      <c r="C407" t="s">
        <v>31</v>
      </c>
      <c r="D407" t="s">
        <v>21</v>
      </c>
      <c r="E407" t="s">
        <v>40</v>
      </c>
      <c r="F407" t="s">
        <v>23</v>
      </c>
      <c r="G407" t="s">
        <v>60</v>
      </c>
      <c r="H407" t="s">
        <v>148</v>
      </c>
      <c r="I407" t="s">
        <v>220</v>
      </c>
      <c r="J407">
        <v>1590</v>
      </c>
      <c r="K407">
        <v>19</v>
      </c>
      <c r="L407" t="s">
        <v>27</v>
      </c>
      <c r="M407">
        <v>36</v>
      </c>
      <c r="N407">
        <v>35.1</v>
      </c>
      <c r="O407">
        <v>76.2</v>
      </c>
      <c r="P407">
        <v>4.9800000000000004</v>
      </c>
      <c r="Q407">
        <v>2.0499999999999998</v>
      </c>
      <c r="R407" t="s">
        <v>245</v>
      </c>
      <c r="S407" t="s">
        <v>39</v>
      </c>
      <c r="T407" t="s">
        <v>30</v>
      </c>
      <c r="U407" t="str">
        <f t="shared" si="18"/>
        <v>Normal</v>
      </c>
      <c r="V407" t="str">
        <f t="shared" si="19"/>
        <v>Normal</v>
      </c>
      <c r="W407" t="str">
        <f t="shared" si="20"/>
        <v>Normal</v>
      </c>
    </row>
    <row r="408" spans="1:23" x14ac:dyDescent="0.3">
      <c r="A408">
        <v>10346</v>
      </c>
      <c r="B408" s="2">
        <v>45771</v>
      </c>
      <c r="C408" t="s">
        <v>31</v>
      </c>
      <c r="D408" t="s">
        <v>59</v>
      </c>
      <c r="E408" t="s">
        <v>107</v>
      </c>
      <c r="F408" t="s">
        <v>23</v>
      </c>
      <c r="G408" t="s">
        <v>34</v>
      </c>
      <c r="H408" t="s">
        <v>190</v>
      </c>
      <c r="I408" t="s">
        <v>283</v>
      </c>
      <c r="J408">
        <v>1048</v>
      </c>
      <c r="K408">
        <v>4</v>
      </c>
      <c r="L408" t="s">
        <v>27</v>
      </c>
      <c r="M408">
        <v>170</v>
      </c>
      <c r="N408">
        <v>50.2</v>
      </c>
      <c r="O408">
        <v>76.2</v>
      </c>
      <c r="P408">
        <v>3.46</v>
      </c>
      <c r="Q408">
        <v>2.2200000000000002</v>
      </c>
      <c r="R408" t="s">
        <v>152</v>
      </c>
      <c r="S408" t="s">
        <v>73</v>
      </c>
      <c r="T408" t="s">
        <v>30</v>
      </c>
      <c r="U408" t="str">
        <f t="shared" si="18"/>
        <v>Normal</v>
      </c>
      <c r="V408" t="str">
        <f t="shared" si="19"/>
        <v>Normal</v>
      </c>
      <c r="W408" t="str">
        <f t="shared" si="20"/>
        <v>Normal</v>
      </c>
    </row>
    <row r="409" spans="1:23" x14ac:dyDescent="0.3">
      <c r="A409">
        <v>10188</v>
      </c>
      <c r="B409" s="2">
        <v>45975</v>
      </c>
      <c r="C409" t="s">
        <v>31</v>
      </c>
      <c r="D409" t="s">
        <v>21</v>
      </c>
      <c r="E409" t="s">
        <v>33</v>
      </c>
      <c r="F409" t="s">
        <v>41</v>
      </c>
      <c r="G409" t="s">
        <v>95</v>
      </c>
      <c r="H409" t="s">
        <v>193</v>
      </c>
      <c r="I409" t="s">
        <v>255</v>
      </c>
      <c r="J409">
        <v>1168</v>
      </c>
      <c r="K409">
        <v>3</v>
      </c>
      <c r="L409" t="s">
        <v>27</v>
      </c>
      <c r="M409">
        <v>48</v>
      </c>
      <c r="N409">
        <v>37</v>
      </c>
      <c r="O409">
        <v>76.2</v>
      </c>
      <c r="P409">
        <v>5.32</v>
      </c>
      <c r="Q409">
        <v>2.67</v>
      </c>
      <c r="R409" t="s">
        <v>167</v>
      </c>
      <c r="S409" t="s">
        <v>29</v>
      </c>
      <c r="T409" t="s">
        <v>30</v>
      </c>
      <c r="U409" t="str">
        <f t="shared" si="18"/>
        <v>Normal</v>
      </c>
      <c r="V409" t="str">
        <f t="shared" si="19"/>
        <v>Normal</v>
      </c>
      <c r="W409" t="str">
        <f t="shared" si="20"/>
        <v>Normal</v>
      </c>
    </row>
    <row r="410" spans="1:23" x14ac:dyDescent="0.3">
      <c r="A410">
        <v>11033</v>
      </c>
      <c r="B410" s="2">
        <v>45792</v>
      </c>
      <c r="C410" t="s">
        <v>20</v>
      </c>
      <c r="D410" t="s">
        <v>59</v>
      </c>
      <c r="E410" t="s">
        <v>33</v>
      </c>
      <c r="F410" t="s">
        <v>41</v>
      </c>
      <c r="G410" t="s">
        <v>60</v>
      </c>
      <c r="H410" t="s">
        <v>93</v>
      </c>
      <c r="I410" t="s">
        <v>238</v>
      </c>
      <c r="J410">
        <v>836</v>
      </c>
      <c r="K410">
        <v>12</v>
      </c>
      <c r="L410" t="s">
        <v>27</v>
      </c>
      <c r="M410">
        <v>104</v>
      </c>
      <c r="N410">
        <v>36.799999999999997</v>
      </c>
      <c r="O410">
        <v>76.099999999999994</v>
      </c>
      <c r="P410">
        <v>4.4000000000000004</v>
      </c>
      <c r="Q410">
        <v>2.68</v>
      </c>
      <c r="R410" t="s">
        <v>155</v>
      </c>
      <c r="S410" t="s">
        <v>47</v>
      </c>
      <c r="T410" t="s">
        <v>30</v>
      </c>
      <c r="U410" t="str">
        <f t="shared" si="18"/>
        <v>Normal</v>
      </c>
      <c r="V410" t="str">
        <f t="shared" si="19"/>
        <v>Normal</v>
      </c>
      <c r="W410" t="str">
        <f t="shared" si="20"/>
        <v>Normal</v>
      </c>
    </row>
    <row r="411" spans="1:23" x14ac:dyDescent="0.3">
      <c r="A411">
        <v>10515</v>
      </c>
      <c r="B411" s="2">
        <v>45988</v>
      </c>
      <c r="C411" t="s">
        <v>20</v>
      </c>
      <c r="D411" t="s">
        <v>59</v>
      </c>
      <c r="E411" t="s">
        <v>40</v>
      </c>
      <c r="F411" t="s">
        <v>41</v>
      </c>
      <c r="G411" t="s">
        <v>89</v>
      </c>
      <c r="H411" t="s">
        <v>193</v>
      </c>
      <c r="I411" t="s">
        <v>234</v>
      </c>
      <c r="J411">
        <v>1448</v>
      </c>
      <c r="K411">
        <v>13</v>
      </c>
      <c r="L411" t="s">
        <v>27</v>
      </c>
      <c r="M411">
        <v>150</v>
      </c>
      <c r="N411">
        <v>40.6</v>
      </c>
      <c r="O411">
        <v>76.099999999999994</v>
      </c>
      <c r="P411">
        <v>5.19</v>
      </c>
      <c r="Q411">
        <v>1.1299999999999999</v>
      </c>
      <c r="R411" t="s">
        <v>80</v>
      </c>
      <c r="S411" t="s">
        <v>73</v>
      </c>
      <c r="T411" t="s">
        <v>30</v>
      </c>
      <c r="U411" t="str">
        <f t="shared" si="18"/>
        <v>Normal</v>
      </c>
      <c r="V411" t="str">
        <f t="shared" si="19"/>
        <v>Normal</v>
      </c>
      <c r="W411" t="str">
        <f t="shared" si="20"/>
        <v>Normal</v>
      </c>
    </row>
    <row r="412" spans="1:23" x14ac:dyDescent="0.3">
      <c r="A412">
        <v>10093</v>
      </c>
      <c r="B412" s="2">
        <v>45883</v>
      </c>
      <c r="C412" t="s">
        <v>20</v>
      </c>
      <c r="D412" t="s">
        <v>59</v>
      </c>
      <c r="E412" t="s">
        <v>107</v>
      </c>
      <c r="F412" t="s">
        <v>23</v>
      </c>
      <c r="G412" t="s">
        <v>42</v>
      </c>
      <c r="H412" t="s">
        <v>90</v>
      </c>
      <c r="I412" t="s">
        <v>380</v>
      </c>
      <c r="J412">
        <v>855</v>
      </c>
      <c r="K412">
        <v>29</v>
      </c>
      <c r="L412" t="s">
        <v>57</v>
      </c>
      <c r="M412">
        <v>109</v>
      </c>
      <c r="N412">
        <v>29.1</v>
      </c>
      <c r="O412">
        <v>76.099999999999994</v>
      </c>
      <c r="P412">
        <v>4.32</v>
      </c>
      <c r="Q412">
        <v>0.43</v>
      </c>
      <c r="R412" t="s">
        <v>63</v>
      </c>
      <c r="S412" t="s">
        <v>29</v>
      </c>
      <c r="T412" t="s">
        <v>48</v>
      </c>
      <c r="U412" t="str">
        <f t="shared" si="18"/>
        <v>Normal</v>
      </c>
      <c r="V412" t="str">
        <f t="shared" si="19"/>
        <v>Normal</v>
      </c>
      <c r="W412" t="str">
        <f t="shared" si="20"/>
        <v>Normal</v>
      </c>
    </row>
    <row r="413" spans="1:23" x14ac:dyDescent="0.3">
      <c r="A413">
        <v>11234</v>
      </c>
      <c r="B413" s="2">
        <v>45927</v>
      </c>
      <c r="C413" t="s">
        <v>20</v>
      </c>
      <c r="D413" t="s">
        <v>64</v>
      </c>
      <c r="E413" t="s">
        <v>33</v>
      </c>
      <c r="F413" t="s">
        <v>23</v>
      </c>
      <c r="G413" t="s">
        <v>34</v>
      </c>
      <c r="H413" t="s">
        <v>78</v>
      </c>
      <c r="I413" t="s">
        <v>380</v>
      </c>
      <c r="J413">
        <v>754</v>
      </c>
      <c r="K413">
        <v>22</v>
      </c>
      <c r="L413" t="s">
        <v>37</v>
      </c>
      <c r="M413">
        <v>177</v>
      </c>
      <c r="N413">
        <v>41.7</v>
      </c>
      <c r="O413">
        <v>76.099999999999994</v>
      </c>
      <c r="P413">
        <v>4.32</v>
      </c>
      <c r="Q413">
        <v>3.67</v>
      </c>
      <c r="R413" t="s">
        <v>87</v>
      </c>
      <c r="S413" t="s">
        <v>29</v>
      </c>
      <c r="T413" t="s">
        <v>30</v>
      </c>
      <c r="U413" t="str">
        <f t="shared" si="18"/>
        <v>Normal</v>
      </c>
      <c r="V413" t="str">
        <f t="shared" si="19"/>
        <v>Normal</v>
      </c>
      <c r="W413" t="str">
        <f t="shared" si="20"/>
        <v>Normal</v>
      </c>
    </row>
    <row r="414" spans="1:23" x14ac:dyDescent="0.3">
      <c r="A414">
        <v>10143</v>
      </c>
      <c r="B414" s="2">
        <v>45676</v>
      </c>
      <c r="C414" t="s">
        <v>49</v>
      </c>
      <c r="D414" t="s">
        <v>21</v>
      </c>
      <c r="E414" t="s">
        <v>33</v>
      </c>
      <c r="F414" t="s">
        <v>81</v>
      </c>
      <c r="G414" t="s">
        <v>50</v>
      </c>
      <c r="H414" t="s">
        <v>55</v>
      </c>
      <c r="I414" t="s">
        <v>393</v>
      </c>
      <c r="J414">
        <v>643</v>
      </c>
      <c r="K414">
        <v>21</v>
      </c>
      <c r="L414" t="s">
        <v>71</v>
      </c>
      <c r="M414">
        <v>71</v>
      </c>
      <c r="N414">
        <v>47.1</v>
      </c>
      <c r="O414">
        <v>76.099999999999994</v>
      </c>
      <c r="P414">
        <v>4.6900000000000004</v>
      </c>
      <c r="Q414">
        <v>3.28</v>
      </c>
      <c r="R414" t="s">
        <v>222</v>
      </c>
      <c r="S414" t="s">
        <v>47</v>
      </c>
      <c r="T414" t="s">
        <v>48</v>
      </c>
      <c r="U414" t="str">
        <f t="shared" si="18"/>
        <v>Normal</v>
      </c>
      <c r="V414" t="str">
        <f t="shared" si="19"/>
        <v>Normal</v>
      </c>
      <c r="W414" t="str">
        <f t="shared" si="20"/>
        <v>Normal</v>
      </c>
    </row>
    <row r="415" spans="1:23" x14ac:dyDescent="0.3">
      <c r="A415">
        <v>10227</v>
      </c>
      <c r="B415" s="2">
        <v>45679</v>
      </c>
      <c r="C415" t="s">
        <v>31</v>
      </c>
      <c r="D415" t="s">
        <v>21</v>
      </c>
      <c r="E415" t="s">
        <v>22</v>
      </c>
      <c r="F415" t="s">
        <v>23</v>
      </c>
      <c r="G415" t="s">
        <v>95</v>
      </c>
      <c r="H415" t="s">
        <v>165</v>
      </c>
      <c r="I415" t="s">
        <v>361</v>
      </c>
      <c r="J415">
        <v>494</v>
      </c>
      <c r="K415">
        <v>27</v>
      </c>
      <c r="L415" t="s">
        <v>68</v>
      </c>
      <c r="M415">
        <v>120</v>
      </c>
      <c r="N415">
        <v>48.8</v>
      </c>
      <c r="O415">
        <v>76.099999999999994</v>
      </c>
      <c r="P415">
        <v>5.98</v>
      </c>
      <c r="Q415">
        <v>3.37</v>
      </c>
      <c r="R415" t="s">
        <v>184</v>
      </c>
      <c r="S415" t="s">
        <v>73</v>
      </c>
      <c r="T415" t="s">
        <v>48</v>
      </c>
      <c r="U415" t="str">
        <f t="shared" si="18"/>
        <v>Normal</v>
      </c>
      <c r="V415" t="str">
        <f t="shared" si="19"/>
        <v>Normal</v>
      </c>
      <c r="W415" t="str">
        <f t="shared" si="20"/>
        <v>Normal</v>
      </c>
    </row>
    <row r="416" spans="1:23" x14ac:dyDescent="0.3">
      <c r="A416">
        <v>10691</v>
      </c>
      <c r="B416" s="2">
        <v>45911</v>
      </c>
      <c r="C416" t="s">
        <v>20</v>
      </c>
      <c r="D416" t="s">
        <v>64</v>
      </c>
      <c r="E416" t="s">
        <v>40</v>
      </c>
      <c r="F416" t="s">
        <v>23</v>
      </c>
      <c r="G416" t="s">
        <v>42</v>
      </c>
      <c r="H416" t="s">
        <v>169</v>
      </c>
      <c r="I416" t="s">
        <v>253</v>
      </c>
      <c r="J416">
        <v>1289</v>
      </c>
      <c r="K416">
        <v>13</v>
      </c>
      <c r="L416" t="s">
        <v>37</v>
      </c>
      <c r="M416">
        <v>139</v>
      </c>
      <c r="N416">
        <v>48.3</v>
      </c>
      <c r="O416">
        <v>76.099999999999994</v>
      </c>
      <c r="P416">
        <v>6.54</v>
      </c>
      <c r="Q416">
        <v>1.93</v>
      </c>
      <c r="R416" t="s">
        <v>155</v>
      </c>
      <c r="S416" t="s">
        <v>424</v>
      </c>
      <c r="T416" t="s">
        <v>30</v>
      </c>
      <c r="U416" t="str">
        <f t="shared" si="18"/>
        <v>Normal</v>
      </c>
      <c r="V416" t="str">
        <f t="shared" si="19"/>
        <v>Normal</v>
      </c>
      <c r="W416" t="str">
        <f t="shared" si="20"/>
        <v>Normal</v>
      </c>
    </row>
    <row r="417" spans="1:23" x14ac:dyDescent="0.3">
      <c r="A417">
        <v>11485</v>
      </c>
      <c r="B417" s="2">
        <v>45958</v>
      </c>
      <c r="C417" t="s">
        <v>20</v>
      </c>
      <c r="D417" t="s">
        <v>21</v>
      </c>
      <c r="E417" t="s">
        <v>107</v>
      </c>
      <c r="F417" t="s">
        <v>41</v>
      </c>
      <c r="G417" t="s">
        <v>109</v>
      </c>
      <c r="H417" t="s">
        <v>223</v>
      </c>
      <c r="I417" t="s">
        <v>388</v>
      </c>
      <c r="J417">
        <v>1353</v>
      </c>
      <c r="K417">
        <v>7</v>
      </c>
      <c r="L417" t="s">
        <v>45</v>
      </c>
      <c r="M417">
        <v>143</v>
      </c>
      <c r="N417">
        <v>34</v>
      </c>
      <c r="O417">
        <v>76.099999999999994</v>
      </c>
      <c r="P417">
        <v>4.13</v>
      </c>
      <c r="Q417">
        <v>2.48</v>
      </c>
      <c r="R417" t="s">
        <v>84</v>
      </c>
      <c r="S417" t="s">
        <v>39</v>
      </c>
      <c r="T417" t="s">
        <v>30</v>
      </c>
      <c r="U417" t="str">
        <f t="shared" si="18"/>
        <v>Normal</v>
      </c>
      <c r="V417" t="str">
        <f t="shared" si="19"/>
        <v>Normal</v>
      </c>
      <c r="W417" t="str">
        <f t="shared" si="20"/>
        <v>Normal</v>
      </c>
    </row>
    <row r="418" spans="1:23" x14ac:dyDescent="0.3">
      <c r="A418">
        <v>10603</v>
      </c>
      <c r="B418" s="2">
        <v>45906</v>
      </c>
      <c r="C418" t="s">
        <v>49</v>
      </c>
      <c r="D418" t="s">
        <v>59</v>
      </c>
      <c r="E418" t="s">
        <v>107</v>
      </c>
      <c r="F418" t="s">
        <v>23</v>
      </c>
      <c r="G418" t="s">
        <v>34</v>
      </c>
      <c r="H418" t="s">
        <v>148</v>
      </c>
      <c r="I418" t="s">
        <v>228</v>
      </c>
      <c r="J418">
        <v>1182</v>
      </c>
      <c r="K418">
        <v>12</v>
      </c>
      <c r="L418" t="s">
        <v>27</v>
      </c>
      <c r="M418">
        <v>149</v>
      </c>
      <c r="N418">
        <v>34.4</v>
      </c>
      <c r="O418">
        <v>76</v>
      </c>
      <c r="P418">
        <v>4.58</v>
      </c>
      <c r="Q418">
        <v>4.13</v>
      </c>
      <c r="R418" t="s">
        <v>245</v>
      </c>
      <c r="S418" t="s">
        <v>29</v>
      </c>
      <c r="T418" t="s">
        <v>30</v>
      </c>
      <c r="U418" t="str">
        <f t="shared" si="18"/>
        <v>Normal</v>
      </c>
      <c r="V418" t="str">
        <f t="shared" si="19"/>
        <v>Normal</v>
      </c>
      <c r="W418" t="str">
        <f t="shared" si="20"/>
        <v>Normal</v>
      </c>
    </row>
    <row r="419" spans="1:23" x14ac:dyDescent="0.3">
      <c r="A419">
        <v>11028</v>
      </c>
      <c r="B419" s="2">
        <v>45943</v>
      </c>
      <c r="C419" t="s">
        <v>49</v>
      </c>
      <c r="D419" t="s">
        <v>32</v>
      </c>
      <c r="E419" t="s">
        <v>22</v>
      </c>
      <c r="F419" t="s">
        <v>81</v>
      </c>
      <c r="G419" t="s">
        <v>113</v>
      </c>
      <c r="H419" t="s">
        <v>180</v>
      </c>
      <c r="I419" t="s">
        <v>91</v>
      </c>
      <c r="J419">
        <v>1006</v>
      </c>
      <c r="K419">
        <v>13</v>
      </c>
      <c r="L419" t="s">
        <v>27</v>
      </c>
      <c r="M419">
        <v>173</v>
      </c>
      <c r="N419">
        <v>34.1</v>
      </c>
      <c r="O419">
        <v>76</v>
      </c>
      <c r="P419">
        <v>5.31</v>
      </c>
      <c r="Q419">
        <v>2.66</v>
      </c>
      <c r="R419" t="s">
        <v>87</v>
      </c>
      <c r="S419" t="s">
        <v>39</v>
      </c>
      <c r="T419" t="s">
        <v>30</v>
      </c>
      <c r="U419" t="str">
        <f t="shared" si="18"/>
        <v>Normal</v>
      </c>
      <c r="V419" t="str">
        <f t="shared" si="19"/>
        <v>Normal</v>
      </c>
      <c r="W419" t="str">
        <f t="shared" si="20"/>
        <v>Normal</v>
      </c>
    </row>
    <row r="420" spans="1:23" x14ac:dyDescent="0.3">
      <c r="A420">
        <v>10555</v>
      </c>
      <c r="B420" s="2">
        <v>45761</v>
      </c>
      <c r="C420" t="s">
        <v>49</v>
      </c>
      <c r="D420" t="s">
        <v>59</v>
      </c>
      <c r="E420" t="s">
        <v>40</v>
      </c>
      <c r="F420" t="s">
        <v>81</v>
      </c>
      <c r="G420" t="s">
        <v>134</v>
      </c>
      <c r="H420" t="s">
        <v>144</v>
      </c>
      <c r="I420" t="s">
        <v>355</v>
      </c>
      <c r="J420">
        <v>664</v>
      </c>
      <c r="K420">
        <v>2</v>
      </c>
      <c r="L420" t="s">
        <v>45</v>
      </c>
      <c r="M420">
        <v>35</v>
      </c>
      <c r="N420">
        <v>38.299999999999997</v>
      </c>
      <c r="O420">
        <v>76</v>
      </c>
      <c r="P420">
        <v>6.04</v>
      </c>
      <c r="Q420">
        <v>1.72</v>
      </c>
      <c r="R420" t="s">
        <v>216</v>
      </c>
      <c r="S420" t="s">
        <v>47</v>
      </c>
      <c r="T420" t="s">
        <v>30</v>
      </c>
      <c r="U420" t="str">
        <f t="shared" si="18"/>
        <v>Normal</v>
      </c>
      <c r="V420" t="str">
        <f t="shared" si="19"/>
        <v>Normal</v>
      </c>
      <c r="W420" t="str">
        <f t="shared" si="20"/>
        <v>Normal</v>
      </c>
    </row>
    <row r="421" spans="1:23" x14ac:dyDescent="0.3">
      <c r="A421">
        <v>10081</v>
      </c>
      <c r="B421" s="2">
        <v>45998</v>
      </c>
      <c r="C421" t="s">
        <v>20</v>
      </c>
      <c r="D421" t="s">
        <v>32</v>
      </c>
      <c r="E421" t="s">
        <v>107</v>
      </c>
      <c r="F421" t="s">
        <v>23</v>
      </c>
      <c r="G421" t="s">
        <v>74</v>
      </c>
      <c r="H421" t="s">
        <v>131</v>
      </c>
      <c r="I421" t="s">
        <v>289</v>
      </c>
      <c r="J421">
        <v>600</v>
      </c>
      <c r="K421">
        <v>1</v>
      </c>
      <c r="L421" t="s">
        <v>37</v>
      </c>
      <c r="M421">
        <v>179</v>
      </c>
      <c r="N421">
        <v>48.1</v>
      </c>
      <c r="O421">
        <v>76</v>
      </c>
      <c r="P421">
        <v>5.32</v>
      </c>
      <c r="Q421">
        <v>3.2</v>
      </c>
      <c r="R421" t="s">
        <v>183</v>
      </c>
      <c r="S421" t="s">
        <v>29</v>
      </c>
      <c r="T421" t="s">
        <v>30</v>
      </c>
      <c r="U421" t="str">
        <f t="shared" si="18"/>
        <v>Normal</v>
      </c>
      <c r="V421" t="str">
        <f t="shared" si="19"/>
        <v>Normal</v>
      </c>
      <c r="W421" t="str">
        <f t="shared" si="20"/>
        <v>Normal</v>
      </c>
    </row>
    <row r="422" spans="1:23" x14ac:dyDescent="0.3">
      <c r="A422">
        <v>10358</v>
      </c>
      <c r="B422" s="2">
        <v>45715</v>
      </c>
      <c r="C422" t="s">
        <v>20</v>
      </c>
      <c r="D422" t="s">
        <v>21</v>
      </c>
      <c r="E422" t="s">
        <v>40</v>
      </c>
      <c r="F422" t="s">
        <v>23</v>
      </c>
      <c r="G422" t="s">
        <v>50</v>
      </c>
      <c r="H422" t="s">
        <v>75</v>
      </c>
      <c r="I422" t="s">
        <v>331</v>
      </c>
      <c r="J422">
        <v>1304</v>
      </c>
      <c r="K422">
        <v>74</v>
      </c>
      <c r="L422" t="s">
        <v>45</v>
      </c>
      <c r="M422">
        <v>66</v>
      </c>
      <c r="N422">
        <v>42.3</v>
      </c>
      <c r="O422">
        <v>76</v>
      </c>
      <c r="P422">
        <v>5.73</v>
      </c>
      <c r="Q422">
        <v>2.73</v>
      </c>
      <c r="R422" t="s">
        <v>77</v>
      </c>
      <c r="S422" t="s">
        <v>73</v>
      </c>
      <c r="T422" t="s">
        <v>48</v>
      </c>
      <c r="U422" t="str">
        <f t="shared" si="18"/>
        <v>Normal</v>
      </c>
      <c r="V422" t="str">
        <f t="shared" si="19"/>
        <v>Normal</v>
      </c>
      <c r="W422" t="str">
        <f t="shared" si="20"/>
        <v>Normal</v>
      </c>
    </row>
    <row r="423" spans="1:23" x14ac:dyDescent="0.3">
      <c r="A423">
        <v>10962</v>
      </c>
      <c r="B423" s="2">
        <v>45741</v>
      </c>
      <c r="C423" t="s">
        <v>49</v>
      </c>
      <c r="D423" t="s">
        <v>59</v>
      </c>
      <c r="E423" t="s">
        <v>22</v>
      </c>
      <c r="F423" t="s">
        <v>23</v>
      </c>
      <c r="G423" t="s">
        <v>109</v>
      </c>
      <c r="H423" t="s">
        <v>193</v>
      </c>
      <c r="I423" t="s">
        <v>372</v>
      </c>
      <c r="J423">
        <v>529</v>
      </c>
      <c r="K423">
        <v>6</v>
      </c>
      <c r="L423" t="s">
        <v>27</v>
      </c>
      <c r="M423">
        <v>106</v>
      </c>
      <c r="N423">
        <v>42.7</v>
      </c>
      <c r="O423">
        <v>76</v>
      </c>
      <c r="P423">
        <v>6</v>
      </c>
      <c r="Q423">
        <v>3.23</v>
      </c>
      <c r="R423" t="s">
        <v>227</v>
      </c>
      <c r="S423" t="s">
        <v>39</v>
      </c>
      <c r="T423" t="s">
        <v>30</v>
      </c>
      <c r="U423" t="str">
        <f t="shared" si="18"/>
        <v>Normal</v>
      </c>
      <c r="V423" t="str">
        <f t="shared" si="19"/>
        <v>Normal</v>
      </c>
      <c r="W423" t="str">
        <f t="shared" si="20"/>
        <v>Normal</v>
      </c>
    </row>
    <row r="424" spans="1:23" x14ac:dyDescent="0.3">
      <c r="A424">
        <v>10914</v>
      </c>
      <c r="B424" s="2">
        <v>45759</v>
      </c>
      <c r="C424" t="s">
        <v>49</v>
      </c>
      <c r="D424" t="s">
        <v>59</v>
      </c>
      <c r="E424" t="s">
        <v>107</v>
      </c>
      <c r="F424" t="s">
        <v>41</v>
      </c>
      <c r="G424" t="s">
        <v>113</v>
      </c>
      <c r="H424" t="s">
        <v>180</v>
      </c>
      <c r="I424" t="s">
        <v>237</v>
      </c>
      <c r="J424">
        <v>1083</v>
      </c>
      <c r="K424">
        <v>8</v>
      </c>
      <c r="L424" t="s">
        <v>57</v>
      </c>
      <c r="M424">
        <v>108</v>
      </c>
      <c r="N424">
        <v>43.9</v>
      </c>
      <c r="O424">
        <v>76</v>
      </c>
      <c r="P424">
        <v>5.79</v>
      </c>
      <c r="Q424">
        <v>4.6500000000000004</v>
      </c>
      <c r="R424" t="s">
        <v>222</v>
      </c>
      <c r="S424" t="s">
        <v>73</v>
      </c>
      <c r="T424" t="s">
        <v>30</v>
      </c>
      <c r="U424" t="str">
        <f t="shared" si="18"/>
        <v>Normal</v>
      </c>
      <c r="V424" t="str">
        <f t="shared" si="19"/>
        <v>Normal</v>
      </c>
      <c r="W424" t="str">
        <f t="shared" si="20"/>
        <v>Normal</v>
      </c>
    </row>
    <row r="425" spans="1:23" x14ac:dyDescent="0.3">
      <c r="A425">
        <v>10041</v>
      </c>
      <c r="B425" s="2">
        <v>45794</v>
      </c>
      <c r="C425" t="s">
        <v>49</v>
      </c>
      <c r="D425" t="s">
        <v>21</v>
      </c>
      <c r="E425" t="s">
        <v>40</v>
      </c>
      <c r="F425" t="s">
        <v>23</v>
      </c>
      <c r="G425" t="s">
        <v>134</v>
      </c>
      <c r="H425" t="s">
        <v>96</v>
      </c>
      <c r="I425" t="s">
        <v>290</v>
      </c>
      <c r="J425">
        <v>1568</v>
      </c>
      <c r="K425">
        <v>22</v>
      </c>
      <c r="L425" t="s">
        <v>71</v>
      </c>
      <c r="M425">
        <v>68</v>
      </c>
      <c r="N425">
        <v>46.1</v>
      </c>
      <c r="O425">
        <v>76</v>
      </c>
      <c r="P425">
        <v>5.2</v>
      </c>
      <c r="Q425">
        <v>3.5</v>
      </c>
      <c r="R425" t="s">
        <v>130</v>
      </c>
      <c r="S425" t="s">
        <v>73</v>
      </c>
      <c r="T425" t="s">
        <v>30</v>
      </c>
      <c r="U425" t="str">
        <f t="shared" si="18"/>
        <v>Normal</v>
      </c>
      <c r="V425" t="str">
        <f t="shared" si="19"/>
        <v>Normal</v>
      </c>
      <c r="W425" t="str">
        <f t="shared" si="20"/>
        <v>Normal</v>
      </c>
    </row>
    <row r="426" spans="1:23" x14ac:dyDescent="0.3">
      <c r="A426">
        <v>10304</v>
      </c>
      <c r="B426" s="2">
        <v>45857</v>
      </c>
      <c r="C426" t="s">
        <v>31</v>
      </c>
      <c r="D426" t="s">
        <v>32</v>
      </c>
      <c r="E426" t="s">
        <v>40</v>
      </c>
      <c r="F426" t="s">
        <v>41</v>
      </c>
      <c r="G426" t="s">
        <v>54</v>
      </c>
      <c r="H426" t="s">
        <v>55</v>
      </c>
      <c r="I426" t="s">
        <v>56</v>
      </c>
      <c r="J426">
        <v>1381</v>
      </c>
      <c r="K426">
        <v>37</v>
      </c>
      <c r="L426" t="s">
        <v>57</v>
      </c>
      <c r="M426">
        <v>171</v>
      </c>
      <c r="N426">
        <v>41.6</v>
      </c>
      <c r="O426">
        <v>75.900000000000006</v>
      </c>
      <c r="P426">
        <v>5.43</v>
      </c>
      <c r="Q426">
        <v>0.6</v>
      </c>
      <c r="R426" t="s">
        <v>58</v>
      </c>
      <c r="S426" t="s">
        <v>39</v>
      </c>
      <c r="T426" t="s">
        <v>30</v>
      </c>
      <c r="U426" t="str">
        <f t="shared" si="18"/>
        <v>Normal</v>
      </c>
      <c r="V426" t="str">
        <f t="shared" si="19"/>
        <v>Normal</v>
      </c>
      <c r="W426" t="str">
        <f t="shared" si="20"/>
        <v>Normal</v>
      </c>
    </row>
    <row r="427" spans="1:23" x14ac:dyDescent="0.3">
      <c r="A427">
        <v>10661</v>
      </c>
      <c r="B427" s="2">
        <v>45765</v>
      </c>
      <c r="C427" t="s">
        <v>20</v>
      </c>
      <c r="D427" t="s">
        <v>64</v>
      </c>
      <c r="E427" t="s">
        <v>107</v>
      </c>
      <c r="F427" t="s">
        <v>41</v>
      </c>
      <c r="G427" t="s">
        <v>34</v>
      </c>
      <c r="H427" t="s">
        <v>192</v>
      </c>
      <c r="I427" t="s">
        <v>168</v>
      </c>
      <c r="J427">
        <v>859</v>
      </c>
      <c r="K427">
        <v>50</v>
      </c>
      <c r="L427" t="s">
        <v>68</v>
      </c>
      <c r="M427">
        <v>34</v>
      </c>
      <c r="N427">
        <v>49.7</v>
      </c>
      <c r="O427">
        <v>75.900000000000006</v>
      </c>
      <c r="P427">
        <v>5.0999999999999996</v>
      </c>
      <c r="Q427">
        <v>1.33</v>
      </c>
      <c r="R427" t="s">
        <v>133</v>
      </c>
      <c r="S427" t="s">
        <v>47</v>
      </c>
      <c r="T427" t="s">
        <v>48</v>
      </c>
      <c r="U427" t="str">
        <f t="shared" si="18"/>
        <v>Normal</v>
      </c>
      <c r="V427" t="str">
        <f t="shared" si="19"/>
        <v>Normal</v>
      </c>
      <c r="W427" t="str">
        <f t="shared" si="20"/>
        <v>Normal</v>
      </c>
    </row>
    <row r="428" spans="1:23" x14ac:dyDescent="0.3">
      <c r="A428">
        <v>11325</v>
      </c>
      <c r="B428" s="2">
        <v>45693</v>
      </c>
      <c r="C428" t="s">
        <v>49</v>
      </c>
      <c r="D428" t="s">
        <v>64</v>
      </c>
      <c r="E428" t="s">
        <v>107</v>
      </c>
      <c r="F428" t="s">
        <v>81</v>
      </c>
      <c r="G428" t="s">
        <v>74</v>
      </c>
      <c r="H428" t="s">
        <v>175</v>
      </c>
      <c r="I428" t="s">
        <v>76</v>
      </c>
      <c r="J428">
        <v>1437</v>
      </c>
      <c r="K428">
        <v>14</v>
      </c>
      <c r="L428" t="s">
        <v>45</v>
      </c>
      <c r="M428">
        <v>63</v>
      </c>
      <c r="N428">
        <v>42.9</v>
      </c>
      <c r="O428">
        <v>75.900000000000006</v>
      </c>
      <c r="P428">
        <v>4.7699999999999996</v>
      </c>
      <c r="Q428">
        <v>4.66</v>
      </c>
      <c r="R428" t="s">
        <v>174</v>
      </c>
      <c r="S428" t="s">
        <v>47</v>
      </c>
      <c r="T428" t="s">
        <v>30</v>
      </c>
      <c r="U428" t="str">
        <f t="shared" si="18"/>
        <v>Normal</v>
      </c>
      <c r="V428" t="str">
        <f t="shared" si="19"/>
        <v>Normal</v>
      </c>
      <c r="W428" t="str">
        <f t="shared" si="20"/>
        <v>Normal</v>
      </c>
    </row>
    <row r="429" spans="1:23" x14ac:dyDescent="0.3">
      <c r="A429">
        <v>10070</v>
      </c>
      <c r="B429" s="2">
        <v>45665</v>
      </c>
      <c r="C429" t="s">
        <v>31</v>
      </c>
      <c r="D429" t="s">
        <v>32</v>
      </c>
      <c r="E429" t="s">
        <v>33</v>
      </c>
      <c r="F429" t="s">
        <v>41</v>
      </c>
      <c r="G429" t="s">
        <v>50</v>
      </c>
      <c r="H429" t="s">
        <v>263</v>
      </c>
      <c r="I429" t="s">
        <v>187</v>
      </c>
      <c r="J429">
        <v>941</v>
      </c>
      <c r="K429">
        <v>37</v>
      </c>
      <c r="L429" t="s">
        <v>27</v>
      </c>
      <c r="M429">
        <v>176</v>
      </c>
      <c r="N429">
        <v>50.7</v>
      </c>
      <c r="O429">
        <v>75.900000000000006</v>
      </c>
      <c r="P429">
        <v>4.38</v>
      </c>
      <c r="Q429">
        <v>2.75</v>
      </c>
      <c r="R429" t="s">
        <v>245</v>
      </c>
      <c r="S429" t="s">
        <v>29</v>
      </c>
      <c r="T429" t="s">
        <v>48</v>
      </c>
      <c r="U429" t="str">
        <f t="shared" si="18"/>
        <v>Normal</v>
      </c>
      <c r="V429" t="str">
        <f t="shared" si="19"/>
        <v>Normal</v>
      </c>
      <c r="W429" t="str">
        <f t="shared" si="20"/>
        <v>Normal</v>
      </c>
    </row>
    <row r="430" spans="1:23" x14ac:dyDescent="0.3">
      <c r="A430">
        <v>10935</v>
      </c>
      <c r="B430" s="2">
        <v>45712</v>
      </c>
      <c r="C430" t="s">
        <v>20</v>
      </c>
      <c r="D430" t="s">
        <v>32</v>
      </c>
      <c r="E430" t="s">
        <v>40</v>
      </c>
      <c r="F430" t="s">
        <v>23</v>
      </c>
      <c r="G430" t="s">
        <v>113</v>
      </c>
      <c r="H430" t="s">
        <v>223</v>
      </c>
      <c r="I430" t="s">
        <v>380</v>
      </c>
      <c r="J430">
        <v>1020</v>
      </c>
      <c r="K430">
        <v>15</v>
      </c>
      <c r="L430" t="s">
        <v>45</v>
      </c>
      <c r="M430">
        <v>140</v>
      </c>
      <c r="N430">
        <v>61.6</v>
      </c>
      <c r="O430">
        <v>75.900000000000006</v>
      </c>
      <c r="P430">
        <v>4.21</v>
      </c>
      <c r="Q430">
        <v>3.52</v>
      </c>
      <c r="R430" t="s">
        <v>202</v>
      </c>
      <c r="S430" t="s">
        <v>29</v>
      </c>
      <c r="T430" t="s">
        <v>30</v>
      </c>
      <c r="U430" t="str">
        <f t="shared" si="18"/>
        <v>Normal</v>
      </c>
      <c r="V430" t="str">
        <f t="shared" si="19"/>
        <v>Normal</v>
      </c>
      <c r="W430" t="str">
        <f t="shared" si="20"/>
        <v>Normal</v>
      </c>
    </row>
    <row r="431" spans="1:23" x14ac:dyDescent="0.3">
      <c r="A431">
        <v>10773</v>
      </c>
      <c r="B431" s="2">
        <v>45707</v>
      </c>
      <c r="C431" t="s">
        <v>49</v>
      </c>
      <c r="D431" t="s">
        <v>21</v>
      </c>
      <c r="E431" t="s">
        <v>40</v>
      </c>
      <c r="F431" t="s">
        <v>23</v>
      </c>
      <c r="G431" t="s">
        <v>50</v>
      </c>
      <c r="H431" t="s">
        <v>200</v>
      </c>
      <c r="I431" t="s">
        <v>201</v>
      </c>
      <c r="J431">
        <v>884</v>
      </c>
      <c r="K431">
        <v>4</v>
      </c>
      <c r="L431" t="s">
        <v>37</v>
      </c>
      <c r="M431">
        <v>133</v>
      </c>
      <c r="N431">
        <v>33.299999999999997</v>
      </c>
      <c r="O431">
        <v>75.8</v>
      </c>
      <c r="P431">
        <v>5.91</v>
      </c>
      <c r="Q431">
        <v>1.86</v>
      </c>
      <c r="R431" t="s">
        <v>183</v>
      </c>
      <c r="S431" t="s">
        <v>29</v>
      </c>
      <c r="T431" t="s">
        <v>30</v>
      </c>
      <c r="U431" t="str">
        <f t="shared" si="18"/>
        <v>Normal</v>
      </c>
      <c r="V431" t="str">
        <f t="shared" si="19"/>
        <v>Normal</v>
      </c>
      <c r="W431" t="str">
        <f t="shared" si="20"/>
        <v>Normal</v>
      </c>
    </row>
    <row r="432" spans="1:23" x14ac:dyDescent="0.3">
      <c r="A432">
        <v>10245</v>
      </c>
      <c r="B432" s="2">
        <v>45931</v>
      </c>
      <c r="C432" t="s">
        <v>31</v>
      </c>
      <c r="D432" t="s">
        <v>32</v>
      </c>
      <c r="E432" t="s">
        <v>40</v>
      </c>
      <c r="F432" t="s">
        <v>41</v>
      </c>
      <c r="G432" t="s">
        <v>74</v>
      </c>
      <c r="H432" t="s">
        <v>193</v>
      </c>
      <c r="I432" t="s">
        <v>218</v>
      </c>
      <c r="J432">
        <v>1196</v>
      </c>
      <c r="K432">
        <v>4</v>
      </c>
      <c r="L432" t="s">
        <v>57</v>
      </c>
      <c r="M432">
        <v>165</v>
      </c>
      <c r="N432">
        <v>39</v>
      </c>
      <c r="O432">
        <v>75.8</v>
      </c>
      <c r="P432">
        <v>4.0999999999999996</v>
      </c>
      <c r="Q432">
        <v>2.5</v>
      </c>
      <c r="R432" t="s">
        <v>63</v>
      </c>
      <c r="S432" t="s">
        <v>73</v>
      </c>
      <c r="T432" t="s">
        <v>30</v>
      </c>
      <c r="U432" t="str">
        <f t="shared" si="18"/>
        <v>Normal</v>
      </c>
      <c r="V432" t="str">
        <f t="shared" si="19"/>
        <v>Normal</v>
      </c>
      <c r="W432" t="str">
        <f t="shared" si="20"/>
        <v>Normal</v>
      </c>
    </row>
    <row r="433" spans="1:23" x14ac:dyDescent="0.3">
      <c r="A433">
        <v>10768</v>
      </c>
      <c r="B433" s="2">
        <v>45944</v>
      </c>
      <c r="C433" t="s">
        <v>20</v>
      </c>
      <c r="D433" t="s">
        <v>32</v>
      </c>
      <c r="E433" t="s">
        <v>40</v>
      </c>
      <c r="F433" t="s">
        <v>81</v>
      </c>
      <c r="G433" t="s">
        <v>109</v>
      </c>
      <c r="H433" t="s">
        <v>25</v>
      </c>
      <c r="I433" t="s">
        <v>259</v>
      </c>
      <c r="J433">
        <v>687</v>
      </c>
      <c r="K433">
        <v>18</v>
      </c>
      <c r="L433" t="s">
        <v>27</v>
      </c>
      <c r="M433">
        <v>47</v>
      </c>
      <c r="N433">
        <v>52.5</v>
      </c>
      <c r="O433">
        <v>75.8</v>
      </c>
      <c r="P433">
        <v>5.62</v>
      </c>
      <c r="Q433">
        <v>2.4500000000000002</v>
      </c>
      <c r="R433" t="s">
        <v>58</v>
      </c>
      <c r="S433" t="s">
        <v>73</v>
      </c>
      <c r="T433" t="s">
        <v>30</v>
      </c>
      <c r="U433" t="str">
        <f t="shared" si="18"/>
        <v>Normal</v>
      </c>
      <c r="V433" t="str">
        <f t="shared" si="19"/>
        <v>Normal</v>
      </c>
      <c r="W433" t="str">
        <f t="shared" si="20"/>
        <v>Normal</v>
      </c>
    </row>
    <row r="434" spans="1:23" x14ac:dyDescent="0.3">
      <c r="A434">
        <v>10536</v>
      </c>
      <c r="B434" s="2">
        <v>45763</v>
      </c>
      <c r="C434" t="s">
        <v>31</v>
      </c>
      <c r="D434" t="s">
        <v>32</v>
      </c>
      <c r="E434" t="s">
        <v>22</v>
      </c>
      <c r="F434" t="s">
        <v>81</v>
      </c>
      <c r="G434" t="s">
        <v>42</v>
      </c>
      <c r="H434" t="s">
        <v>138</v>
      </c>
      <c r="I434" t="s">
        <v>354</v>
      </c>
      <c r="J434">
        <v>824</v>
      </c>
      <c r="K434">
        <v>10</v>
      </c>
      <c r="L434" t="s">
        <v>57</v>
      </c>
      <c r="M434">
        <v>130</v>
      </c>
      <c r="N434">
        <v>49.4</v>
      </c>
      <c r="O434">
        <v>75.8</v>
      </c>
      <c r="P434">
        <v>5.21</v>
      </c>
      <c r="Q434">
        <v>1.72</v>
      </c>
      <c r="R434" t="s">
        <v>189</v>
      </c>
      <c r="S434" t="s">
        <v>29</v>
      </c>
      <c r="T434" t="s">
        <v>30</v>
      </c>
      <c r="U434" t="str">
        <f t="shared" si="18"/>
        <v>Normal</v>
      </c>
      <c r="V434" t="str">
        <f t="shared" si="19"/>
        <v>Normal</v>
      </c>
      <c r="W434" t="str">
        <f t="shared" si="20"/>
        <v>Normal</v>
      </c>
    </row>
    <row r="435" spans="1:23" x14ac:dyDescent="0.3">
      <c r="A435">
        <v>10665</v>
      </c>
      <c r="B435" s="2">
        <v>45846</v>
      </c>
      <c r="C435" t="s">
        <v>20</v>
      </c>
      <c r="D435" t="s">
        <v>64</v>
      </c>
      <c r="E435" t="s">
        <v>33</v>
      </c>
      <c r="F435" t="s">
        <v>81</v>
      </c>
      <c r="G435" t="s">
        <v>89</v>
      </c>
      <c r="H435" t="s">
        <v>177</v>
      </c>
      <c r="I435" t="s">
        <v>257</v>
      </c>
      <c r="J435">
        <v>462</v>
      </c>
      <c r="K435">
        <v>3</v>
      </c>
      <c r="L435" t="s">
        <v>45</v>
      </c>
      <c r="M435">
        <v>156</v>
      </c>
      <c r="N435">
        <v>51.3</v>
      </c>
      <c r="O435">
        <v>75.8</v>
      </c>
      <c r="P435">
        <v>5.95</v>
      </c>
      <c r="Q435">
        <v>3.96</v>
      </c>
      <c r="R435" t="s">
        <v>103</v>
      </c>
      <c r="S435" t="s">
        <v>47</v>
      </c>
      <c r="T435" t="s">
        <v>30</v>
      </c>
      <c r="U435" t="str">
        <f t="shared" si="18"/>
        <v>Normal</v>
      </c>
      <c r="V435" t="str">
        <f t="shared" si="19"/>
        <v>Normal</v>
      </c>
      <c r="W435" t="str">
        <f t="shared" si="20"/>
        <v>Normal</v>
      </c>
    </row>
    <row r="436" spans="1:23" x14ac:dyDescent="0.3">
      <c r="A436">
        <v>10274</v>
      </c>
      <c r="B436" s="2">
        <v>45811</v>
      </c>
      <c r="C436" t="s">
        <v>31</v>
      </c>
      <c r="D436" t="s">
        <v>32</v>
      </c>
      <c r="E436" t="s">
        <v>40</v>
      </c>
      <c r="F436" t="s">
        <v>23</v>
      </c>
      <c r="G436" t="s">
        <v>42</v>
      </c>
      <c r="H436" t="s">
        <v>175</v>
      </c>
      <c r="I436" t="s">
        <v>211</v>
      </c>
      <c r="J436">
        <v>1542</v>
      </c>
      <c r="K436">
        <v>72</v>
      </c>
      <c r="L436" t="s">
        <v>57</v>
      </c>
      <c r="M436">
        <v>173</v>
      </c>
      <c r="N436">
        <v>50.3</v>
      </c>
      <c r="O436">
        <v>75.8</v>
      </c>
      <c r="P436">
        <v>5.04</v>
      </c>
      <c r="Q436">
        <v>2.2200000000000002</v>
      </c>
      <c r="R436" t="s">
        <v>216</v>
      </c>
      <c r="S436" t="s">
        <v>47</v>
      </c>
      <c r="T436" t="s">
        <v>48</v>
      </c>
      <c r="U436" t="str">
        <f t="shared" si="18"/>
        <v>Normal</v>
      </c>
      <c r="V436" t="str">
        <f t="shared" si="19"/>
        <v>Normal</v>
      </c>
      <c r="W436" t="str">
        <f t="shared" si="20"/>
        <v>Normal</v>
      </c>
    </row>
    <row r="437" spans="1:23" x14ac:dyDescent="0.3">
      <c r="A437">
        <v>10983</v>
      </c>
      <c r="B437" s="2">
        <v>45680</v>
      </c>
      <c r="C437" t="s">
        <v>31</v>
      </c>
      <c r="D437" t="s">
        <v>32</v>
      </c>
      <c r="E437" t="s">
        <v>33</v>
      </c>
      <c r="F437" t="s">
        <v>81</v>
      </c>
      <c r="G437" t="s">
        <v>89</v>
      </c>
      <c r="H437" t="s">
        <v>138</v>
      </c>
      <c r="I437" t="s">
        <v>218</v>
      </c>
      <c r="J437">
        <v>1533</v>
      </c>
      <c r="K437">
        <v>4</v>
      </c>
      <c r="L437" t="s">
        <v>37</v>
      </c>
      <c r="M437">
        <v>62</v>
      </c>
      <c r="N437">
        <v>38.6</v>
      </c>
      <c r="O437">
        <v>75.8</v>
      </c>
      <c r="P437">
        <v>6.44</v>
      </c>
      <c r="Q437">
        <v>4.75</v>
      </c>
      <c r="R437" t="s">
        <v>122</v>
      </c>
      <c r="S437" t="s">
        <v>47</v>
      </c>
      <c r="T437" t="s">
        <v>30</v>
      </c>
      <c r="U437" t="str">
        <f t="shared" si="18"/>
        <v>Normal</v>
      </c>
      <c r="V437" t="str">
        <f t="shared" si="19"/>
        <v>Normal</v>
      </c>
      <c r="W437" t="str">
        <f t="shared" si="20"/>
        <v>Normal</v>
      </c>
    </row>
    <row r="438" spans="1:23" x14ac:dyDescent="0.3">
      <c r="A438">
        <v>10106</v>
      </c>
      <c r="B438" s="2">
        <v>45848</v>
      </c>
      <c r="C438" t="s">
        <v>49</v>
      </c>
      <c r="D438" t="s">
        <v>32</v>
      </c>
      <c r="E438" t="s">
        <v>40</v>
      </c>
      <c r="F438" t="s">
        <v>41</v>
      </c>
      <c r="G438" t="s">
        <v>50</v>
      </c>
      <c r="H438" t="s">
        <v>169</v>
      </c>
      <c r="I438" t="s">
        <v>236</v>
      </c>
      <c r="J438">
        <v>537</v>
      </c>
      <c r="K438">
        <v>14</v>
      </c>
      <c r="L438" t="s">
        <v>71</v>
      </c>
      <c r="M438">
        <v>29</v>
      </c>
      <c r="N438">
        <v>37.6</v>
      </c>
      <c r="O438">
        <v>75.8</v>
      </c>
      <c r="P438">
        <v>5</v>
      </c>
      <c r="Q438">
        <v>2.78</v>
      </c>
      <c r="R438" t="s">
        <v>38</v>
      </c>
      <c r="S438" t="s">
        <v>47</v>
      </c>
      <c r="T438" t="s">
        <v>30</v>
      </c>
      <c r="U438" t="str">
        <f t="shared" si="18"/>
        <v>Normal</v>
      </c>
      <c r="V438" t="str">
        <f t="shared" si="19"/>
        <v>Normal</v>
      </c>
      <c r="W438" t="str">
        <f t="shared" si="20"/>
        <v>Normal</v>
      </c>
    </row>
    <row r="439" spans="1:23" x14ac:dyDescent="0.3">
      <c r="A439">
        <v>10432</v>
      </c>
      <c r="B439" s="2">
        <v>45923</v>
      </c>
      <c r="C439" t="s">
        <v>20</v>
      </c>
      <c r="D439" t="s">
        <v>32</v>
      </c>
      <c r="E439" t="s">
        <v>22</v>
      </c>
      <c r="F439" t="s">
        <v>41</v>
      </c>
      <c r="G439" t="s">
        <v>134</v>
      </c>
      <c r="H439" t="s">
        <v>69</v>
      </c>
      <c r="I439" t="s">
        <v>83</v>
      </c>
      <c r="J439">
        <v>518</v>
      </c>
      <c r="K439">
        <v>4</v>
      </c>
      <c r="L439" t="s">
        <v>37</v>
      </c>
      <c r="M439">
        <v>168</v>
      </c>
      <c r="N439">
        <v>52.8</v>
      </c>
      <c r="O439">
        <v>75.8</v>
      </c>
      <c r="P439">
        <v>7.06</v>
      </c>
      <c r="Q439">
        <v>3.46</v>
      </c>
      <c r="R439" t="s">
        <v>222</v>
      </c>
      <c r="S439" t="s">
        <v>39</v>
      </c>
      <c r="T439" t="s">
        <v>30</v>
      </c>
      <c r="U439" t="str">
        <f t="shared" si="18"/>
        <v>Normal</v>
      </c>
      <c r="V439" t="str">
        <f t="shared" si="19"/>
        <v>Normal</v>
      </c>
      <c r="W439" t="str">
        <f t="shared" si="20"/>
        <v>Normal</v>
      </c>
    </row>
    <row r="440" spans="1:23" x14ac:dyDescent="0.3">
      <c r="A440">
        <v>10270</v>
      </c>
      <c r="B440" s="2">
        <v>45855</v>
      </c>
      <c r="C440" t="s">
        <v>31</v>
      </c>
      <c r="D440" t="s">
        <v>59</v>
      </c>
      <c r="E440" t="s">
        <v>107</v>
      </c>
      <c r="F440" t="s">
        <v>23</v>
      </c>
      <c r="G440" t="s">
        <v>89</v>
      </c>
      <c r="H440" t="s">
        <v>35</v>
      </c>
      <c r="I440" t="s">
        <v>377</v>
      </c>
      <c r="J440">
        <v>1366</v>
      </c>
      <c r="K440">
        <v>81</v>
      </c>
      <c r="L440" t="s">
        <v>71</v>
      </c>
      <c r="M440">
        <v>132</v>
      </c>
      <c r="N440">
        <v>29.6</v>
      </c>
      <c r="O440">
        <v>75.8</v>
      </c>
      <c r="P440">
        <v>3.74</v>
      </c>
      <c r="Q440">
        <v>1.45</v>
      </c>
      <c r="R440" t="s">
        <v>58</v>
      </c>
      <c r="S440" t="s">
        <v>39</v>
      </c>
      <c r="T440" t="s">
        <v>48</v>
      </c>
      <c r="U440" t="str">
        <f t="shared" si="18"/>
        <v>Normal</v>
      </c>
      <c r="V440" t="str">
        <f t="shared" si="19"/>
        <v>Normal</v>
      </c>
      <c r="W440" t="str">
        <f t="shared" si="20"/>
        <v>Normal</v>
      </c>
    </row>
    <row r="441" spans="1:23" x14ac:dyDescent="0.3">
      <c r="A441">
        <v>10627</v>
      </c>
      <c r="B441" s="2">
        <v>45715</v>
      </c>
      <c r="C441" t="s">
        <v>49</v>
      </c>
      <c r="D441" t="s">
        <v>32</v>
      </c>
      <c r="E441" t="s">
        <v>22</v>
      </c>
      <c r="F441" t="s">
        <v>41</v>
      </c>
      <c r="G441" t="s">
        <v>54</v>
      </c>
      <c r="H441" t="s">
        <v>192</v>
      </c>
      <c r="I441" t="s">
        <v>246</v>
      </c>
      <c r="J441">
        <v>933</v>
      </c>
      <c r="K441">
        <v>75</v>
      </c>
      <c r="L441" t="s">
        <v>57</v>
      </c>
      <c r="M441">
        <v>169</v>
      </c>
      <c r="N441">
        <v>33.700000000000003</v>
      </c>
      <c r="O441">
        <v>75.7</v>
      </c>
      <c r="P441">
        <v>6.48</v>
      </c>
      <c r="Q441">
        <v>3.31</v>
      </c>
      <c r="R441" t="s">
        <v>189</v>
      </c>
      <c r="S441" t="s">
        <v>29</v>
      </c>
      <c r="T441" t="s">
        <v>48</v>
      </c>
      <c r="U441" t="str">
        <f t="shared" si="18"/>
        <v>Normal</v>
      </c>
      <c r="V441" t="str">
        <f t="shared" si="19"/>
        <v>Normal</v>
      </c>
      <c r="W441" t="str">
        <f t="shared" si="20"/>
        <v>Normal</v>
      </c>
    </row>
    <row r="442" spans="1:23" x14ac:dyDescent="0.3">
      <c r="A442">
        <v>10204</v>
      </c>
      <c r="B442" s="2">
        <v>45754</v>
      </c>
      <c r="C442" t="s">
        <v>49</v>
      </c>
      <c r="D442" t="s">
        <v>59</v>
      </c>
      <c r="E442" t="s">
        <v>107</v>
      </c>
      <c r="F442" t="s">
        <v>81</v>
      </c>
      <c r="G442" t="s">
        <v>95</v>
      </c>
      <c r="H442" t="s">
        <v>265</v>
      </c>
      <c r="I442" t="s">
        <v>269</v>
      </c>
      <c r="J442">
        <v>1207</v>
      </c>
      <c r="K442">
        <v>115</v>
      </c>
      <c r="L442" t="s">
        <v>57</v>
      </c>
      <c r="M442">
        <v>63</v>
      </c>
      <c r="N442">
        <v>44.8</v>
      </c>
      <c r="O442">
        <v>75.7</v>
      </c>
      <c r="P442">
        <v>5.62</v>
      </c>
      <c r="Q442">
        <v>1.72</v>
      </c>
      <c r="R442" t="s">
        <v>232</v>
      </c>
      <c r="S442" t="s">
        <v>39</v>
      </c>
      <c r="T442" t="s">
        <v>48</v>
      </c>
      <c r="U442" t="str">
        <f t="shared" si="18"/>
        <v>Normal</v>
      </c>
      <c r="V442" t="str">
        <f t="shared" si="19"/>
        <v>Normal</v>
      </c>
      <c r="W442" t="str">
        <f t="shared" si="20"/>
        <v>Normal</v>
      </c>
    </row>
    <row r="443" spans="1:23" x14ac:dyDescent="0.3">
      <c r="A443">
        <v>10712</v>
      </c>
      <c r="B443" s="2">
        <v>45974</v>
      </c>
      <c r="C443" t="s">
        <v>31</v>
      </c>
      <c r="D443" t="s">
        <v>21</v>
      </c>
      <c r="E443" t="s">
        <v>40</v>
      </c>
      <c r="F443" t="s">
        <v>23</v>
      </c>
      <c r="G443" t="s">
        <v>74</v>
      </c>
      <c r="H443" t="s">
        <v>66</v>
      </c>
      <c r="I443" t="s">
        <v>306</v>
      </c>
      <c r="J443">
        <v>973</v>
      </c>
      <c r="K443">
        <v>11</v>
      </c>
      <c r="L443" t="s">
        <v>57</v>
      </c>
      <c r="M443">
        <v>26</v>
      </c>
      <c r="N443">
        <v>34.5</v>
      </c>
      <c r="O443">
        <v>75.7</v>
      </c>
      <c r="P443">
        <v>4.63</v>
      </c>
      <c r="Q443">
        <v>4.7699999999999996</v>
      </c>
      <c r="R443" t="s">
        <v>186</v>
      </c>
      <c r="S443" t="s">
        <v>29</v>
      </c>
      <c r="T443" t="s">
        <v>30</v>
      </c>
      <c r="U443" t="str">
        <f t="shared" si="18"/>
        <v>Normal</v>
      </c>
      <c r="V443" t="str">
        <f t="shared" si="19"/>
        <v>Normal</v>
      </c>
      <c r="W443" t="str">
        <f t="shared" si="20"/>
        <v>Normal</v>
      </c>
    </row>
    <row r="444" spans="1:23" x14ac:dyDescent="0.3">
      <c r="A444">
        <v>10478</v>
      </c>
      <c r="B444" s="2">
        <v>45916</v>
      </c>
      <c r="C444" t="s">
        <v>31</v>
      </c>
      <c r="D444" t="s">
        <v>32</v>
      </c>
      <c r="E444" t="s">
        <v>40</v>
      </c>
      <c r="F444" t="s">
        <v>23</v>
      </c>
      <c r="G444" t="s">
        <v>60</v>
      </c>
      <c r="H444" t="s">
        <v>148</v>
      </c>
      <c r="I444" t="s">
        <v>353</v>
      </c>
      <c r="J444">
        <v>604</v>
      </c>
      <c r="K444">
        <v>3</v>
      </c>
      <c r="L444" t="s">
        <v>45</v>
      </c>
      <c r="M444">
        <v>10</v>
      </c>
      <c r="N444">
        <v>40.299999999999997</v>
      </c>
      <c r="O444">
        <v>75.7</v>
      </c>
      <c r="P444">
        <v>5.62</v>
      </c>
      <c r="Q444">
        <v>1.61</v>
      </c>
      <c r="R444" t="s">
        <v>267</v>
      </c>
      <c r="S444" t="s">
        <v>29</v>
      </c>
      <c r="T444" t="s">
        <v>30</v>
      </c>
      <c r="U444" t="str">
        <f t="shared" si="18"/>
        <v>Normal</v>
      </c>
      <c r="V444" t="str">
        <f t="shared" si="19"/>
        <v>Normal</v>
      </c>
      <c r="W444" t="str">
        <f t="shared" si="20"/>
        <v>Normal</v>
      </c>
    </row>
    <row r="445" spans="1:23" x14ac:dyDescent="0.3">
      <c r="A445">
        <v>11400</v>
      </c>
      <c r="B445" s="2">
        <v>45713</v>
      </c>
      <c r="C445" t="s">
        <v>31</v>
      </c>
      <c r="D445" t="s">
        <v>64</v>
      </c>
      <c r="E445" t="s">
        <v>107</v>
      </c>
      <c r="F445" t="s">
        <v>23</v>
      </c>
      <c r="G445" t="s">
        <v>24</v>
      </c>
      <c r="H445" t="s">
        <v>172</v>
      </c>
      <c r="I445" t="s">
        <v>136</v>
      </c>
      <c r="J445">
        <v>1275</v>
      </c>
      <c r="K445">
        <v>7</v>
      </c>
      <c r="L445" t="s">
        <v>71</v>
      </c>
      <c r="M445">
        <v>153</v>
      </c>
      <c r="N445">
        <v>48.2</v>
      </c>
      <c r="O445">
        <v>75.7</v>
      </c>
      <c r="P445">
        <v>6.22</v>
      </c>
      <c r="Q445">
        <v>2.67</v>
      </c>
      <c r="R445" t="s">
        <v>103</v>
      </c>
      <c r="S445" t="s">
        <v>47</v>
      </c>
      <c r="T445" t="s">
        <v>30</v>
      </c>
      <c r="U445" t="str">
        <f t="shared" si="18"/>
        <v>Normal</v>
      </c>
      <c r="V445" t="str">
        <f t="shared" si="19"/>
        <v>Normal</v>
      </c>
      <c r="W445" t="str">
        <f t="shared" si="20"/>
        <v>Normal</v>
      </c>
    </row>
    <row r="446" spans="1:23" x14ac:dyDescent="0.3">
      <c r="A446">
        <v>10319</v>
      </c>
      <c r="B446" s="2">
        <v>46018</v>
      </c>
      <c r="C446" t="s">
        <v>31</v>
      </c>
      <c r="D446" t="s">
        <v>59</v>
      </c>
      <c r="E446" t="s">
        <v>33</v>
      </c>
      <c r="F446" t="s">
        <v>23</v>
      </c>
      <c r="G446" t="s">
        <v>24</v>
      </c>
      <c r="H446" t="s">
        <v>287</v>
      </c>
      <c r="I446" t="s">
        <v>62</v>
      </c>
      <c r="J446">
        <v>1437</v>
      </c>
      <c r="K446">
        <v>14</v>
      </c>
      <c r="L446" t="s">
        <v>68</v>
      </c>
      <c r="M446">
        <v>91</v>
      </c>
      <c r="N446">
        <v>34</v>
      </c>
      <c r="O446">
        <v>75.7</v>
      </c>
      <c r="P446">
        <v>6.69</v>
      </c>
      <c r="Q446">
        <v>4.17</v>
      </c>
      <c r="R446" t="s">
        <v>137</v>
      </c>
      <c r="S446" t="s">
        <v>29</v>
      </c>
      <c r="T446" t="s">
        <v>30</v>
      </c>
      <c r="U446" t="str">
        <f t="shared" si="18"/>
        <v>Normal</v>
      </c>
      <c r="V446" t="str">
        <f t="shared" si="19"/>
        <v>Normal</v>
      </c>
      <c r="W446" t="str">
        <f t="shared" si="20"/>
        <v>Normal</v>
      </c>
    </row>
    <row r="447" spans="1:23" x14ac:dyDescent="0.3">
      <c r="A447">
        <v>10377</v>
      </c>
      <c r="B447" s="2">
        <v>46007</v>
      </c>
      <c r="C447" t="s">
        <v>49</v>
      </c>
      <c r="D447" t="s">
        <v>21</v>
      </c>
      <c r="E447" t="s">
        <v>33</v>
      </c>
      <c r="F447" t="s">
        <v>41</v>
      </c>
      <c r="G447" t="s">
        <v>134</v>
      </c>
      <c r="H447" t="s">
        <v>43</v>
      </c>
      <c r="I447" t="s">
        <v>270</v>
      </c>
      <c r="J447">
        <v>1388</v>
      </c>
      <c r="K447">
        <v>7</v>
      </c>
      <c r="L447" t="s">
        <v>37</v>
      </c>
      <c r="M447">
        <v>85</v>
      </c>
      <c r="N447">
        <v>53</v>
      </c>
      <c r="O447">
        <v>75.7</v>
      </c>
      <c r="P447">
        <v>4</v>
      </c>
      <c r="Q447">
        <v>1.79</v>
      </c>
      <c r="R447" t="s">
        <v>147</v>
      </c>
      <c r="S447" t="s">
        <v>29</v>
      </c>
      <c r="T447" t="s">
        <v>30</v>
      </c>
      <c r="U447" t="str">
        <f t="shared" si="18"/>
        <v>Normal</v>
      </c>
      <c r="V447" t="str">
        <f t="shared" si="19"/>
        <v>Normal</v>
      </c>
      <c r="W447" t="str">
        <f t="shared" si="20"/>
        <v>Normal</v>
      </c>
    </row>
    <row r="448" spans="1:23" x14ac:dyDescent="0.3">
      <c r="A448">
        <v>10008</v>
      </c>
      <c r="B448" s="2">
        <v>45817</v>
      </c>
      <c r="C448" t="s">
        <v>20</v>
      </c>
      <c r="D448" t="s">
        <v>21</v>
      </c>
      <c r="E448" t="s">
        <v>22</v>
      </c>
      <c r="F448" t="s">
        <v>23</v>
      </c>
      <c r="G448" t="s">
        <v>60</v>
      </c>
      <c r="H448" t="s">
        <v>265</v>
      </c>
      <c r="I448" t="s">
        <v>308</v>
      </c>
      <c r="J448">
        <v>1098</v>
      </c>
      <c r="K448">
        <v>9</v>
      </c>
      <c r="L448" t="s">
        <v>71</v>
      </c>
      <c r="M448">
        <v>134</v>
      </c>
      <c r="N448">
        <v>36.700000000000003</v>
      </c>
      <c r="O448">
        <v>75.7</v>
      </c>
      <c r="P448">
        <v>5.15</v>
      </c>
      <c r="Q448">
        <v>3.18</v>
      </c>
      <c r="R448" t="s">
        <v>174</v>
      </c>
      <c r="S448" t="s">
        <v>73</v>
      </c>
      <c r="T448" t="s">
        <v>30</v>
      </c>
      <c r="U448" t="str">
        <f t="shared" si="18"/>
        <v>Normal</v>
      </c>
      <c r="V448" t="str">
        <f t="shared" si="19"/>
        <v>Normal</v>
      </c>
      <c r="W448" t="str">
        <f t="shared" si="20"/>
        <v>Normal</v>
      </c>
    </row>
    <row r="449" spans="1:23" x14ac:dyDescent="0.3">
      <c r="A449">
        <v>11215</v>
      </c>
      <c r="B449" s="2">
        <v>45731</v>
      </c>
      <c r="C449" t="s">
        <v>31</v>
      </c>
      <c r="D449" t="s">
        <v>64</v>
      </c>
      <c r="E449" t="s">
        <v>33</v>
      </c>
      <c r="F449" t="s">
        <v>41</v>
      </c>
      <c r="G449" t="s">
        <v>95</v>
      </c>
      <c r="H449" t="s">
        <v>215</v>
      </c>
      <c r="I449" t="s">
        <v>117</v>
      </c>
      <c r="J449">
        <v>1442</v>
      </c>
      <c r="K449">
        <v>6</v>
      </c>
      <c r="L449" t="s">
        <v>37</v>
      </c>
      <c r="M449">
        <v>48</v>
      </c>
      <c r="N449">
        <v>33.799999999999997</v>
      </c>
      <c r="O449">
        <v>75.7</v>
      </c>
      <c r="P449">
        <v>5.71</v>
      </c>
      <c r="Q449">
        <v>1.6</v>
      </c>
      <c r="R449" t="s">
        <v>122</v>
      </c>
      <c r="S449" t="s">
        <v>39</v>
      </c>
      <c r="T449" t="s">
        <v>30</v>
      </c>
      <c r="U449" t="str">
        <f t="shared" si="18"/>
        <v>Normal</v>
      </c>
      <c r="V449" t="str">
        <f t="shared" si="19"/>
        <v>Normal</v>
      </c>
      <c r="W449" t="str">
        <f t="shared" si="20"/>
        <v>Normal</v>
      </c>
    </row>
    <row r="450" spans="1:23" x14ac:dyDescent="0.3">
      <c r="A450">
        <v>10051</v>
      </c>
      <c r="B450" s="2">
        <v>45822</v>
      </c>
      <c r="C450" t="s">
        <v>49</v>
      </c>
      <c r="D450" t="s">
        <v>64</v>
      </c>
      <c r="E450" t="s">
        <v>33</v>
      </c>
      <c r="F450" t="s">
        <v>23</v>
      </c>
      <c r="G450" t="s">
        <v>42</v>
      </c>
      <c r="H450" t="s">
        <v>116</v>
      </c>
      <c r="I450" t="s">
        <v>221</v>
      </c>
      <c r="J450">
        <v>1456</v>
      </c>
      <c r="K450">
        <v>17</v>
      </c>
      <c r="L450" t="s">
        <v>57</v>
      </c>
      <c r="M450">
        <v>11</v>
      </c>
      <c r="N450">
        <v>46.8</v>
      </c>
      <c r="O450">
        <v>75.7</v>
      </c>
      <c r="P450">
        <v>6.29</v>
      </c>
      <c r="Q450">
        <v>3.85</v>
      </c>
      <c r="R450" t="s">
        <v>38</v>
      </c>
      <c r="S450" t="s">
        <v>39</v>
      </c>
      <c r="T450" t="s">
        <v>30</v>
      </c>
      <c r="U450" t="str">
        <f t="shared" ref="U450:U513" si="21">IF(OR(O450&lt;20,O450&gt;100),"Investigate","Normal")</f>
        <v>Normal</v>
      </c>
      <c r="V450" t="str">
        <f t="shared" ref="V450:V513" si="22">IF(OR(P450&lt;2,P450&gt;10),"Investigate","Normal")</f>
        <v>Normal</v>
      </c>
      <c r="W450" t="str">
        <f t="shared" ref="W450:W513" si="23">IF(Q450&gt;10,"Investigate","Normal")</f>
        <v>Normal</v>
      </c>
    </row>
    <row r="451" spans="1:23" x14ac:dyDescent="0.3">
      <c r="A451">
        <v>10400</v>
      </c>
      <c r="B451" s="2">
        <v>46008</v>
      </c>
      <c r="C451" t="s">
        <v>49</v>
      </c>
      <c r="D451" t="s">
        <v>32</v>
      </c>
      <c r="E451" t="s">
        <v>22</v>
      </c>
      <c r="F451" t="s">
        <v>81</v>
      </c>
      <c r="G451" t="s">
        <v>42</v>
      </c>
      <c r="H451" t="s">
        <v>66</v>
      </c>
      <c r="I451" t="s">
        <v>178</v>
      </c>
      <c r="J451">
        <v>1227</v>
      </c>
      <c r="K451">
        <v>4</v>
      </c>
      <c r="L451" t="s">
        <v>45</v>
      </c>
      <c r="M451">
        <v>74</v>
      </c>
      <c r="N451">
        <v>42.8</v>
      </c>
      <c r="O451">
        <v>75.7</v>
      </c>
      <c r="P451">
        <v>5.05</v>
      </c>
      <c r="Q451">
        <v>2.69</v>
      </c>
      <c r="R451" t="s">
        <v>232</v>
      </c>
      <c r="S451" t="s">
        <v>29</v>
      </c>
      <c r="T451" t="s">
        <v>30</v>
      </c>
      <c r="U451" t="str">
        <f t="shared" si="21"/>
        <v>Normal</v>
      </c>
      <c r="V451" t="str">
        <f t="shared" si="22"/>
        <v>Normal</v>
      </c>
      <c r="W451" t="str">
        <f t="shared" si="23"/>
        <v>Normal</v>
      </c>
    </row>
    <row r="452" spans="1:23" x14ac:dyDescent="0.3">
      <c r="A452">
        <v>10750</v>
      </c>
      <c r="B452" s="2">
        <v>45931</v>
      </c>
      <c r="C452" t="s">
        <v>20</v>
      </c>
      <c r="D452" t="s">
        <v>21</v>
      </c>
      <c r="E452" t="s">
        <v>33</v>
      </c>
      <c r="F452" t="s">
        <v>41</v>
      </c>
      <c r="G452" t="s">
        <v>89</v>
      </c>
      <c r="H452" t="s">
        <v>78</v>
      </c>
      <c r="I452" t="s">
        <v>249</v>
      </c>
      <c r="J452">
        <v>955</v>
      </c>
      <c r="K452">
        <v>12</v>
      </c>
      <c r="L452" t="s">
        <v>45</v>
      </c>
      <c r="M452">
        <v>97</v>
      </c>
      <c r="N452">
        <v>40.799999999999997</v>
      </c>
      <c r="O452">
        <v>75.7</v>
      </c>
      <c r="P452">
        <v>6.87</v>
      </c>
      <c r="Q452">
        <v>3.23</v>
      </c>
      <c r="R452" t="s">
        <v>179</v>
      </c>
      <c r="S452" t="s">
        <v>29</v>
      </c>
      <c r="T452" t="s">
        <v>30</v>
      </c>
      <c r="U452" t="str">
        <f t="shared" si="21"/>
        <v>Normal</v>
      </c>
      <c r="V452" t="str">
        <f t="shared" si="22"/>
        <v>Normal</v>
      </c>
      <c r="W452" t="str">
        <f t="shared" si="23"/>
        <v>Normal</v>
      </c>
    </row>
    <row r="453" spans="1:23" x14ac:dyDescent="0.3">
      <c r="A453">
        <v>10752</v>
      </c>
      <c r="B453" s="2">
        <v>45907</v>
      </c>
      <c r="C453" t="s">
        <v>20</v>
      </c>
      <c r="D453" t="s">
        <v>59</v>
      </c>
      <c r="E453" t="s">
        <v>40</v>
      </c>
      <c r="F453" t="s">
        <v>41</v>
      </c>
      <c r="G453" t="s">
        <v>74</v>
      </c>
      <c r="H453" t="s">
        <v>169</v>
      </c>
      <c r="I453" t="s">
        <v>268</v>
      </c>
      <c r="J453">
        <v>1355</v>
      </c>
      <c r="K453">
        <v>10</v>
      </c>
      <c r="L453" t="s">
        <v>45</v>
      </c>
      <c r="M453">
        <v>101</v>
      </c>
      <c r="N453">
        <v>43</v>
      </c>
      <c r="O453">
        <v>75.7</v>
      </c>
      <c r="P453">
        <v>5.74</v>
      </c>
      <c r="Q453">
        <v>3.88</v>
      </c>
      <c r="R453" t="s">
        <v>92</v>
      </c>
      <c r="S453" t="s">
        <v>73</v>
      </c>
      <c r="T453" t="s">
        <v>30</v>
      </c>
      <c r="U453" t="str">
        <f t="shared" si="21"/>
        <v>Normal</v>
      </c>
      <c r="V453" t="str">
        <f t="shared" si="22"/>
        <v>Normal</v>
      </c>
      <c r="W453" t="str">
        <f t="shared" si="23"/>
        <v>Normal</v>
      </c>
    </row>
    <row r="454" spans="1:23" x14ac:dyDescent="0.3">
      <c r="A454">
        <v>11198</v>
      </c>
      <c r="B454" s="2">
        <v>45710</v>
      </c>
      <c r="C454" t="s">
        <v>20</v>
      </c>
      <c r="D454" t="s">
        <v>21</v>
      </c>
      <c r="E454" t="s">
        <v>107</v>
      </c>
      <c r="F454" t="s">
        <v>41</v>
      </c>
      <c r="G454" t="s">
        <v>134</v>
      </c>
      <c r="H454" t="s">
        <v>66</v>
      </c>
      <c r="I454" t="s">
        <v>185</v>
      </c>
      <c r="J454">
        <v>751</v>
      </c>
      <c r="K454">
        <v>3</v>
      </c>
      <c r="L454" t="s">
        <v>57</v>
      </c>
      <c r="M454">
        <v>163</v>
      </c>
      <c r="N454">
        <v>42.9</v>
      </c>
      <c r="O454">
        <v>75.599999999999994</v>
      </c>
      <c r="P454">
        <v>4.7300000000000004</v>
      </c>
      <c r="Q454">
        <v>1.99</v>
      </c>
      <c r="R454" t="s">
        <v>167</v>
      </c>
      <c r="S454" t="s">
        <v>29</v>
      </c>
      <c r="T454" t="s">
        <v>30</v>
      </c>
      <c r="U454" t="str">
        <f t="shared" si="21"/>
        <v>Normal</v>
      </c>
      <c r="V454" t="str">
        <f t="shared" si="22"/>
        <v>Normal</v>
      </c>
      <c r="W454" t="str">
        <f t="shared" si="23"/>
        <v>Normal</v>
      </c>
    </row>
    <row r="455" spans="1:23" x14ac:dyDescent="0.3">
      <c r="A455">
        <v>11014</v>
      </c>
      <c r="B455" s="2">
        <v>45878</v>
      </c>
      <c r="C455" t="s">
        <v>49</v>
      </c>
      <c r="D455" t="s">
        <v>59</v>
      </c>
      <c r="E455" t="s">
        <v>107</v>
      </c>
      <c r="F455" t="s">
        <v>41</v>
      </c>
      <c r="G455" t="s">
        <v>60</v>
      </c>
      <c r="H455" t="s">
        <v>55</v>
      </c>
      <c r="I455" t="s">
        <v>312</v>
      </c>
      <c r="J455">
        <v>1347</v>
      </c>
      <c r="K455">
        <v>7</v>
      </c>
      <c r="L455" t="s">
        <v>68</v>
      </c>
      <c r="M455">
        <v>23</v>
      </c>
      <c r="N455">
        <v>48.2</v>
      </c>
      <c r="O455">
        <v>75.599999999999994</v>
      </c>
      <c r="P455">
        <v>5.58</v>
      </c>
      <c r="Q455">
        <v>3.31</v>
      </c>
      <c r="R455" t="s">
        <v>222</v>
      </c>
      <c r="S455" t="s">
        <v>39</v>
      </c>
      <c r="T455" t="s">
        <v>30</v>
      </c>
      <c r="U455" t="str">
        <f t="shared" si="21"/>
        <v>Normal</v>
      </c>
      <c r="V455" t="str">
        <f t="shared" si="22"/>
        <v>Normal</v>
      </c>
      <c r="W455" t="str">
        <f t="shared" si="23"/>
        <v>Normal</v>
      </c>
    </row>
    <row r="456" spans="1:23" x14ac:dyDescent="0.3">
      <c r="A456">
        <v>10870</v>
      </c>
      <c r="B456" s="2">
        <v>45976</v>
      </c>
      <c r="C456" t="s">
        <v>31</v>
      </c>
      <c r="D456" t="s">
        <v>64</v>
      </c>
      <c r="E456" t="s">
        <v>40</v>
      </c>
      <c r="F456" t="s">
        <v>41</v>
      </c>
      <c r="G456" t="s">
        <v>95</v>
      </c>
      <c r="H456" t="s">
        <v>263</v>
      </c>
      <c r="I456" t="s">
        <v>226</v>
      </c>
      <c r="J456">
        <v>1592</v>
      </c>
      <c r="K456">
        <v>13</v>
      </c>
      <c r="L456" t="s">
        <v>27</v>
      </c>
      <c r="M456">
        <v>98</v>
      </c>
      <c r="N456">
        <v>48.6</v>
      </c>
      <c r="O456">
        <v>75.599999999999994</v>
      </c>
      <c r="P456">
        <v>4.71</v>
      </c>
      <c r="Q456">
        <v>4.2699999999999996</v>
      </c>
      <c r="R456" t="s">
        <v>280</v>
      </c>
      <c r="S456" t="s">
        <v>73</v>
      </c>
      <c r="T456" t="s">
        <v>30</v>
      </c>
      <c r="U456" t="str">
        <f t="shared" si="21"/>
        <v>Normal</v>
      </c>
      <c r="V456" t="str">
        <f t="shared" si="22"/>
        <v>Normal</v>
      </c>
      <c r="W456" t="str">
        <f t="shared" si="23"/>
        <v>Normal</v>
      </c>
    </row>
    <row r="457" spans="1:23" x14ac:dyDescent="0.3">
      <c r="A457">
        <v>10435</v>
      </c>
      <c r="B457" s="2">
        <v>45705</v>
      </c>
      <c r="C457" t="s">
        <v>31</v>
      </c>
      <c r="D457" t="s">
        <v>32</v>
      </c>
      <c r="E457" t="s">
        <v>22</v>
      </c>
      <c r="F457" t="s">
        <v>81</v>
      </c>
      <c r="G457" t="s">
        <v>113</v>
      </c>
      <c r="H457" t="s">
        <v>123</v>
      </c>
      <c r="I457" t="s">
        <v>289</v>
      </c>
      <c r="J457">
        <v>1597</v>
      </c>
      <c r="K457">
        <v>24</v>
      </c>
      <c r="L457" t="s">
        <v>57</v>
      </c>
      <c r="M457">
        <v>72</v>
      </c>
      <c r="N457">
        <v>41.2</v>
      </c>
      <c r="O457">
        <v>75.599999999999994</v>
      </c>
      <c r="P457">
        <v>5.87</v>
      </c>
      <c r="Q457">
        <v>2.41</v>
      </c>
      <c r="R457" t="s">
        <v>105</v>
      </c>
      <c r="S457" t="s">
        <v>29</v>
      </c>
      <c r="T457" t="s">
        <v>30</v>
      </c>
      <c r="U457" t="str">
        <f t="shared" si="21"/>
        <v>Normal</v>
      </c>
      <c r="V457" t="str">
        <f t="shared" si="22"/>
        <v>Normal</v>
      </c>
      <c r="W457" t="str">
        <f t="shared" si="23"/>
        <v>Normal</v>
      </c>
    </row>
    <row r="458" spans="1:23" x14ac:dyDescent="0.3">
      <c r="A458">
        <v>10419</v>
      </c>
      <c r="B458" s="2">
        <v>45846</v>
      </c>
      <c r="C458" t="s">
        <v>20</v>
      </c>
      <c r="D458" t="s">
        <v>59</v>
      </c>
      <c r="E458" t="s">
        <v>33</v>
      </c>
      <c r="F458" t="s">
        <v>23</v>
      </c>
      <c r="G458" t="s">
        <v>42</v>
      </c>
      <c r="H458" t="s">
        <v>287</v>
      </c>
      <c r="I458" t="s">
        <v>319</v>
      </c>
      <c r="J458">
        <v>941</v>
      </c>
      <c r="K458">
        <v>12</v>
      </c>
      <c r="L458" t="s">
        <v>68</v>
      </c>
      <c r="M458">
        <v>154</v>
      </c>
      <c r="N458">
        <v>46</v>
      </c>
      <c r="O458">
        <v>75.599999999999994</v>
      </c>
      <c r="P458">
        <v>4.68</v>
      </c>
      <c r="Q458">
        <v>3.36</v>
      </c>
      <c r="R458" t="s">
        <v>159</v>
      </c>
      <c r="S458" t="s">
        <v>39</v>
      </c>
      <c r="T458" t="s">
        <v>30</v>
      </c>
      <c r="U458" t="str">
        <f t="shared" si="21"/>
        <v>Normal</v>
      </c>
      <c r="V458" t="str">
        <f t="shared" si="22"/>
        <v>Normal</v>
      </c>
      <c r="W458" t="str">
        <f t="shared" si="23"/>
        <v>Normal</v>
      </c>
    </row>
    <row r="459" spans="1:23" x14ac:dyDescent="0.3">
      <c r="A459">
        <v>10392</v>
      </c>
      <c r="B459" s="2">
        <v>45866</v>
      </c>
      <c r="C459" t="s">
        <v>31</v>
      </c>
      <c r="D459" t="s">
        <v>21</v>
      </c>
      <c r="E459" t="s">
        <v>107</v>
      </c>
      <c r="F459" t="s">
        <v>23</v>
      </c>
      <c r="G459" t="s">
        <v>54</v>
      </c>
      <c r="H459" t="s">
        <v>278</v>
      </c>
      <c r="I459" t="s">
        <v>329</v>
      </c>
      <c r="J459">
        <v>801</v>
      </c>
      <c r="K459">
        <v>5</v>
      </c>
      <c r="L459" t="s">
        <v>37</v>
      </c>
      <c r="M459">
        <v>82</v>
      </c>
      <c r="N459">
        <v>55.7</v>
      </c>
      <c r="O459">
        <v>75.599999999999994</v>
      </c>
      <c r="P459">
        <v>5.27</v>
      </c>
      <c r="Q459">
        <v>2.84</v>
      </c>
      <c r="R459" t="s">
        <v>186</v>
      </c>
      <c r="S459" t="s">
        <v>29</v>
      </c>
      <c r="T459" t="s">
        <v>30</v>
      </c>
      <c r="U459" t="str">
        <f t="shared" si="21"/>
        <v>Normal</v>
      </c>
      <c r="V459" t="str">
        <f t="shared" si="22"/>
        <v>Normal</v>
      </c>
      <c r="W459" t="str">
        <f t="shared" si="23"/>
        <v>Normal</v>
      </c>
    </row>
    <row r="460" spans="1:23" x14ac:dyDescent="0.3">
      <c r="A460">
        <v>10713</v>
      </c>
      <c r="B460" s="2">
        <v>45958</v>
      </c>
      <c r="C460" t="s">
        <v>49</v>
      </c>
      <c r="D460" t="s">
        <v>21</v>
      </c>
      <c r="E460" t="s">
        <v>40</v>
      </c>
      <c r="F460" t="s">
        <v>41</v>
      </c>
      <c r="G460" t="s">
        <v>113</v>
      </c>
      <c r="H460" t="s">
        <v>43</v>
      </c>
      <c r="I460" t="s">
        <v>94</v>
      </c>
      <c r="J460">
        <v>1451</v>
      </c>
      <c r="K460">
        <v>13</v>
      </c>
      <c r="L460" t="s">
        <v>57</v>
      </c>
      <c r="M460">
        <v>165</v>
      </c>
      <c r="N460">
        <v>37.1</v>
      </c>
      <c r="O460">
        <v>75.5</v>
      </c>
      <c r="P460">
        <v>5.09</v>
      </c>
      <c r="Q460">
        <v>2.99</v>
      </c>
      <c r="R460" t="s">
        <v>222</v>
      </c>
      <c r="S460" t="s">
        <v>39</v>
      </c>
      <c r="T460" t="s">
        <v>30</v>
      </c>
      <c r="U460" t="str">
        <f t="shared" si="21"/>
        <v>Normal</v>
      </c>
      <c r="V460" t="str">
        <f t="shared" si="22"/>
        <v>Normal</v>
      </c>
      <c r="W460" t="str">
        <f t="shared" si="23"/>
        <v>Normal</v>
      </c>
    </row>
    <row r="461" spans="1:23" x14ac:dyDescent="0.3">
      <c r="A461">
        <v>11036</v>
      </c>
      <c r="B461" s="2">
        <v>45942</v>
      </c>
      <c r="C461" t="s">
        <v>20</v>
      </c>
      <c r="D461" t="s">
        <v>21</v>
      </c>
      <c r="E461" t="s">
        <v>33</v>
      </c>
      <c r="F461" t="s">
        <v>41</v>
      </c>
      <c r="G461" t="s">
        <v>74</v>
      </c>
      <c r="H461" t="s">
        <v>123</v>
      </c>
      <c r="I461" t="s">
        <v>52</v>
      </c>
      <c r="J461">
        <v>509</v>
      </c>
      <c r="K461">
        <v>8</v>
      </c>
      <c r="L461" t="s">
        <v>45</v>
      </c>
      <c r="M461">
        <v>93</v>
      </c>
      <c r="N461">
        <v>36.9</v>
      </c>
      <c r="O461">
        <v>75.5</v>
      </c>
      <c r="P461">
        <v>4.68</v>
      </c>
      <c r="Q461">
        <v>0.7</v>
      </c>
      <c r="R461" t="s">
        <v>105</v>
      </c>
      <c r="S461" t="s">
        <v>47</v>
      </c>
      <c r="T461" t="s">
        <v>30</v>
      </c>
      <c r="U461" t="str">
        <f t="shared" si="21"/>
        <v>Normal</v>
      </c>
      <c r="V461" t="str">
        <f t="shared" si="22"/>
        <v>Normal</v>
      </c>
      <c r="W461" t="str">
        <f t="shared" si="23"/>
        <v>Normal</v>
      </c>
    </row>
    <row r="462" spans="1:23" x14ac:dyDescent="0.3">
      <c r="A462">
        <v>11360</v>
      </c>
      <c r="B462" s="2">
        <v>45730</v>
      </c>
      <c r="C462" t="s">
        <v>31</v>
      </c>
      <c r="D462" t="s">
        <v>59</v>
      </c>
      <c r="E462" t="s">
        <v>107</v>
      </c>
      <c r="F462" t="s">
        <v>23</v>
      </c>
      <c r="G462" t="s">
        <v>42</v>
      </c>
      <c r="H462" t="s">
        <v>131</v>
      </c>
      <c r="I462" t="s">
        <v>118</v>
      </c>
      <c r="J462">
        <v>1479</v>
      </c>
      <c r="K462">
        <v>20</v>
      </c>
      <c r="L462" t="s">
        <v>37</v>
      </c>
      <c r="M462">
        <v>55</v>
      </c>
      <c r="N462">
        <v>43</v>
      </c>
      <c r="O462">
        <v>75.5</v>
      </c>
      <c r="P462">
        <v>3.82</v>
      </c>
      <c r="Q462">
        <v>0.13</v>
      </c>
      <c r="R462" t="s">
        <v>186</v>
      </c>
      <c r="S462" t="s">
        <v>47</v>
      </c>
      <c r="T462" t="s">
        <v>30</v>
      </c>
      <c r="U462" t="str">
        <f t="shared" si="21"/>
        <v>Normal</v>
      </c>
      <c r="V462" t="str">
        <f t="shared" si="22"/>
        <v>Normal</v>
      </c>
      <c r="W462" t="str">
        <f t="shared" si="23"/>
        <v>Normal</v>
      </c>
    </row>
    <row r="463" spans="1:23" x14ac:dyDescent="0.3">
      <c r="A463">
        <v>10856</v>
      </c>
      <c r="B463" s="2">
        <v>45939</v>
      </c>
      <c r="C463" t="s">
        <v>31</v>
      </c>
      <c r="D463" t="s">
        <v>21</v>
      </c>
      <c r="E463" t="s">
        <v>40</v>
      </c>
      <c r="F463" t="s">
        <v>41</v>
      </c>
      <c r="G463" t="s">
        <v>34</v>
      </c>
      <c r="H463" t="s">
        <v>278</v>
      </c>
      <c r="I463" t="s">
        <v>303</v>
      </c>
      <c r="J463">
        <v>1176</v>
      </c>
      <c r="K463">
        <v>7</v>
      </c>
      <c r="L463" t="s">
        <v>71</v>
      </c>
      <c r="M463">
        <v>142</v>
      </c>
      <c r="N463">
        <v>40.700000000000003</v>
      </c>
      <c r="O463">
        <v>75.5</v>
      </c>
      <c r="P463">
        <v>5.85</v>
      </c>
      <c r="Q463">
        <v>3.53</v>
      </c>
      <c r="R463" t="s">
        <v>84</v>
      </c>
      <c r="S463" t="s">
        <v>29</v>
      </c>
      <c r="T463" t="s">
        <v>30</v>
      </c>
      <c r="U463" t="str">
        <f t="shared" si="21"/>
        <v>Normal</v>
      </c>
      <c r="V463" t="str">
        <f t="shared" si="22"/>
        <v>Normal</v>
      </c>
      <c r="W463" t="str">
        <f t="shared" si="23"/>
        <v>Normal</v>
      </c>
    </row>
    <row r="464" spans="1:23" x14ac:dyDescent="0.3">
      <c r="A464">
        <v>10281</v>
      </c>
      <c r="B464" s="2">
        <v>45961</v>
      </c>
      <c r="C464" t="s">
        <v>49</v>
      </c>
      <c r="D464" t="s">
        <v>59</v>
      </c>
      <c r="E464" t="s">
        <v>22</v>
      </c>
      <c r="F464" t="s">
        <v>23</v>
      </c>
      <c r="G464" t="s">
        <v>50</v>
      </c>
      <c r="H464" t="s">
        <v>51</v>
      </c>
      <c r="I464" t="s">
        <v>220</v>
      </c>
      <c r="J464">
        <v>1005</v>
      </c>
      <c r="K464">
        <v>9</v>
      </c>
      <c r="L464" t="s">
        <v>27</v>
      </c>
      <c r="M464">
        <v>128</v>
      </c>
      <c r="N464">
        <v>46.6</v>
      </c>
      <c r="O464">
        <v>75.5</v>
      </c>
      <c r="P464">
        <v>5.19</v>
      </c>
      <c r="Q464">
        <v>3.59</v>
      </c>
      <c r="R464" t="s">
        <v>222</v>
      </c>
      <c r="S464" t="s">
        <v>29</v>
      </c>
      <c r="T464" t="s">
        <v>30</v>
      </c>
      <c r="U464" t="str">
        <f t="shared" si="21"/>
        <v>Normal</v>
      </c>
      <c r="V464" t="str">
        <f t="shared" si="22"/>
        <v>Normal</v>
      </c>
      <c r="W464" t="str">
        <f t="shared" si="23"/>
        <v>Normal</v>
      </c>
    </row>
    <row r="465" spans="1:23" x14ac:dyDescent="0.3">
      <c r="A465">
        <v>11303</v>
      </c>
      <c r="B465" s="2">
        <v>45939</v>
      </c>
      <c r="C465" t="s">
        <v>49</v>
      </c>
      <c r="D465" t="s">
        <v>32</v>
      </c>
      <c r="E465" t="s">
        <v>40</v>
      </c>
      <c r="F465" t="s">
        <v>41</v>
      </c>
      <c r="G465" t="s">
        <v>42</v>
      </c>
      <c r="H465" t="s">
        <v>51</v>
      </c>
      <c r="I465" t="s">
        <v>83</v>
      </c>
      <c r="J465">
        <v>1579</v>
      </c>
      <c r="K465">
        <v>16</v>
      </c>
      <c r="L465" t="s">
        <v>71</v>
      </c>
      <c r="M465">
        <v>50</v>
      </c>
      <c r="N465">
        <v>36</v>
      </c>
      <c r="O465">
        <v>75.5</v>
      </c>
      <c r="P465">
        <v>5.64</v>
      </c>
      <c r="Q465">
        <v>1.1100000000000001</v>
      </c>
      <c r="R465" t="s">
        <v>152</v>
      </c>
      <c r="S465" t="s">
        <v>47</v>
      </c>
      <c r="T465" t="s">
        <v>30</v>
      </c>
      <c r="U465" t="str">
        <f t="shared" si="21"/>
        <v>Normal</v>
      </c>
      <c r="V465" t="str">
        <f t="shared" si="22"/>
        <v>Normal</v>
      </c>
      <c r="W465" t="str">
        <f t="shared" si="23"/>
        <v>Normal</v>
      </c>
    </row>
    <row r="466" spans="1:23" x14ac:dyDescent="0.3">
      <c r="A466">
        <v>10897</v>
      </c>
      <c r="B466" s="2">
        <v>45915</v>
      </c>
      <c r="C466" t="s">
        <v>31</v>
      </c>
      <c r="D466" t="s">
        <v>21</v>
      </c>
      <c r="E466" t="s">
        <v>40</v>
      </c>
      <c r="F466" t="s">
        <v>23</v>
      </c>
      <c r="G466" t="s">
        <v>34</v>
      </c>
      <c r="H466" t="s">
        <v>93</v>
      </c>
      <c r="I466" t="s">
        <v>329</v>
      </c>
      <c r="J466">
        <v>1379</v>
      </c>
      <c r="K466">
        <v>8</v>
      </c>
      <c r="L466" t="s">
        <v>68</v>
      </c>
      <c r="M466">
        <v>112</v>
      </c>
      <c r="N466">
        <v>47.5</v>
      </c>
      <c r="O466">
        <v>75.5</v>
      </c>
      <c r="P466">
        <v>6.2</v>
      </c>
      <c r="Q466">
        <v>2.66</v>
      </c>
      <c r="R466" t="s">
        <v>92</v>
      </c>
      <c r="S466" t="s">
        <v>29</v>
      </c>
      <c r="T466" t="s">
        <v>30</v>
      </c>
      <c r="U466" t="str">
        <f t="shared" si="21"/>
        <v>Normal</v>
      </c>
      <c r="V466" t="str">
        <f t="shared" si="22"/>
        <v>Normal</v>
      </c>
      <c r="W466" t="str">
        <f t="shared" si="23"/>
        <v>Normal</v>
      </c>
    </row>
    <row r="467" spans="1:23" x14ac:dyDescent="0.3">
      <c r="A467">
        <v>10456</v>
      </c>
      <c r="B467" s="2">
        <v>45965</v>
      </c>
      <c r="C467" t="s">
        <v>31</v>
      </c>
      <c r="D467" t="s">
        <v>59</v>
      </c>
      <c r="E467" t="s">
        <v>33</v>
      </c>
      <c r="F467" t="s">
        <v>41</v>
      </c>
      <c r="G467" t="s">
        <v>24</v>
      </c>
      <c r="H467" t="s">
        <v>123</v>
      </c>
      <c r="I467" t="s">
        <v>306</v>
      </c>
      <c r="J467">
        <v>780</v>
      </c>
      <c r="K467">
        <v>30</v>
      </c>
      <c r="L467" t="s">
        <v>45</v>
      </c>
      <c r="M467">
        <v>160</v>
      </c>
      <c r="N467">
        <v>33.1</v>
      </c>
      <c r="O467">
        <v>75.5</v>
      </c>
      <c r="P467">
        <v>6.56</v>
      </c>
      <c r="Q467">
        <v>2.76</v>
      </c>
      <c r="R467" t="s">
        <v>183</v>
      </c>
      <c r="S467" t="s">
        <v>29</v>
      </c>
      <c r="T467" t="s">
        <v>48</v>
      </c>
      <c r="U467" t="str">
        <f t="shared" si="21"/>
        <v>Normal</v>
      </c>
      <c r="V467" t="str">
        <f t="shared" si="22"/>
        <v>Normal</v>
      </c>
      <c r="W467" t="str">
        <f t="shared" si="23"/>
        <v>Normal</v>
      </c>
    </row>
    <row r="468" spans="1:23" x14ac:dyDescent="0.3">
      <c r="A468">
        <v>11175</v>
      </c>
      <c r="B468" s="2">
        <v>45703</v>
      </c>
      <c r="C468" t="s">
        <v>31</v>
      </c>
      <c r="D468" t="s">
        <v>32</v>
      </c>
      <c r="E468" t="s">
        <v>22</v>
      </c>
      <c r="F468" t="s">
        <v>41</v>
      </c>
      <c r="G468" t="s">
        <v>54</v>
      </c>
      <c r="H468" t="s">
        <v>43</v>
      </c>
      <c r="I468" t="s">
        <v>326</v>
      </c>
      <c r="J468">
        <v>810</v>
      </c>
      <c r="K468">
        <v>11</v>
      </c>
      <c r="L468" t="s">
        <v>71</v>
      </c>
      <c r="M468">
        <v>84</v>
      </c>
      <c r="N468">
        <v>27.8</v>
      </c>
      <c r="O468">
        <v>75.400000000000006</v>
      </c>
      <c r="P468">
        <v>5.65</v>
      </c>
      <c r="Q468">
        <v>2.72</v>
      </c>
      <c r="R468" t="s">
        <v>159</v>
      </c>
      <c r="S468" t="s">
        <v>29</v>
      </c>
      <c r="T468" t="s">
        <v>30</v>
      </c>
      <c r="U468" t="str">
        <f t="shared" si="21"/>
        <v>Normal</v>
      </c>
      <c r="V468" t="str">
        <f t="shared" si="22"/>
        <v>Normal</v>
      </c>
      <c r="W468" t="str">
        <f t="shared" si="23"/>
        <v>Normal</v>
      </c>
    </row>
    <row r="469" spans="1:23" x14ac:dyDescent="0.3">
      <c r="A469">
        <v>11152</v>
      </c>
      <c r="B469" s="2">
        <v>45890</v>
      </c>
      <c r="C469" t="s">
        <v>49</v>
      </c>
      <c r="D469" t="s">
        <v>64</v>
      </c>
      <c r="E469" t="s">
        <v>22</v>
      </c>
      <c r="F469" t="s">
        <v>41</v>
      </c>
      <c r="G469" t="s">
        <v>54</v>
      </c>
      <c r="H469" t="s">
        <v>43</v>
      </c>
      <c r="I469" t="s">
        <v>115</v>
      </c>
      <c r="J469">
        <v>769</v>
      </c>
      <c r="K469">
        <v>19</v>
      </c>
      <c r="L469" t="s">
        <v>68</v>
      </c>
      <c r="M469">
        <v>84</v>
      </c>
      <c r="N469">
        <v>46.2</v>
      </c>
      <c r="O469">
        <v>75.400000000000006</v>
      </c>
      <c r="P469">
        <v>5.6</v>
      </c>
      <c r="Q469">
        <v>1.84</v>
      </c>
      <c r="R469" t="s">
        <v>186</v>
      </c>
      <c r="S469" t="s">
        <v>39</v>
      </c>
      <c r="T469" t="s">
        <v>30</v>
      </c>
      <c r="U469" t="str">
        <f t="shared" si="21"/>
        <v>Normal</v>
      </c>
      <c r="V469" t="str">
        <f t="shared" si="22"/>
        <v>Normal</v>
      </c>
      <c r="W469" t="str">
        <f t="shared" si="23"/>
        <v>Normal</v>
      </c>
    </row>
    <row r="470" spans="1:23" x14ac:dyDescent="0.3">
      <c r="A470">
        <v>10136</v>
      </c>
      <c r="B470" s="2">
        <v>45951</v>
      </c>
      <c r="C470" t="s">
        <v>20</v>
      </c>
      <c r="D470" t="s">
        <v>21</v>
      </c>
      <c r="E470" t="s">
        <v>33</v>
      </c>
      <c r="F470" t="s">
        <v>81</v>
      </c>
      <c r="G470" t="s">
        <v>134</v>
      </c>
      <c r="H470" t="s">
        <v>265</v>
      </c>
      <c r="I470" t="s">
        <v>301</v>
      </c>
      <c r="J470">
        <v>1363</v>
      </c>
      <c r="K470">
        <v>14</v>
      </c>
      <c r="L470" t="s">
        <v>45</v>
      </c>
      <c r="M470">
        <v>35</v>
      </c>
      <c r="N470">
        <v>36.299999999999997</v>
      </c>
      <c r="O470">
        <v>75.400000000000006</v>
      </c>
      <c r="P470">
        <v>4.82</v>
      </c>
      <c r="Q470">
        <v>2.78</v>
      </c>
      <c r="R470" t="s">
        <v>46</v>
      </c>
      <c r="S470" t="s">
        <v>39</v>
      </c>
      <c r="T470" t="s">
        <v>30</v>
      </c>
      <c r="U470" t="str">
        <f t="shared" si="21"/>
        <v>Normal</v>
      </c>
      <c r="V470" t="str">
        <f t="shared" si="22"/>
        <v>Normal</v>
      </c>
      <c r="W470" t="str">
        <f t="shared" si="23"/>
        <v>Normal</v>
      </c>
    </row>
    <row r="471" spans="1:23" x14ac:dyDescent="0.3">
      <c r="A471">
        <v>10758</v>
      </c>
      <c r="B471" s="2">
        <v>45867</v>
      </c>
      <c r="C471" t="s">
        <v>31</v>
      </c>
      <c r="D471" t="s">
        <v>32</v>
      </c>
      <c r="E471" t="s">
        <v>22</v>
      </c>
      <c r="F471" t="s">
        <v>23</v>
      </c>
      <c r="G471" t="s">
        <v>50</v>
      </c>
      <c r="H471" t="s">
        <v>55</v>
      </c>
      <c r="I471" t="s">
        <v>201</v>
      </c>
      <c r="J471">
        <v>1071</v>
      </c>
      <c r="K471">
        <v>15</v>
      </c>
      <c r="L471" t="s">
        <v>68</v>
      </c>
      <c r="M471">
        <v>102</v>
      </c>
      <c r="N471">
        <v>43.2</v>
      </c>
      <c r="O471">
        <v>75.400000000000006</v>
      </c>
      <c r="P471">
        <v>4.6399999999999997</v>
      </c>
      <c r="Q471">
        <v>3.21</v>
      </c>
      <c r="R471" t="s">
        <v>77</v>
      </c>
      <c r="S471" t="s">
        <v>39</v>
      </c>
      <c r="T471" t="s">
        <v>30</v>
      </c>
      <c r="U471" t="str">
        <f t="shared" si="21"/>
        <v>Normal</v>
      </c>
      <c r="V471" t="str">
        <f t="shared" si="22"/>
        <v>Normal</v>
      </c>
      <c r="W471" t="str">
        <f t="shared" si="23"/>
        <v>Normal</v>
      </c>
    </row>
    <row r="472" spans="1:23" x14ac:dyDescent="0.3">
      <c r="A472">
        <v>11481</v>
      </c>
      <c r="B472" s="2">
        <v>45892</v>
      </c>
      <c r="C472" t="s">
        <v>31</v>
      </c>
      <c r="D472" t="s">
        <v>59</v>
      </c>
      <c r="E472" t="s">
        <v>40</v>
      </c>
      <c r="F472" t="s">
        <v>41</v>
      </c>
      <c r="G472" t="s">
        <v>34</v>
      </c>
      <c r="H472" t="s">
        <v>215</v>
      </c>
      <c r="I472" t="s">
        <v>379</v>
      </c>
      <c r="J472">
        <v>646</v>
      </c>
      <c r="K472">
        <v>7</v>
      </c>
      <c r="L472" t="s">
        <v>45</v>
      </c>
      <c r="M472">
        <v>94</v>
      </c>
      <c r="N472">
        <v>36.700000000000003</v>
      </c>
      <c r="O472">
        <v>75.400000000000006</v>
      </c>
      <c r="P472">
        <v>5.29</v>
      </c>
      <c r="Q472">
        <v>5.42</v>
      </c>
      <c r="R472" t="s">
        <v>128</v>
      </c>
      <c r="S472" t="s">
        <v>73</v>
      </c>
      <c r="T472" t="s">
        <v>30</v>
      </c>
      <c r="U472" t="str">
        <f t="shared" si="21"/>
        <v>Normal</v>
      </c>
      <c r="V472" t="str">
        <f t="shared" si="22"/>
        <v>Normal</v>
      </c>
      <c r="W472" t="str">
        <f t="shared" si="23"/>
        <v>Normal</v>
      </c>
    </row>
    <row r="473" spans="1:23" x14ac:dyDescent="0.3">
      <c r="A473">
        <v>10119</v>
      </c>
      <c r="B473" s="2">
        <v>45771</v>
      </c>
      <c r="C473" t="s">
        <v>31</v>
      </c>
      <c r="D473" t="s">
        <v>21</v>
      </c>
      <c r="E473" t="s">
        <v>33</v>
      </c>
      <c r="F473" t="s">
        <v>23</v>
      </c>
      <c r="G473" t="s">
        <v>89</v>
      </c>
      <c r="H473" t="s">
        <v>123</v>
      </c>
      <c r="I473" t="s">
        <v>332</v>
      </c>
      <c r="J473">
        <v>917</v>
      </c>
      <c r="K473">
        <v>8</v>
      </c>
      <c r="L473" t="s">
        <v>71</v>
      </c>
      <c r="M473">
        <v>164</v>
      </c>
      <c r="N473">
        <v>35.299999999999997</v>
      </c>
      <c r="O473">
        <v>75.400000000000006</v>
      </c>
      <c r="P473">
        <v>6.85</v>
      </c>
      <c r="Q473">
        <v>1.63</v>
      </c>
      <c r="R473" t="s">
        <v>155</v>
      </c>
      <c r="S473" t="s">
        <v>47</v>
      </c>
      <c r="T473" t="s">
        <v>30</v>
      </c>
      <c r="U473" t="str">
        <f t="shared" si="21"/>
        <v>Normal</v>
      </c>
      <c r="V473" t="str">
        <f t="shared" si="22"/>
        <v>Normal</v>
      </c>
      <c r="W473" t="str">
        <f t="shared" si="23"/>
        <v>Normal</v>
      </c>
    </row>
    <row r="474" spans="1:23" x14ac:dyDescent="0.3">
      <c r="A474">
        <v>10823</v>
      </c>
      <c r="B474" s="2">
        <v>45952</v>
      </c>
      <c r="C474" t="s">
        <v>31</v>
      </c>
      <c r="D474" t="s">
        <v>59</v>
      </c>
      <c r="E474" t="s">
        <v>40</v>
      </c>
      <c r="F474" t="s">
        <v>23</v>
      </c>
      <c r="G474" t="s">
        <v>89</v>
      </c>
      <c r="H474" t="s">
        <v>351</v>
      </c>
      <c r="I474" t="s">
        <v>340</v>
      </c>
      <c r="J474">
        <v>939</v>
      </c>
      <c r="K474">
        <v>15</v>
      </c>
      <c r="L474" t="s">
        <v>45</v>
      </c>
      <c r="M474">
        <v>146</v>
      </c>
      <c r="N474">
        <v>40.700000000000003</v>
      </c>
      <c r="O474">
        <v>75.400000000000006</v>
      </c>
      <c r="P474">
        <v>5.3</v>
      </c>
      <c r="Q474">
        <v>2.4300000000000002</v>
      </c>
      <c r="R474" t="s">
        <v>137</v>
      </c>
      <c r="S474" t="s">
        <v>39</v>
      </c>
      <c r="T474" t="s">
        <v>30</v>
      </c>
      <c r="U474" t="str">
        <f t="shared" si="21"/>
        <v>Normal</v>
      </c>
      <c r="V474" t="str">
        <f t="shared" si="22"/>
        <v>Normal</v>
      </c>
      <c r="W474" t="str">
        <f t="shared" si="23"/>
        <v>Normal</v>
      </c>
    </row>
    <row r="475" spans="1:23" x14ac:dyDescent="0.3">
      <c r="A475">
        <v>10296</v>
      </c>
      <c r="B475" s="2">
        <v>45852</v>
      </c>
      <c r="C475" t="s">
        <v>49</v>
      </c>
      <c r="D475" t="s">
        <v>64</v>
      </c>
      <c r="E475" t="s">
        <v>33</v>
      </c>
      <c r="F475" t="s">
        <v>81</v>
      </c>
      <c r="G475" t="s">
        <v>42</v>
      </c>
      <c r="H475" t="s">
        <v>35</v>
      </c>
      <c r="I475" t="s">
        <v>312</v>
      </c>
      <c r="J475">
        <v>1146</v>
      </c>
      <c r="K475">
        <v>14</v>
      </c>
      <c r="L475" t="s">
        <v>68</v>
      </c>
      <c r="M475">
        <v>59</v>
      </c>
      <c r="N475">
        <v>39.799999999999997</v>
      </c>
      <c r="O475">
        <v>75.400000000000006</v>
      </c>
      <c r="P475">
        <v>4.76</v>
      </c>
      <c r="Q475">
        <v>3.82</v>
      </c>
      <c r="R475" t="s">
        <v>105</v>
      </c>
      <c r="S475" t="s">
        <v>39</v>
      </c>
      <c r="T475" t="s">
        <v>30</v>
      </c>
      <c r="U475" t="str">
        <f t="shared" si="21"/>
        <v>Normal</v>
      </c>
      <c r="V475" t="str">
        <f t="shared" si="22"/>
        <v>Normal</v>
      </c>
      <c r="W475" t="str">
        <f t="shared" si="23"/>
        <v>Normal</v>
      </c>
    </row>
    <row r="476" spans="1:23" x14ac:dyDescent="0.3">
      <c r="A476">
        <v>10483</v>
      </c>
      <c r="B476" s="2">
        <v>45982</v>
      </c>
      <c r="C476" t="s">
        <v>31</v>
      </c>
      <c r="D476" t="s">
        <v>32</v>
      </c>
      <c r="E476" t="s">
        <v>40</v>
      </c>
      <c r="F476" t="s">
        <v>81</v>
      </c>
      <c r="G476" t="s">
        <v>95</v>
      </c>
      <c r="H476" t="s">
        <v>165</v>
      </c>
      <c r="I476" t="s">
        <v>56</v>
      </c>
      <c r="J476">
        <v>705</v>
      </c>
      <c r="K476">
        <v>25</v>
      </c>
      <c r="L476" t="s">
        <v>45</v>
      </c>
      <c r="M476">
        <v>92</v>
      </c>
      <c r="N476">
        <v>43.7</v>
      </c>
      <c r="O476">
        <v>75.3</v>
      </c>
      <c r="P476">
        <v>6.57</v>
      </c>
      <c r="Q476">
        <v>5.52</v>
      </c>
      <c r="R476" t="s">
        <v>53</v>
      </c>
      <c r="S476" t="s">
        <v>73</v>
      </c>
      <c r="T476" t="s">
        <v>48</v>
      </c>
      <c r="U476" t="str">
        <f t="shared" si="21"/>
        <v>Normal</v>
      </c>
      <c r="V476" t="str">
        <f t="shared" si="22"/>
        <v>Normal</v>
      </c>
      <c r="W476" t="str">
        <f t="shared" si="23"/>
        <v>Normal</v>
      </c>
    </row>
    <row r="477" spans="1:23" x14ac:dyDescent="0.3">
      <c r="A477">
        <v>10811</v>
      </c>
      <c r="B477" s="2">
        <v>45782</v>
      </c>
      <c r="C477" t="s">
        <v>49</v>
      </c>
      <c r="D477" t="s">
        <v>32</v>
      </c>
      <c r="E477" t="s">
        <v>107</v>
      </c>
      <c r="F477" t="s">
        <v>23</v>
      </c>
      <c r="G477" t="s">
        <v>50</v>
      </c>
      <c r="H477" t="s">
        <v>148</v>
      </c>
      <c r="I477" t="s">
        <v>297</v>
      </c>
      <c r="J477">
        <v>1365</v>
      </c>
      <c r="K477">
        <v>47</v>
      </c>
      <c r="L477" t="s">
        <v>57</v>
      </c>
      <c r="M477">
        <v>105</v>
      </c>
      <c r="N477">
        <v>32.299999999999997</v>
      </c>
      <c r="O477">
        <v>75.3</v>
      </c>
      <c r="P477">
        <v>5.62</v>
      </c>
      <c r="Q477">
        <v>0.17</v>
      </c>
      <c r="R477" t="s">
        <v>183</v>
      </c>
      <c r="S477" t="s">
        <v>29</v>
      </c>
      <c r="T477" t="s">
        <v>48</v>
      </c>
      <c r="U477" t="str">
        <f t="shared" si="21"/>
        <v>Normal</v>
      </c>
      <c r="V477" t="str">
        <f t="shared" si="22"/>
        <v>Normal</v>
      </c>
      <c r="W477" t="str">
        <f t="shared" si="23"/>
        <v>Normal</v>
      </c>
    </row>
    <row r="478" spans="1:23" x14ac:dyDescent="0.3">
      <c r="A478">
        <v>11376</v>
      </c>
      <c r="B478" s="2">
        <v>45811</v>
      </c>
      <c r="C478" t="s">
        <v>49</v>
      </c>
      <c r="D478" t="s">
        <v>64</v>
      </c>
      <c r="E478" t="s">
        <v>107</v>
      </c>
      <c r="F478" t="s">
        <v>23</v>
      </c>
      <c r="G478" t="s">
        <v>54</v>
      </c>
      <c r="H478" t="s">
        <v>265</v>
      </c>
      <c r="I478" t="s">
        <v>370</v>
      </c>
      <c r="J478">
        <v>1028</v>
      </c>
      <c r="K478">
        <v>7</v>
      </c>
      <c r="L478" t="s">
        <v>37</v>
      </c>
      <c r="M478">
        <v>64</v>
      </c>
      <c r="N478">
        <v>42.9</v>
      </c>
      <c r="O478">
        <v>75.3</v>
      </c>
      <c r="P478">
        <v>6.15</v>
      </c>
      <c r="Q478">
        <v>1.95</v>
      </c>
      <c r="R478" t="s">
        <v>202</v>
      </c>
      <c r="S478" t="s">
        <v>47</v>
      </c>
      <c r="T478" t="s">
        <v>30</v>
      </c>
      <c r="U478" t="str">
        <f t="shared" si="21"/>
        <v>Normal</v>
      </c>
      <c r="V478" t="str">
        <f t="shared" si="22"/>
        <v>Normal</v>
      </c>
      <c r="W478" t="str">
        <f t="shared" si="23"/>
        <v>Normal</v>
      </c>
    </row>
    <row r="479" spans="1:23" x14ac:dyDescent="0.3">
      <c r="A479">
        <v>10024</v>
      </c>
      <c r="B479" s="2">
        <v>45682</v>
      </c>
      <c r="C479" t="s">
        <v>31</v>
      </c>
      <c r="D479" t="s">
        <v>64</v>
      </c>
      <c r="E479" t="s">
        <v>107</v>
      </c>
      <c r="F479" t="s">
        <v>81</v>
      </c>
      <c r="G479" t="s">
        <v>24</v>
      </c>
      <c r="H479" t="s">
        <v>75</v>
      </c>
      <c r="I479" t="s">
        <v>237</v>
      </c>
      <c r="J479">
        <v>1184</v>
      </c>
      <c r="K479">
        <v>17</v>
      </c>
      <c r="L479" t="s">
        <v>71</v>
      </c>
      <c r="M479">
        <v>46</v>
      </c>
      <c r="N479">
        <v>54.7</v>
      </c>
      <c r="O479">
        <v>75.2</v>
      </c>
      <c r="P479">
        <v>5.27</v>
      </c>
      <c r="Q479">
        <v>2.89</v>
      </c>
      <c r="R479" t="s">
        <v>84</v>
      </c>
      <c r="S479" t="s">
        <v>39</v>
      </c>
      <c r="T479" t="s">
        <v>30</v>
      </c>
      <c r="U479" t="str">
        <f t="shared" si="21"/>
        <v>Normal</v>
      </c>
      <c r="V479" t="str">
        <f t="shared" si="22"/>
        <v>Normal</v>
      </c>
      <c r="W479" t="str">
        <f t="shared" si="23"/>
        <v>Normal</v>
      </c>
    </row>
    <row r="480" spans="1:23" x14ac:dyDescent="0.3">
      <c r="A480">
        <v>10087</v>
      </c>
      <c r="B480" s="2">
        <v>45829</v>
      </c>
      <c r="C480" t="s">
        <v>20</v>
      </c>
      <c r="D480" t="s">
        <v>59</v>
      </c>
      <c r="E480" t="s">
        <v>40</v>
      </c>
      <c r="F480" t="s">
        <v>81</v>
      </c>
      <c r="G480" t="s">
        <v>50</v>
      </c>
      <c r="H480" t="s">
        <v>96</v>
      </c>
      <c r="I480" t="s">
        <v>110</v>
      </c>
      <c r="J480">
        <v>894</v>
      </c>
      <c r="K480">
        <v>35</v>
      </c>
      <c r="L480" t="s">
        <v>45</v>
      </c>
      <c r="M480">
        <v>25</v>
      </c>
      <c r="N480">
        <v>40</v>
      </c>
      <c r="O480">
        <v>75.2</v>
      </c>
      <c r="P480">
        <v>5.6</v>
      </c>
      <c r="Q480">
        <v>1.37</v>
      </c>
      <c r="R480" t="s">
        <v>80</v>
      </c>
      <c r="S480" t="s">
        <v>47</v>
      </c>
      <c r="T480" t="s">
        <v>48</v>
      </c>
      <c r="U480" t="str">
        <f t="shared" si="21"/>
        <v>Normal</v>
      </c>
      <c r="V480" t="str">
        <f t="shared" si="22"/>
        <v>Normal</v>
      </c>
      <c r="W480" t="str">
        <f t="shared" si="23"/>
        <v>Normal</v>
      </c>
    </row>
    <row r="481" spans="1:23" x14ac:dyDescent="0.3">
      <c r="A481">
        <v>11158</v>
      </c>
      <c r="B481" s="2">
        <v>45723</v>
      </c>
      <c r="C481" t="s">
        <v>20</v>
      </c>
      <c r="D481" t="s">
        <v>21</v>
      </c>
      <c r="E481" t="s">
        <v>22</v>
      </c>
      <c r="F481" t="s">
        <v>41</v>
      </c>
      <c r="G481" t="s">
        <v>34</v>
      </c>
      <c r="H481" t="s">
        <v>193</v>
      </c>
      <c r="I481" t="s">
        <v>218</v>
      </c>
      <c r="J481">
        <v>577</v>
      </c>
      <c r="K481">
        <v>20</v>
      </c>
      <c r="L481" t="s">
        <v>71</v>
      </c>
      <c r="M481">
        <v>162</v>
      </c>
      <c r="N481">
        <v>50.4</v>
      </c>
      <c r="O481">
        <v>75.2</v>
      </c>
      <c r="P481">
        <v>4.99</v>
      </c>
      <c r="Q481">
        <v>2.27</v>
      </c>
      <c r="R481" t="s">
        <v>77</v>
      </c>
      <c r="S481" t="s">
        <v>29</v>
      </c>
      <c r="T481" t="s">
        <v>48</v>
      </c>
      <c r="U481" t="str">
        <f t="shared" si="21"/>
        <v>Normal</v>
      </c>
      <c r="V481" t="str">
        <f t="shared" si="22"/>
        <v>Normal</v>
      </c>
      <c r="W481" t="str">
        <f t="shared" si="23"/>
        <v>Normal</v>
      </c>
    </row>
    <row r="482" spans="1:23" x14ac:dyDescent="0.3">
      <c r="A482">
        <v>10408</v>
      </c>
      <c r="B482" s="2">
        <v>45927</v>
      </c>
      <c r="C482" t="s">
        <v>49</v>
      </c>
      <c r="D482" t="s">
        <v>64</v>
      </c>
      <c r="E482" t="s">
        <v>40</v>
      </c>
      <c r="F482" t="s">
        <v>81</v>
      </c>
      <c r="G482" t="s">
        <v>50</v>
      </c>
      <c r="H482" t="s">
        <v>120</v>
      </c>
      <c r="I482" t="s">
        <v>145</v>
      </c>
      <c r="J482">
        <v>573</v>
      </c>
      <c r="K482">
        <v>3</v>
      </c>
      <c r="L482" t="s">
        <v>57</v>
      </c>
      <c r="M482">
        <v>28</v>
      </c>
      <c r="N482">
        <v>48</v>
      </c>
      <c r="O482">
        <v>75.2</v>
      </c>
      <c r="P482">
        <v>5.52</v>
      </c>
      <c r="Q482">
        <v>2.33</v>
      </c>
      <c r="R482" t="s">
        <v>167</v>
      </c>
      <c r="S482" t="s">
        <v>73</v>
      </c>
      <c r="T482" t="s">
        <v>30</v>
      </c>
      <c r="U482" t="str">
        <f t="shared" si="21"/>
        <v>Normal</v>
      </c>
      <c r="V482" t="str">
        <f t="shared" si="22"/>
        <v>Normal</v>
      </c>
      <c r="W482" t="str">
        <f t="shared" si="23"/>
        <v>Normal</v>
      </c>
    </row>
    <row r="483" spans="1:23" x14ac:dyDescent="0.3">
      <c r="A483">
        <v>10822</v>
      </c>
      <c r="B483" s="2">
        <v>45875</v>
      </c>
      <c r="C483" t="s">
        <v>20</v>
      </c>
      <c r="D483" t="s">
        <v>64</v>
      </c>
      <c r="E483" t="s">
        <v>40</v>
      </c>
      <c r="F483" t="s">
        <v>23</v>
      </c>
      <c r="G483" t="s">
        <v>50</v>
      </c>
      <c r="H483" t="s">
        <v>213</v>
      </c>
      <c r="I483" t="s">
        <v>160</v>
      </c>
      <c r="J483">
        <v>1454</v>
      </c>
      <c r="K483">
        <v>19</v>
      </c>
      <c r="L483" t="s">
        <v>68</v>
      </c>
      <c r="M483">
        <v>127</v>
      </c>
      <c r="N483">
        <v>39.700000000000003</v>
      </c>
      <c r="O483">
        <v>75.2</v>
      </c>
      <c r="P483">
        <v>4.9800000000000004</v>
      </c>
      <c r="Q483">
        <v>3.19</v>
      </c>
      <c r="R483" t="s">
        <v>38</v>
      </c>
      <c r="S483" t="s">
        <v>39</v>
      </c>
      <c r="T483" t="s">
        <v>30</v>
      </c>
      <c r="U483" t="str">
        <f t="shared" si="21"/>
        <v>Normal</v>
      </c>
      <c r="V483" t="str">
        <f t="shared" si="22"/>
        <v>Normal</v>
      </c>
      <c r="W483" t="str">
        <f t="shared" si="23"/>
        <v>Normal</v>
      </c>
    </row>
    <row r="484" spans="1:23" x14ac:dyDescent="0.3">
      <c r="A484">
        <v>10462</v>
      </c>
      <c r="B484" s="2">
        <v>45909</v>
      </c>
      <c r="C484" t="s">
        <v>20</v>
      </c>
      <c r="D484" t="s">
        <v>21</v>
      </c>
      <c r="E484" t="s">
        <v>107</v>
      </c>
      <c r="F484" t="s">
        <v>23</v>
      </c>
      <c r="G484" t="s">
        <v>95</v>
      </c>
      <c r="H484" t="s">
        <v>66</v>
      </c>
      <c r="I484" t="s">
        <v>129</v>
      </c>
      <c r="J484">
        <v>768</v>
      </c>
      <c r="K484">
        <v>68</v>
      </c>
      <c r="L484" t="s">
        <v>27</v>
      </c>
      <c r="M484">
        <v>153</v>
      </c>
      <c r="N484">
        <v>46.3</v>
      </c>
      <c r="O484">
        <v>75.099999999999994</v>
      </c>
      <c r="P484">
        <v>4.97</v>
      </c>
      <c r="Q484">
        <v>3.63</v>
      </c>
      <c r="R484" t="s">
        <v>130</v>
      </c>
      <c r="S484" t="s">
        <v>73</v>
      </c>
      <c r="T484" t="s">
        <v>48</v>
      </c>
      <c r="U484" t="str">
        <f t="shared" si="21"/>
        <v>Normal</v>
      </c>
      <c r="V484" t="str">
        <f t="shared" si="22"/>
        <v>Normal</v>
      </c>
      <c r="W484" t="str">
        <f t="shared" si="23"/>
        <v>Normal</v>
      </c>
    </row>
    <row r="485" spans="1:23" x14ac:dyDescent="0.3">
      <c r="A485">
        <v>11375</v>
      </c>
      <c r="B485" s="2">
        <v>45919</v>
      </c>
      <c r="C485" t="s">
        <v>31</v>
      </c>
      <c r="D485" t="s">
        <v>64</v>
      </c>
      <c r="E485" t="s">
        <v>40</v>
      </c>
      <c r="F485" t="s">
        <v>23</v>
      </c>
      <c r="G485" t="s">
        <v>60</v>
      </c>
      <c r="H485" t="s">
        <v>96</v>
      </c>
      <c r="I485" t="s">
        <v>224</v>
      </c>
      <c r="J485">
        <v>1338</v>
      </c>
      <c r="K485">
        <v>84</v>
      </c>
      <c r="L485" t="s">
        <v>37</v>
      </c>
      <c r="M485">
        <v>68</v>
      </c>
      <c r="N485">
        <v>42.6</v>
      </c>
      <c r="O485">
        <v>75.099999999999994</v>
      </c>
      <c r="P485">
        <v>4.9400000000000004</v>
      </c>
      <c r="Q485">
        <v>2.4</v>
      </c>
      <c r="R485" t="s">
        <v>202</v>
      </c>
      <c r="S485" t="s">
        <v>29</v>
      </c>
      <c r="T485" t="s">
        <v>48</v>
      </c>
      <c r="U485" t="str">
        <f t="shared" si="21"/>
        <v>Normal</v>
      </c>
      <c r="V485" t="str">
        <f t="shared" si="22"/>
        <v>Normal</v>
      </c>
      <c r="W485" t="str">
        <f t="shared" si="23"/>
        <v>Normal</v>
      </c>
    </row>
    <row r="486" spans="1:23" x14ac:dyDescent="0.3">
      <c r="A486">
        <v>10282</v>
      </c>
      <c r="B486" s="2">
        <v>45935</v>
      </c>
      <c r="C486" t="s">
        <v>49</v>
      </c>
      <c r="D486" t="s">
        <v>21</v>
      </c>
      <c r="E486" t="s">
        <v>107</v>
      </c>
      <c r="F486" t="s">
        <v>81</v>
      </c>
      <c r="G486" t="s">
        <v>109</v>
      </c>
      <c r="H486" t="s">
        <v>205</v>
      </c>
      <c r="I486" t="s">
        <v>52</v>
      </c>
      <c r="J486">
        <v>527</v>
      </c>
      <c r="K486">
        <v>5</v>
      </c>
      <c r="L486" t="s">
        <v>68</v>
      </c>
      <c r="M486">
        <v>52</v>
      </c>
      <c r="N486">
        <v>32.5</v>
      </c>
      <c r="O486">
        <v>75.099999999999994</v>
      </c>
      <c r="P486">
        <v>6.3</v>
      </c>
      <c r="Q486">
        <v>1.59</v>
      </c>
      <c r="R486" t="s">
        <v>122</v>
      </c>
      <c r="S486" t="s">
        <v>424</v>
      </c>
      <c r="T486" t="s">
        <v>30</v>
      </c>
      <c r="U486" t="str">
        <f t="shared" si="21"/>
        <v>Normal</v>
      </c>
      <c r="V486" t="str">
        <f t="shared" si="22"/>
        <v>Normal</v>
      </c>
      <c r="W486" t="str">
        <f t="shared" si="23"/>
        <v>Normal</v>
      </c>
    </row>
    <row r="487" spans="1:23" x14ac:dyDescent="0.3">
      <c r="A487">
        <v>11441</v>
      </c>
      <c r="B487" s="2">
        <v>45691</v>
      </c>
      <c r="C487" t="s">
        <v>31</v>
      </c>
      <c r="D487" t="s">
        <v>21</v>
      </c>
      <c r="E487" t="s">
        <v>33</v>
      </c>
      <c r="F487" t="s">
        <v>81</v>
      </c>
      <c r="G487" t="s">
        <v>74</v>
      </c>
      <c r="H487" t="s">
        <v>223</v>
      </c>
      <c r="I487" t="s">
        <v>285</v>
      </c>
      <c r="J487">
        <v>583</v>
      </c>
      <c r="K487">
        <v>6</v>
      </c>
      <c r="L487" t="s">
        <v>71</v>
      </c>
      <c r="M487">
        <v>69</v>
      </c>
      <c r="N487">
        <v>19.100000000000001</v>
      </c>
      <c r="O487">
        <v>75.099999999999994</v>
      </c>
      <c r="P487">
        <v>5.61</v>
      </c>
      <c r="Q487">
        <v>3.3</v>
      </c>
      <c r="R487" t="s">
        <v>159</v>
      </c>
      <c r="S487" t="s">
        <v>29</v>
      </c>
      <c r="T487" t="s">
        <v>30</v>
      </c>
      <c r="U487" t="str">
        <f t="shared" si="21"/>
        <v>Normal</v>
      </c>
      <c r="V487" t="str">
        <f t="shared" si="22"/>
        <v>Normal</v>
      </c>
      <c r="W487" t="str">
        <f t="shared" si="23"/>
        <v>Normal</v>
      </c>
    </row>
    <row r="488" spans="1:23" x14ac:dyDescent="0.3">
      <c r="A488">
        <v>10659</v>
      </c>
      <c r="B488" s="2">
        <v>46021</v>
      </c>
      <c r="C488" t="s">
        <v>20</v>
      </c>
      <c r="D488" t="s">
        <v>21</v>
      </c>
      <c r="E488" t="s">
        <v>107</v>
      </c>
      <c r="F488" t="s">
        <v>41</v>
      </c>
      <c r="G488" t="s">
        <v>89</v>
      </c>
      <c r="H488" t="s">
        <v>116</v>
      </c>
      <c r="I488" t="s">
        <v>224</v>
      </c>
      <c r="J488">
        <v>982</v>
      </c>
      <c r="K488">
        <v>2</v>
      </c>
      <c r="L488" t="s">
        <v>68</v>
      </c>
      <c r="M488">
        <v>84</v>
      </c>
      <c r="N488">
        <v>45</v>
      </c>
      <c r="O488">
        <v>75.099999999999994</v>
      </c>
      <c r="P488">
        <v>5.22</v>
      </c>
      <c r="Q488">
        <v>3.78</v>
      </c>
      <c r="R488" t="s">
        <v>87</v>
      </c>
      <c r="S488" t="s">
        <v>39</v>
      </c>
      <c r="T488" t="s">
        <v>30</v>
      </c>
      <c r="U488" t="str">
        <f t="shared" si="21"/>
        <v>Normal</v>
      </c>
      <c r="V488" t="str">
        <f t="shared" si="22"/>
        <v>Normal</v>
      </c>
      <c r="W488" t="str">
        <f t="shared" si="23"/>
        <v>Normal</v>
      </c>
    </row>
    <row r="489" spans="1:23" x14ac:dyDescent="0.3">
      <c r="A489">
        <v>11470</v>
      </c>
      <c r="B489" s="2">
        <v>45807</v>
      </c>
      <c r="C489" t="s">
        <v>20</v>
      </c>
      <c r="D489" t="s">
        <v>32</v>
      </c>
      <c r="E489" t="s">
        <v>40</v>
      </c>
      <c r="F489" t="s">
        <v>23</v>
      </c>
      <c r="G489" t="s">
        <v>113</v>
      </c>
      <c r="H489" t="s">
        <v>35</v>
      </c>
      <c r="I489" t="s">
        <v>379</v>
      </c>
      <c r="J489">
        <v>596</v>
      </c>
      <c r="K489">
        <v>12</v>
      </c>
      <c r="L489" t="s">
        <v>71</v>
      </c>
      <c r="M489">
        <v>97</v>
      </c>
      <c r="N489">
        <v>46.9</v>
      </c>
      <c r="O489">
        <v>75.099999999999994</v>
      </c>
      <c r="P489">
        <v>5.88</v>
      </c>
      <c r="Q489">
        <v>3.93</v>
      </c>
      <c r="R489" t="s">
        <v>280</v>
      </c>
      <c r="S489" t="s">
        <v>73</v>
      </c>
      <c r="T489" t="s">
        <v>30</v>
      </c>
      <c r="U489" t="str">
        <f t="shared" si="21"/>
        <v>Normal</v>
      </c>
      <c r="V489" t="str">
        <f t="shared" si="22"/>
        <v>Normal</v>
      </c>
      <c r="W489" t="str">
        <f t="shared" si="23"/>
        <v>Normal</v>
      </c>
    </row>
    <row r="490" spans="1:23" x14ac:dyDescent="0.3">
      <c r="A490">
        <v>10587</v>
      </c>
      <c r="B490" s="2">
        <v>45916</v>
      </c>
      <c r="C490" t="s">
        <v>31</v>
      </c>
      <c r="D490" t="s">
        <v>21</v>
      </c>
      <c r="E490" t="s">
        <v>40</v>
      </c>
      <c r="F490" t="s">
        <v>23</v>
      </c>
      <c r="G490" t="s">
        <v>50</v>
      </c>
      <c r="H490" t="s">
        <v>114</v>
      </c>
      <c r="I490" t="s">
        <v>317</v>
      </c>
      <c r="J490">
        <v>1386</v>
      </c>
      <c r="K490">
        <v>6</v>
      </c>
      <c r="L490" t="s">
        <v>57</v>
      </c>
      <c r="M490">
        <v>54</v>
      </c>
      <c r="N490">
        <v>49.5</v>
      </c>
      <c r="O490">
        <v>75.099999999999994</v>
      </c>
      <c r="P490">
        <v>4.37</v>
      </c>
      <c r="Q490">
        <v>3.51</v>
      </c>
      <c r="R490" t="s">
        <v>103</v>
      </c>
      <c r="S490" t="s">
        <v>73</v>
      </c>
      <c r="T490" t="s">
        <v>30</v>
      </c>
      <c r="U490" t="str">
        <f t="shared" si="21"/>
        <v>Normal</v>
      </c>
      <c r="V490" t="str">
        <f t="shared" si="22"/>
        <v>Normal</v>
      </c>
      <c r="W490" t="str">
        <f t="shared" si="23"/>
        <v>Normal</v>
      </c>
    </row>
    <row r="491" spans="1:23" x14ac:dyDescent="0.3">
      <c r="A491">
        <v>10813</v>
      </c>
      <c r="B491" s="2">
        <v>45841</v>
      </c>
      <c r="C491" t="s">
        <v>20</v>
      </c>
      <c r="D491" t="s">
        <v>32</v>
      </c>
      <c r="E491" t="s">
        <v>22</v>
      </c>
      <c r="F491" t="s">
        <v>41</v>
      </c>
      <c r="G491" t="s">
        <v>24</v>
      </c>
      <c r="H491" t="s">
        <v>123</v>
      </c>
      <c r="I491" t="s">
        <v>228</v>
      </c>
      <c r="J491">
        <v>1308</v>
      </c>
      <c r="K491">
        <v>15</v>
      </c>
      <c r="L491" t="s">
        <v>37</v>
      </c>
      <c r="M491">
        <v>66</v>
      </c>
      <c r="N491">
        <v>39.6</v>
      </c>
      <c r="O491">
        <v>75</v>
      </c>
      <c r="P491">
        <v>5.07</v>
      </c>
      <c r="Q491">
        <v>2.14</v>
      </c>
      <c r="R491" t="s">
        <v>63</v>
      </c>
      <c r="S491" t="s">
        <v>29</v>
      </c>
      <c r="T491" t="s">
        <v>30</v>
      </c>
      <c r="U491" t="str">
        <f t="shared" si="21"/>
        <v>Normal</v>
      </c>
      <c r="V491" t="str">
        <f t="shared" si="22"/>
        <v>Normal</v>
      </c>
      <c r="W491" t="str">
        <f t="shared" si="23"/>
        <v>Normal</v>
      </c>
    </row>
    <row r="492" spans="1:23" x14ac:dyDescent="0.3">
      <c r="A492">
        <v>10349</v>
      </c>
      <c r="B492" s="2">
        <v>46001</v>
      </c>
      <c r="C492" t="s">
        <v>49</v>
      </c>
      <c r="D492" t="s">
        <v>32</v>
      </c>
      <c r="E492" t="s">
        <v>33</v>
      </c>
      <c r="F492" t="s">
        <v>23</v>
      </c>
      <c r="G492" t="s">
        <v>134</v>
      </c>
      <c r="H492" t="s">
        <v>180</v>
      </c>
      <c r="I492" t="s">
        <v>239</v>
      </c>
      <c r="J492">
        <v>671</v>
      </c>
      <c r="K492">
        <v>10</v>
      </c>
      <c r="L492" t="s">
        <v>71</v>
      </c>
      <c r="M492">
        <v>38</v>
      </c>
      <c r="N492">
        <v>35.299999999999997</v>
      </c>
      <c r="O492">
        <v>75</v>
      </c>
      <c r="P492">
        <v>5.3</v>
      </c>
      <c r="Q492">
        <v>3.35</v>
      </c>
      <c r="R492" t="s">
        <v>267</v>
      </c>
      <c r="S492" t="s">
        <v>39</v>
      </c>
      <c r="T492" t="s">
        <v>30</v>
      </c>
      <c r="U492" t="str">
        <f t="shared" si="21"/>
        <v>Normal</v>
      </c>
      <c r="V492" t="str">
        <f t="shared" si="22"/>
        <v>Normal</v>
      </c>
      <c r="W492" t="str">
        <f t="shared" si="23"/>
        <v>Normal</v>
      </c>
    </row>
    <row r="493" spans="1:23" x14ac:dyDescent="0.3">
      <c r="A493">
        <v>10696</v>
      </c>
      <c r="B493" s="2">
        <v>45693</v>
      </c>
      <c r="C493" t="s">
        <v>49</v>
      </c>
      <c r="D493" t="s">
        <v>32</v>
      </c>
      <c r="E493" t="s">
        <v>107</v>
      </c>
      <c r="F493" t="s">
        <v>23</v>
      </c>
      <c r="G493" t="s">
        <v>95</v>
      </c>
      <c r="H493" t="s">
        <v>192</v>
      </c>
      <c r="I493" t="s">
        <v>323</v>
      </c>
      <c r="J493">
        <v>1003</v>
      </c>
      <c r="K493">
        <v>5</v>
      </c>
      <c r="L493" t="s">
        <v>68</v>
      </c>
      <c r="M493">
        <v>38</v>
      </c>
      <c r="N493">
        <v>52</v>
      </c>
      <c r="O493">
        <v>75</v>
      </c>
      <c r="P493">
        <v>5.34</v>
      </c>
      <c r="Q493">
        <v>2.75</v>
      </c>
      <c r="R493" t="s">
        <v>87</v>
      </c>
      <c r="S493" t="s">
        <v>73</v>
      </c>
      <c r="T493" t="s">
        <v>30</v>
      </c>
      <c r="U493" t="str">
        <f t="shared" si="21"/>
        <v>Normal</v>
      </c>
      <c r="V493" t="str">
        <f t="shared" si="22"/>
        <v>Normal</v>
      </c>
      <c r="W493" t="str">
        <f t="shared" si="23"/>
        <v>Normal</v>
      </c>
    </row>
    <row r="494" spans="1:23" x14ac:dyDescent="0.3">
      <c r="A494">
        <v>11451</v>
      </c>
      <c r="B494" s="2">
        <v>45875</v>
      </c>
      <c r="C494" t="s">
        <v>31</v>
      </c>
      <c r="D494" t="s">
        <v>59</v>
      </c>
      <c r="E494" t="s">
        <v>107</v>
      </c>
      <c r="F494" t="s">
        <v>81</v>
      </c>
      <c r="G494" t="s">
        <v>109</v>
      </c>
      <c r="H494" t="s">
        <v>120</v>
      </c>
      <c r="I494" t="s">
        <v>239</v>
      </c>
      <c r="J494">
        <v>850</v>
      </c>
      <c r="K494">
        <v>13</v>
      </c>
      <c r="L494" t="s">
        <v>45</v>
      </c>
      <c r="M494">
        <v>50</v>
      </c>
      <c r="N494">
        <v>46.2</v>
      </c>
      <c r="O494">
        <v>74.900000000000006</v>
      </c>
      <c r="P494">
        <v>4.78</v>
      </c>
      <c r="Q494">
        <v>3.57</v>
      </c>
      <c r="R494" t="s">
        <v>209</v>
      </c>
      <c r="S494" t="s">
        <v>73</v>
      </c>
      <c r="T494" t="s">
        <v>30</v>
      </c>
      <c r="U494" t="str">
        <f t="shared" si="21"/>
        <v>Normal</v>
      </c>
      <c r="V494" t="str">
        <f t="shared" si="22"/>
        <v>Normal</v>
      </c>
      <c r="W494" t="str">
        <f t="shared" si="23"/>
        <v>Normal</v>
      </c>
    </row>
    <row r="495" spans="1:23" x14ac:dyDescent="0.3">
      <c r="A495">
        <v>11006</v>
      </c>
      <c r="B495" s="2">
        <v>46007</v>
      </c>
      <c r="C495" t="s">
        <v>31</v>
      </c>
      <c r="D495" t="s">
        <v>59</v>
      </c>
      <c r="E495" t="s">
        <v>33</v>
      </c>
      <c r="F495" t="s">
        <v>23</v>
      </c>
      <c r="G495" t="s">
        <v>74</v>
      </c>
      <c r="H495" t="s">
        <v>200</v>
      </c>
      <c r="I495" t="s">
        <v>310</v>
      </c>
      <c r="J495">
        <v>611</v>
      </c>
      <c r="K495">
        <v>6</v>
      </c>
      <c r="L495" t="s">
        <v>27</v>
      </c>
      <c r="M495">
        <v>25</v>
      </c>
      <c r="N495">
        <v>40.799999999999997</v>
      </c>
      <c r="O495">
        <v>74.900000000000006</v>
      </c>
      <c r="P495">
        <v>5.96</v>
      </c>
      <c r="Q495">
        <v>1.59</v>
      </c>
      <c r="R495" t="s">
        <v>183</v>
      </c>
      <c r="S495" t="s">
        <v>47</v>
      </c>
      <c r="T495" t="s">
        <v>30</v>
      </c>
      <c r="U495" t="str">
        <f t="shared" si="21"/>
        <v>Normal</v>
      </c>
      <c r="V495" t="str">
        <f t="shared" si="22"/>
        <v>Normal</v>
      </c>
      <c r="W495" t="str">
        <f t="shared" si="23"/>
        <v>Normal</v>
      </c>
    </row>
    <row r="496" spans="1:23" x14ac:dyDescent="0.3">
      <c r="A496">
        <v>11304</v>
      </c>
      <c r="B496" s="2">
        <v>45677</v>
      </c>
      <c r="C496" t="s">
        <v>31</v>
      </c>
      <c r="D496" t="s">
        <v>32</v>
      </c>
      <c r="E496" t="s">
        <v>22</v>
      </c>
      <c r="F496" t="s">
        <v>41</v>
      </c>
      <c r="G496" t="s">
        <v>109</v>
      </c>
      <c r="H496" t="s">
        <v>180</v>
      </c>
      <c r="I496" t="s">
        <v>157</v>
      </c>
      <c r="J496">
        <v>1015</v>
      </c>
      <c r="K496">
        <v>2</v>
      </c>
      <c r="L496" t="s">
        <v>37</v>
      </c>
      <c r="M496">
        <v>30</v>
      </c>
      <c r="N496">
        <v>33.200000000000003</v>
      </c>
      <c r="O496">
        <v>74.900000000000006</v>
      </c>
      <c r="P496">
        <v>3.34</v>
      </c>
      <c r="Q496">
        <v>2.77</v>
      </c>
      <c r="R496" t="s">
        <v>122</v>
      </c>
      <c r="S496" t="s">
        <v>47</v>
      </c>
      <c r="T496" t="s">
        <v>30</v>
      </c>
      <c r="U496" t="str">
        <f t="shared" si="21"/>
        <v>Normal</v>
      </c>
      <c r="V496" t="str">
        <f t="shared" si="22"/>
        <v>Normal</v>
      </c>
      <c r="W496" t="str">
        <f t="shared" si="23"/>
        <v>Normal</v>
      </c>
    </row>
    <row r="497" spans="1:23" x14ac:dyDescent="0.3">
      <c r="A497">
        <v>10572</v>
      </c>
      <c r="B497" s="2">
        <v>45670</v>
      </c>
      <c r="C497" t="s">
        <v>49</v>
      </c>
      <c r="D497" t="s">
        <v>64</v>
      </c>
      <c r="E497" t="s">
        <v>107</v>
      </c>
      <c r="F497" t="s">
        <v>41</v>
      </c>
      <c r="G497" t="s">
        <v>42</v>
      </c>
      <c r="H497" t="s">
        <v>123</v>
      </c>
      <c r="I497" t="s">
        <v>220</v>
      </c>
      <c r="J497">
        <v>488</v>
      </c>
      <c r="K497">
        <v>4</v>
      </c>
      <c r="L497" t="s">
        <v>45</v>
      </c>
      <c r="M497">
        <v>89</v>
      </c>
      <c r="N497">
        <v>43.2</v>
      </c>
      <c r="O497">
        <v>74.8</v>
      </c>
      <c r="P497">
        <v>4.63</v>
      </c>
      <c r="Q497">
        <v>3.5</v>
      </c>
      <c r="R497" t="s">
        <v>186</v>
      </c>
      <c r="S497" t="s">
        <v>29</v>
      </c>
      <c r="T497" t="s">
        <v>30</v>
      </c>
      <c r="U497" t="str">
        <f t="shared" si="21"/>
        <v>Normal</v>
      </c>
      <c r="V497" t="str">
        <f t="shared" si="22"/>
        <v>Normal</v>
      </c>
      <c r="W497" t="str">
        <f t="shared" si="23"/>
        <v>Normal</v>
      </c>
    </row>
    <row r="498" spans="1:23" x14ac:dyDescent="0.3">
      <c r="A498">
        <v>10080</v>
      </c>
      <c r="B498" s="2">
        <v>45855</v>
      </c>
      <c r="C498" t="s">
        <v>20</v>
      </c>
      <c r="D498" t="s">
        <v>64</v>
      </c>
      <c r="E498" t="s">
        <v>40</v>
      </c>
      <c r="F498" t="s">
        <v>23</v>
      </c>
      <c r="G498" t="s">
        <v>89</v>
      </c>
      <c r="H498" t="s">
        <v>82</v>
      </c>
      <c r="I498" t="s">
        <v>129</v>
      </c>
      <c r="J498">
        <v>783</v>
      </c>
      <c r="K498">
        <v>2</v>
      </c>
      <c r="L498" t="s">
        <v>71</v>
      </c>
      <c r="M498">
        <v>24</v>
      </c>
      <c r="N498">
        <v>48.4</v>
      </c>
      <c r="O498">
        <v>74.8</v>
      </c>
      <c r="P498">
        <v>6</v>
      </c>
      <c r="Q498">
        <v>0.39</v>
      </c>
      <c r="R498" t="s">
        <v>183</v>
      </c>
      <c r="S498" t="s">
        <v>39</v>
      </c>
      <c r="T498" t="s">
        <v>30</v>
      </c>
      <c r="U498" t="str">
        <f t="shared" si="21"/>
        <v>Normal</v>
      </c>
      <c r="V498" t="str">
        <f t="shared" si="22"/>
        <v>Normal</v>
      </c>
      <c r="W498" t="str">
        <f t="shared" si="23"/>
        <v>Normal</v>
      </c>
    </row>
    <row r="499" spans="1:23" x14ac:dyDescent="0.3">
      <c r="A499">
        <v>10992</v>
      </c>
      <c r="B499" s="2">
        <v>45995</v>
      </c>
      <c r="C499" t="s">
        <v>49</v>
      </c>
      <c r="D499" t="s">
        <v>32</v>
      </c>
      <c r="E499" t="s">
        <v>40</v>
      </c>
      <c r="F499" t="s">
        <v>41</v>
      </c>
      <c r="G499" t="s">
        <v>50</v>
      </c>
      <c r="H499" t="s">
        <v>200</v>
      </c>
      <c r="I499" t="s">
        <v>301</v>
      </c>
      <c r="J499">
        <v>1122</v>
      </c>
      <c r="K499">
        <v>11</v>
      </c>
      <c r="L499" t="s">
        <v>57</v>
      </c>
      <c r="M499">
        <v>86</v>
      </c>
      <c r="N499">
        <v>35.9</v>
      </c>
      <c r="O499">
        <v>74.8</v>
      </c>
      <c r="P499">
        <v>7.83</v>
      </c>
      <c r="Q499">
        <v>3.56</v>
      </c>
      <c r="R499" t="s">
        <v>143</v>
      </c>
      <c r="S499" t="s">
        <v>73</v>
      </c>
      <c r="T499" t="s">
        <v>30</v>
      </c>
      <c r="U499" t="str">
        <f t="shared" si="21"/>
        <v>Normal</v>
      </c>
      <c r="V499" t="str">
        <f t="shared" si="22"/>
        <v>Normal</v>
      </c>
      <c r="W499" t="str">
        <f t="shared" si="23"/>
        <v>Normal</v>
      </c>
    </row>
    <row r="500" spans="1:23" x14ac:dyDescent="0.3">
      <c r="A500">
        <v>11163</v>
      </c>
      <c r="B500" s="2">
        <v>45988</v>
      </c>
      <c r="C500" t="s">
        <v>49</v>
      </c>
      <c r="D500" t="s">
        <v>64</v>
      </c>
      <c r="E500" t="s">
        <v>107</v>
      </c>
      <c r="F500" t="s">
        <v>41</v>
      </c>
      <c r="G500" t="s">
        <v>50</v>
      </c>
      <c r="H500" t="s">
        <v>66</v>
      </c>
      <c r="I500" t="s">
        <v>294</v>
      </c>
      <c r="J500">
        <v>879</v>
      </c>
      <c r="K500">
        <v>5</v>
      </c>
      <c r="L500" t="s">
        <v>45</v>
      </c>
      <c r="M500">
        <v>167</v>
      </c>
      <c r="N500">
        <v>30.6</v>
      </c>
      <c r="O500">
        <v>74.8</v>
      </c>
      <c r="P500">
        <v>5.76</v>
      </c>
      <c r="Q500">
        <v>0.23</v>
      </c>
      <c r="R500" t="s">
        <v>167</v>
      </c>
      <c r="S500" t="s">
        <v>47</v>
      </c>
      <c r="T500" t="s">
        <v>30</v>
      </c>
      <c r="U500" t="str">
        <f t="shared" si="21"/>
        <v>Normal</v>
      </c>
      <c r="V500" t="str">
        <f t="shared" si="22"/>
        <v>Normal</v>
      </c>
      <c r="W500" t="str">
        <f t="shared" si="23"/>
        <v>Normal</v>
      </c>
    </row>
    <row r="501" spans="1:23" x14ac:dyDescent="0.3">
      <c r="A501">
        <v>11368</v>
      </c>
      <c r="B501" s="2">
        <v>45855</v>
      </c>
      <c r="C501" t="s">
        <v>31</v>
      </c>
      <c r="D501" t="s">
        <v>59</v>
      </c>
      <c r="E501" t="s">
        <v>22</v>
      </c>
      <c r="F501" t="s">
        <v>41</v>
      </c>
      <c r="G501" t="s">
        <v>50</v>
      </c>
      <c r="H501" t="s">
        <v>190</v>
      </c>
      <c r="I501" t="s">
        <v>289</v>
      </c>
      <c r="J501">
        <v>1389</v>
      </c>
      <c r="K501">
        <v>16</v>
      </c>
      <c r="L501" t="s">
        <v>57</v>
      </c>
      <c r="M501">
        <v>5</v>
      </c>
      <c r="N501">
        <v>43.2</v>
      </c>
      <c r="O501">
        <v>74.8</v>
      </c>
      <c r="P501">
        <v>4.03</v>
      </c>
      <c r="Q501">
        <v>3.27</v>
      </c>
      <c r="R501" t="s">
        <v>77</v>
      </c>
      <c r="S501" t="s">
        <v>39</v>
      </c>
      <c r="T501" t="s">
        <v>30</v>
      </c>
      <c r="U501" t="str">
        <f t="shared" si="21"/>
        <v>Normal</v>
      </c>
      <c r="V501" t="str">
        <f t="shared" si="22"/>
        <v>Normal</v>
      </c>
      <c r="W501" t="str">
        <f t="shared" si="23"/>
        <v>Normal</v>
      </c>
    </row>
    <row r="502" spans="1:23" x14ac:dyDescent="0.3">
      <c r="A502">
        <v>11165</v>
      </c>
      <c r="B502" s="2">
        <v>45986</v>
      </c>
      <c r="C502" t="s">
        <v>20</v>
      </c>
      <c r="D502" t="s">
        <v>32</v>
      </c>
      <c r="E502" t="s">
        <v>40</v>
      </c>
      <c r="F502" t="s">
        <v>23</v>
      </c>
      <c r="G502" t="s">
        <v>74</v>
      </c>
      <c r="H502" t="s">
        <v>193</v>
      </c>
      <c r="I502" t="s">
        <v>237</v>
      </c>
      <c r="J502">
        <v>651</v>
      </c>
      <c r="K502">
        <v>25</v>
      </c>
      <c r="L502" t="s">
        <v>57</v>
      </c>
      <c r="M502">
        <v>92</v>
      </c>
      <c r="N502">
        <v>47.8</v>
      </c>
      <c r="O502">
        <v>74.7</v>
      </c>
      <c r="P502">
        <v>5.3</v>
      </c>
      <c r="Q502">
        <v>3.8</v>
      </c>
      <c r="R502" t="s">
        <v>243</v>
      </c>
      <c r="S502" t="s">
        <v>73</v>
      </c>
      <c r="T502" t="s">
        <v>48</v>
      </c>
      <c r="U502" t="str">
        <f t="shared" si="21"/>
        <v>Normal</v>
      </c>
      <c r="V502" t="str">
        <f t="shared" si="22"/>
        <v>Normal</v>
      </c>
      <c r="W502" t="str">
        <f t="shared" si="23"/>
        <v>Normal</v>
      </c>
    </row>
    <row r="503" spans="1:23" x14ac:dyDescent="0.3">
      <c r="A503">
        <v>10064</v>
      </c>
      <c r="B503" s="2">
        <v>45694</v>
      </c>
      <c r="C503" t="s">
        <v>20</v>
      </c>
      <c r="D503" t="s">
        <v>21</v>
      </c>
      <c r="E503" t="s">
        <v>22</v>
      </c>
      <c r="F503" t="s">
        <v>81</v>
      </c>
      <c r="G503" t="s">
        <v>42</v>
      </c>
      <c r="H503" t="s">
        <v>205</v>
      </c>
      <c r="I503" t="s">
        <v>305</v>
      </c>
      <c r="J503">
        <v>1597</v>
      </c>
      <c r="K503">
        <v>11</v>
      </c>
      <c r="L503" t="s">
        <v>57</v>
      </c>
      <c r="M503">
        <v>66</v>
      </c>
      <c r="N503">
        <v>50.4</v>
      </c>
      <c r="O503">
        <v>74.7</v>
      </c>
      <c r="P503">
        <v>6.26</v>
      </c>
      <c r="Q503">
        <v>1.56</v>
      </c>
      <c r="R503" t="s">
        <v>140</v>
      </c>
      <c r="S503" t="s">
        <v>73</v>
      </c>
      <c r="T503" t="s">
        <v>30</v>
      </c>
      <c r="U503" t="str">
        <f t="shared" si="21"/>
        <v>Normal</v>
      </c>
      <c r="V503" t="str">
        <f t="shared" si="22"/>
        <v>Normal</v>
      </c>
      <c r="W503" t="str">
        <f t="shared" si="23"/>
        <v>Normal</v>
      </c>
    </row>
    <row r="504" spans="1:23" x14ac:dyDescent="0.3">
      <c r="A504">
        <v>11121</v>
      </c>
      <c r="B504" s="2">
        <v>45886</v>
      </c>
      <c r="C504" t="s">
        <v>49</v>
      </c>
      <c r="D504" t="s">
        <v>64</v>
      </c>
      <c r="E504" t="s">
        <v>40</v>
      </c>
      <c r="F504" t="s">
        <v>81</v>
      </c>
      <c r="G504" t="s">
        <v>54</v>
      </c>
      <c r="H504" t="s">
        <v>90</v>
      </c>
      <c r="I504" t="s">
        <v>83</v>
      </c>
      <c r="J504">
        <v>1384</v>
      </c>
      <c r="K504">
        <v>17</v>
      </c>
      <c r="L504" t="s">
        <v>45</v>
      </c>
      <c r="M504">
        <v>15</v>
      </c>
      <c r="N504">
        <v>66.599999999999994</v>
      </c>
      <c r="O504">
        <v>74.7</v>
      </c>
      <c r="P504">
        <v>5.68</v>
      </c>
      <c r="Q504">
        <v>1.73</v>
      </c>
      <c r="R504" t="s">
        <v>92</v>
      </c>
      <c r="S504" t="s">
        <v>47</v>
      </c>
      <c r="T504" t="s">
        <v>30</v>
      </c>
      <c r="U504" t="str">
        <f t="shared" si="21"/>
        <v>Normal</v>
      </c>
      <c r="V504" t="str">
        <f t="shared" si="22"/>
        <v>Normal</v>
      </c>
      <c r="W504" t="str">
        <f t="shared" si="23"/>
        <v>Normal</v>
      </c>
    </row>
    <row r="505" spans="1:23" x14ac:dyDescent="0.3">
      <c r="A505">
        <v>11409</v>
      </c>
      <c r="B505" s="2">
        <v>45692</v>
      </c>
      <c r="C505" t="s">
        <v>20</v>
      </c>
      <c r="D505" t="s">
        <v>21</v>
      </c>
      <c r="E505" t="s">
        <v>107</v>
      </c>
      <c r="F505" t="s">
        <v>81</v>
      </c>
      <c r="G505" t="s">
        <v>24</v>
      </c>
      <c r="H505" t="s">
        <v>55</v>
      </c>
      <c r="I505" t="s">
        <v>260</v>
      </c>
      <c r="J505">
        <v>1202</v>
      </c>
      <c r="K505">
        <v>26</v>
      </c>
      <c r="L505" t="s">
        <v>27</v>
      </c>
      <c r="M505">
        <v>62</v>
      </c>
      <c r="N505">
        <v>43</v>
      </c>
      <c r="O505">
        <v>74.7</v>
      </c>
      <c r="P505">
        <v>5.61</v>
      </c>
      <c r="Q505">
        <v>3.13</v>
      </c>
      <c r="R505" t="s">
        <v>184</v>
      </c>
      <c r="S505" t="s">
        <v>39</v>
      </c>
      <c r="T505" t="s">
        <v>30</v>
      </c>
      <c r="U505" t="str">
        <f t="shared" si="21"/>
        <v>Normal</v>
      </c>
      <c r="V505" t="str">
        <f t="shared" si="22"/>
        <v>Normal</v>
      </c>
      <c r="W505" t="str">
        <f t="shared" si="23"/>
        <v>Normal</v>
      </c>
    </row>
    <row r="506" spans="1:23" x14ac:dyDescent="0.3">
      <c r="A506">
        <v>11359</v>
      </c>
      <c r="B506" s="2">
        <v>45769</v>
      </c>
      <c r="C506" t="s">
        <v>49</v>
      </c>
      <c r="D506" t="s">
        <v>64</v>
      </c>
      <c r="E506" t="s">
        <v>40</v>
      </c>
      <c r="F506" t="s">
        <v>41</v>
      </c>
      <c r="G506" t="s">
        <v>60</v>
      </c>
      <c r="H506" t="s">
        <v>61</v>
      </c>
      <c r="I506" t="s">
        <v>239</v>
      </c>
      <c r="J506">
        <v>1408</v>
      </c>
      <c r="K506">
        <v>16</v>
      </c>
      <c r="L506" t="s">
        <v>27</v>
      </c>
      <c r="M506">
        <v>54</v>
      </c>
      <c r="N506">
        <v>40.9</v>
      </c>
      <c r="O506">
        <v>74.7</v>
      </c>
      <c r="P506">
        <v>5.17</v>
      </c>
      <c r="Q506">
        <v>4.05</v>
      </c>
      <c r="R506" t="s">
        <v>140</v>
      </c>
      <c r="S506" t="s">
        <v>29</v>
      </c>
      <c r="T506" t="s">
        <v>30</v>
      </c>
      <c r="U506" t="str">
        <f t="shared" si="21"/>
        <v>Normal</v>
      </c>
      <c r="V506" t="str">
        <f t="shared" si="22"/>
        <v>Normal</v>
      </c>
      <c r="W506" t="str">
        <f t="shared" si="23"/>
        <v>Normal</v>
      </c>
    </row>
    <row r="507" spans="1:23" x14ac:dyDescent="0.3">
      <c r="A507">
        <v>10295</v>
      </c>
      <c r="B507" s="2">
        <v>45981</v>
      </c>
      <c r="C507" t="s">
        <v>31</v>
      </c>
      <c r="D507" t="s">
        <v>32</v>
      </c>
      <c r="E507" t="s">
        <v>33</v>
      </c>
      <c r="F507" t="s">
        <v>81</v>
      </c>
      <c r="G507" t="s">
        <v>134</v>
      </c>
      <c r="H507" t="s">
        <v>85</v>
      </c>
      <c r="I507" t="s">
        <v>294</v>
      </c>
      <c r="J507">
        <v>1563</v>
      </c>
      <c r="K507">
        <v>15</v>
      </c>
      <c r="L507" t="s">
        <v>45</v>
      </c>
      <c r="M507">
        <v>115</v>
      </c>
      <c r="N507">
        <v>41.6</v>
      </c>
      <c r="O507">
        <v>74.7</v>
      </c>
      <c r="P507">
        <v>5.91</v>
      </c>
      <c r="Q507">
        <v>2.8</v>
      </c>
      <c r="R507" t="s">
        <v>103</v>
      </c>
      <c r="S507" t="s">
        <v>47</v>
      </c>
      <c r="T507" t="s">
        <v>30</v>
      </c>
      <c r="U507" t="str">
        <f t="shared" si="21"/>
        <v>Normal</v>
      </c>
      <c r="V507" t="str">
        <f t="shared" si="22"/>
        <v>Normal</v>
      </c>
      <c r="W507" t="str">
        <f t="shared" si="23"/>
        <v>Normal</v>
      </c>
    </row>
    <row r="508" spans="1:23" x14ac:dyDescent="0.3">
      <c r="A508">
        <v>11094</v>
      </c>
      <c r="B508" s="2">
        <v>45766</v>
      </c>
      <c r="C508" t="s">
        <v>31</v>
      </c>
      <c r="D508" t="s">
        <v>21</v>
      </c>
      <c r="E508" t="s">
        <v>40</v>
      </c>
      <c r="F508" t="s">
        <v>41</v>
      </c>
      <c r="G508" t="s">
        <v>60</v>
      </c>
      <c r="H508" t="s">
        <v>192</v>
      </c>
      <c r="I508" t="s">
        <v>62</v>
      </c>
      <c r="J508">
        <v>819</v>
      </c>
      <c r="K508">
        <v>12</v>
      </c>
      <c r="L508" t="s">
        <v>27</v>
      </c>
      <c r="M508">
        <v>12</v>
      </c>
      <c r="N508">
        <v>32.299999999999997</v>
      </c>
      <c r="O508">
        <v>74.7</v>
      </c>
      <c r="P508">
        <v>5.52</v>
      </c>
      <c r="Q508">
        <v>0.49</v>
      </c>
      <c r="R508" t="s">
        <v>167</v>
      </c>
      <c r="S508" t="s">
        <v>29</v>
      </c>
      <c r="T508" t="s">
        <v>30</v>
      </c>
      <c r="U508" t="str">
        <f t="shared" si="21"/>
        <v>Normal</v>
      </c>
      <c r="V508" t="str">
        <f t="shared" si="22"/>
        <v>Normal</v>
      </c>
      <c r="W508" t="str">
        <f t="shared" si="23"/>
        <v>Normal</v>
      </c>
    </row>
    <row r="509" spans="1:23" x14ac:dyDescent="0.3">
      <c r="A509">
        <v>11443</v>
      </c>
      <c r="B509" s="2">
        <v>46017</v>
      </c>
      <c r="C509" t="s">
        <v>20</v>
      </c>
      <c r="D509" t="s">
        <v>32</v>
      </c>
      <c r="E509" t="s">
        <v>40</v>
      </c>
      <c r="F509" t="s">
        <v>41</v>
      </c>
      <c r="G509" t="s">
        <v>74</v>
      </c>
      <c r="H509" t="s">
        <v>85</v>
      </c>
      <c r="I509" t="s">
        <v>333</v>
      </c>
      <c r="J509">
        <v>1332</v>
      </c>
      <c r="K509">
        <v>20</v>
      </c>
      <c r="L509" t="s">
        <v>57</v>
      </c>
      <c r="M509">
        <v>110</v>
      </c>
      <c r="N509">
        <v>34.6</v>
      </c>
      <c r="O509">
        <v>74.7</v>
      </c>
      <c r="P509">
        <v>3.77</v>
      </c>
      <c r="Q509">
        <v>1.81</v>
      </c>
      <c r="R509" t="s">
        <v>153</v>
      </c>
      <c r="S509" t="s">
        <v>29</v>
      </c>
      <c r="T509" t="s">
        <v>30</v>
      </c>
      <c r="U509" t="str">
        <f t="shared" si="21"/>
        <v>Normal</v>
      </c>
      <c r="V509" t="str">
        <f t="shared" si="22"/>
        <v>Normal</v>
      </c>
      <c r="W509" t="str">
        <f t="shared" si="23"/>
        <v>Normal</v>
      </c>
    </row>
    <row r="510" spans="1:23" x14ac:dyDescent="0.3">
      <c r="A510">
        <v>11022</v>
      </c>
      <c r="B510" s="2">
        <v>45696</v>
      </c>
      <c r="C510" t="s">
        <v>20</v>
      </c>
      <c r="D510" t="s">
        <v>32</v>
      </c>
      <c r="E510" t="s">
        <v>107</v>
      </c>
      <c r="F510" t="s">
        <v>41</v>
      </c>
      <c r="G510" t="s">
        <v>89</v>
      </c>
      <c r="H510" t="s">
        <v>175</v>
      </c>
      <c r="I510" t="s">
        <v>235</v>
      </c>
      <c r="J510">
        <v>962</v>
      </c>
      <c r="K510">
        <v>14</v>
      </c>
      <c r="L510" t="s">
        <v>68</v>
      </c>
      <c r="M510">
        <v>143</v>
      </c>
      <c r="N510">
        <v>52.5</v>
      </c>
      <c r="O510">
        <v>74.7</v>
      </c>
      <c r="P510">
        <v>5.81</v>
      </c>
      <c r="Q510">
        <v>4.07</v>
      </c>
      <c r="R510" t="s">
        <v>155</v>
      </c>
      <c r="S510" t="s">
        <v>29</v>
      </c>
      <c r="T510" t="s">
        <v>30</v>
      </c>
      <c r="U510" t="str">
        <f t="shared" si="21"/>
        <v>Normal</v>
      </c>
      <c r="V510" t="str">
        <f t="shared" si="22"/>
        <v>Normal</v>
      </c>
      <c r="W510" t="str">
        <f t="shared" si="23"/>
        <v>Normal</v>
      </c>
    </row>
    <row r="511" spans="1:23" x14ac:dyDescent="0.3">
      <c r="A511">
        <v>10889</v>
      </c>
      <c r="B511" s="2">
        <v>45873</v>
      </c>
      <c r="C511" t="s">
        <v>20</v>
      </c>
      <c r="D511" t="s">
        <v>32</v>
      </c>
      <c r="E511" t="s">
        <v>33</v>
      </c>
      <c r="F511" t="s">
        <v>23</v>
      </c>
      <c r="G511" t="s">
        <v>34</v>
      </c>
      <c r="H511" t="s">
        <v>101</v>
      </c>
      <c r="I511" t="s">
        <v>301</v>
      </c>
      <c r="J511">
        <v>1305</v>
      </c>
      <c r="K511">
        <v>16</v>
      </c>
      <c r="L511" t="s">
        <v>57</v>
      </c>
      <c r="M511">
        <v>172</v>
      </c>
      <c r="N511">
        <v>46.7</v>
      </c>
      <c r="O511">
        <v>74.599999999999994</v>
      </c>
      <c r="P511">
        <v>4.05</v>
      </c>
      <c r="Q511">
        <v>4.17</v>
      </c>
      <c r="R511" t="s">
        <v>174</v>
      </c>
      <c r="S511" t="s">
        <v>73</v>
      </c>
      <c r="T511" t="s">
        <v>30</v>
      </c>
      <c r="U511" t="str">
        <f t="shared" si="21"/>
        <v>Normal</v>
      </c>
      <c r="V511" t="str">
        <f t="shared" si="22"/>
        <v>Normal</v>
      </c>
      <c r="W511" t="str">
        <f t="shared" si="23"/>
        <v>Normal</v>
      </c>
    </row>
    <row r="512" spans="1:23" x14ac:dyDescent="0.3">
      <c r="A512">
        <v>10082</v>
      </c>
      <c r="B512" s="2">
        <v>45658</v>
      </c>
      <c r="C512" t="s">
        <v>31</v>
      </c>
      <c r="D512" t="s">
        <v>32</v>
      </c>
      <c r="E512" t="s">
        <v>107</v>
      </c>
      <c r="F512" t="s">
        <v>81</v>
      </c>
      <c r="G512" t="s">
        <v>109</v>
      </c>
      <c r="H512" t="s">
        <v>161</v>
      </c>
      <c r="I512" t="s">
        <v>293</v>
      </c>
      <c r="J512">
        <v>752</v>
      </c>
      <c r="K512">
        <v>7</v>
      </c>
      <c r="L512" t="s">
        <v>45</v>
      </c>
      <c r="M512">
        <v>67</v>
      </c>
      <c r="N512">
        <v>41.6</v>
      </c>
      <c r="O512">
        <v>74.599999999999994</v>
      </c>
      <c r="P512">
        <v>5.46</v>
      </c>
      <c r="Q512">
        <v>3.26</v>
      </c>
      <c r="R512" t="s">
        <v>143</v>
      </c>
      <c r="S512" t="s">
        <v>39</v>
      </c>
      <c r="T512" t="s">
        <v>30</v>
      </c>
      <c r="U512" t="str">
        <f t="shared" si="21"/>
        <v>Normal</v>
      </c>
      <c r="V512" t="str">
        <f t="shared" si="22"/>
        <v>Normal</v>
      </c>
      <c r="W512" t="str">
        <f t="shared" si="23"/>
        <v>Normal</v>
      </c>
    </row>
    <row r="513" spans="1:23" x14ac:dyDescent="0.3">
      <c r="A513">
        <v>11186</v>
      </c>
      <c r="B513" s="2">
        <v>45790</v>
      </c>
      <c r="C513" t="s">
        <v>31</v>
      </c>
      <c r="D513" t="s">
        <v>59</v>
      </c>
      <c r="E513" t="s">
        <v>22</v>
      </c>
      <c r="F513" t="s">
        <v>23</v>
      </c>
      <c r="G513" t="s">
        <v>60</v>
      </c>
      <c r="H513" t="s">
        <v>193</v>
      </c>
      <c r="I513" t="s">
        <v>206</v>
      </c>
      <c r="J513">
        <v>1515</v>
      </c>
      <c r="K513">
        <v>22</v>
      </c>
      <c r="L513" t="s">
        <v>37</v>
      </c>
      <c r="M513">
        <v>173</v>
      </c>
      <c r="N513">
        <v>33.200000000000003</v>
      </c>
      <c r="O513">
        <v>74.599999999999994</v>
      </c>
      <c r="P513">
        <v>5.84</v>
      </c>
      <c r="Q513">
        <v>1.17</v>
      </c>
      <c r="R513" t="s">
        <v>58</v>
      </c>
      <c r="S513" t="s">
        <v>47</v>
      </c>
      <c r="T513" t="s">
        <v>30</v>
      </c>
      <c r="U513" t="str">
        <f t="shared" si="21"/>
        <v>Normal</v>
      </c>
      <c r="V513" t="str">
        <f t="shared" si="22"/>
        <v>Normal</v>
      </c>
      <c r="W513" t="str">
        <f t="shared" si="23"/>
        <v>Normal</v>
      </c>
    </row>
    <row r="514" spans="1:23" x14ac:dyDescent="0.3">
      <c r="A514">
        <v>10032</v>
      </c>
      <c r="B514" s="2">
        <v>45755</v>
      </c>
      <c r="C514" t="s">
        <v>49</v>
      </c>
      <c r="D514" t="s">
        <v>59</v>
      </c>
      <c r="E514" t="s">
        <v>40</v>
      </c>
      <c r="F514" t="s">
        <v>41</v>
      </c>
      <c r="G514" t="s">
        <v>42</v>
      </c>
      <c r="H514" t="s">
        <v>165</v>
      </c>
      <c r="I514" t="s">
        <v>343</v>
      </c>
      <c r="J514">
        <v>1027</v>
      </c>
      <c r="K514">
        <v>79</v>
      </c>
      <c r="L514" t="s">
        <v>37</v>
      </c>
      <c r="M514">
        <v>34</v>
      </c>
      <c r="N514">
        <v>48.9</v>
      </c>
      <c r="O514">
        <v>74.599999999999994</v>
      </c>
      <c r="P514">
        <v>5.19</v>
      </c>
      <c r="Q514">
        <v>3.68</v>
      </c>
      <c r="R514" t="s">
        <v>164</v>
      </c>
      <c r="S514" t="s">
        <v>47</v>
      </c>
      <c r="T514" t="s">
        <v>48</v>
      </c>
      <c r="U514" t="str">
        <f t="shared" ref="U514:U577" si="24">IF(OR(O514&lt;20,O514&gt;100),"Investigate","Normal")</f>
        <v>Normal</v>
      </c>
      <c r="V514" t="str">
        <f t="shared" ref="V514:V577" si="25">IF(OR(P514&lt;2,P514&gt;10),"Investigate","Normal")</f>
        <v>Normal</v>
      </c>
      <c r="W514" t="str">
        <f t="shared" ref="W514:W577" si="26">IF(Q514&gt;10,"Investigate","Normal")</f>
        <v>Normal</v>
      </c>
    </row>
    <row r="515" spans="1:23" x14ac:dyDescent="0.3">
      <c r="A515">
        <v>10666</v>
      </c>
      <c r="B515" s="2">
        <v>46010</v>
      </c>
      <c r="C515" t="s">
        <v>31</v>
      </c>
      <c r="D515" t="s">
        <v>21</v>
      </c>
      <c r="E515" t="s">
        <v>22</v>
      </c>
      <c r="F515" t="s">
        <v>23</v>
      </c>
      <c r="G515" t="s">
        <v>34</v>
      </c>
      <c r="H515" t="s">
        <v>161</v>
      </c>
      <c r="I515" t="s">
        <v>356</v>
      </c>
      <c r="J515">
        <v>1105</v>
      </c>
      <c r="K515">
        <v>26</v>
      </c>
      <c r="L515" t="s">
        <v>68</v>
      </c>
      <c r="M515">
        <v>8</v>
      </c>
      <c r="N515">
        <v>37.9</v>
      </c>
      <c r="O515">
        <v>74.599999999999994</v>
      </c>
      <c r="P515">
        <v>4.55</v>
      </c>
      <c r="Q515">
        <v>1.67</v>
      </c>
      <c r="R515" t="s">
        <v>80</v>
      </c>
      <c r="S515" t="s">
        <v>29</v>
      </c>
      <c r="T515" t="s">
        <v>30</v>
      </c>
      <c r="U515" t="str">
        <f t="shared" si="24"/>
        <v>Normal</v>
      </c>
      <c r="V515" t="str">
        <f t="shared" si="25"/>
        <v>Normal</v>
      </c>
      <c r="W515" t="str">
        <f t="shared" si="26"/>
        <v>Normal</v>
      </c>
    </row>
    <row r="516" spans="1:23" x14ac:dyDescent="0.3">
      <c r="A516">
        <v>11054</v>
      </c>
      <c r="B516" s="2">
        <v>45991</v>
      </c>
      <c r="C516" t="s">
        <v>20</v>
      </c>
      <c r="D516" t="s">
        <v>64</v>
      </c>
      <c r="E516" t="s">
        <v>40</v>
      </c>
      <c r="F516" t="s">
        <v>23</v>
      </c>
      <c r="G516" t="s">
        <v>134</v>
      </c>
      <c r="H516" t="s">
        <v>66</v>
      </c>
      <c r="I516" t="s">
        <v>171</v>
      </c>
      <c r="J516">
        <v>764</v>
      </c>
      <c r="K516">
        <v>67</v>
      </c>
      <c r="L516" t="s">
        <v>71</v>
      </c>
      <c r="M516">
        <v>25</v>
      </c>
      <c r="N516">
        <v>45.6</v>
      </c>
      <c r="O516">
        <v>74.599999999999994</v>
      </c>
      <c r="P516">
        <v>4.45</v>
      </c>
      <c r="Q516">
        <v>3.24</v>
      </c>
      <c r="R516" t="s">
        <v>111</v>
      </c>
      <c r="S516" t="s">
        <v>47</v>
      </c>
      <c r="T516" t="s">
        <v>48</v>
      </c>
      <c r="U516" t="str">
        <f t="shared" si="24"/>
        <v>Normal</v>
      </c>
      <c r="V516" t="str">
        <f t="shared" si="25"/>
        <v>Normal</v>
      </c>
      <c r="W516" t="str">
        <f t="shared" si="26"/>
        <v>Normal</v>
      </c>
    </row>
    <row r="517" spans="1:23" x14ac:dyDescent="0.3">
      <c r="A517">
        <v>11071</v>
      </c>
      <c r="B517" s="2">
        <v>45771</v>
      </c>
      <c r="C517" t="s">
        <v>49</v>
      </c>
      <c r="D517" t="s">
        <v>59</v>
      </c>
      <c r="E517" t="s">
        <v>22</v>
      </c>
      <c r="F517" t="s">
        <v>41</v>
      </c>
      <c r="G517" t="s">
        <v>74</v>
      </c>
      <c r="H517" t="s">
        <v>138</v>
      </c>
      <c r="I517" t="s">
        <v>313</v>
      </c>
      <c r="J517">
        <v>1426</v>
      </c>
      <c r="K517">
        <v>52</v>
      </c>
      <c r="L517" t="s">
        <v>37</v>
      </c>
      <c r="M517">
        <v>96</v>
      </c>
      <c r="N517">
        <v>39.299999999999997</v>
      </c>
      <c r="O517">
        <v>74.599999999999994</v>
      </c>
      <c r="P517">
        <v>5.52</v>
      </c>
      <c r="Q517">
        <v>1.23</v>
      </c>
      <c r="R517" t="s">
        <v>133</v>
      </c>
      <c r="S517" t="s">
        <v>47</v>
      </c>
      <c r="T517" t="s">
        <v>48</v>
      </c>
      <c r="U517" t="str">
        <f t="shared" si="24"/>
        <v>Normal</v>
      </c>
      <c r="V517" t="str">
        <f t="shared" si="25"/>
        <v>Normal</v>
      </c>
      <c r="W517" t="str">
        <f t="shared" si="26"/>
        <v>Normal</v>
      </c>
    </row>
    <row r="518" spans="1:23" x14ac:dyDescent="0.3">
      <c r="A518">
        <v>10503</v>
      </c>
      <c r="B518" s="2">
        <v>45685</v>
      </c>
      <c r="C518" t="s">
        <v>49</v>
      </c>
      <c r="D518" t="s">
        <v>21</v>
      </c>
      <c r="E518" t="s">
        <v>22</v>
      </c>
      <c r="F518" t="s">
        <v>23</v>
      </c>
      <c r="G518" t="s">
        <v>50</v>
      </c>
      <c r="H518" t="s">
        <v>180</v>
      </c>
      <c r="I518" t="s">
        <v>352</v>
      </c>
      <c r="J518">
        <v>1495</v>
      </c>
      <c r="K518">
        <v>32</v>
      </c>
      <c r="L518" t="s">
        <v>27</v>
      </c>
      <c r="M518">
        <v>11</v>
      </c>
      <c r="N518">
        <v>45.1</v>
      </c>
      <c r="O518">
        <v>74.599999999999994</v>
      </c>
      <c r="P518">
        <v>5.24</v>
      </c>
      <c r="Q518">
        <v>2.33</v>
      </c>
      <c r="R518" t="s">
        <v>183</v>
      </c>
      <c r="S518" t="s">
        <v>29</v>
      </c>
      <c r="T518" t="s">
        <v>30</v>
      </c>
      <c r="U518" t="str">
        <f t="shared" si="24"/>
        <v>Normal</v>
      </c>
      <c r="V518" t="str">
        <f t="shared" si="25"/>
        <v>Normal</v>
      </c>
      <c r="W518" t="str">
        <f t="shared" si="26"/>
        <v>Normal</v>
      </c>
    </row>
    <row r="519" spans="1:23" x14ac:dyDescent="0.3">
      <c r="A519">
        <v>10380</v>
      </c>
      <c r="B519" s="2">
        <v>45845</v>
      </c>
      <c r="C519" t="s">
        <v>31</v>
      </c>
      <c r="D519" t="s">
        <v>32</v>
      </c>
      <c r="E519" t="s">
        <v>40</v>
      </c>
      <c r="F519" t="s">
        <v>23</v>
      </c>
      <c r="G519" t="s">
        <v>24</v>
      </c>
      <c r="H519" t="s">
        <v>96</v>
      </c>
      <c r="I519" t="s">
        <v>168</v>
      </c>
      <c r="J519">
        <v>989</v>
      </c>
      <c r="K519">
        <v>36</v>
      </c>
      <c r="L519" t="s">
        <v>45</v>
      </c>
      <c r="M519">
        <v>45</v>
      </c>
      <c r="N519">
        <v>33.5</v>
      </c>
      <c r="O519">
        <v>74.599999999999994</v>
      </c>
      <c r="P519">
        <v>4.62</v>
      </c>
      <c r="Q519">
        <v>2.74</v>
      </c>
      <c r="R519" t="s">
        <v>111</v>
      </c>
      <c r="S519" t="s">
        <v>39</v>
      </c>
      <c r="T519" t="s">
        <v>48</v>
      </c>
      <c r="U519" t="str">
        <f t="shared" si="24"/>
        <v>Normal</v>
      </c>
      <c r="V519" t="str">
        <f t="shared" si="25"/>
        <v>Normal</v>
      </c>
      <c r="W519" t="str">
        <f t="shared" si="26"/>
        <v>Normal</v>
      </c>
    </row>
    <row r="520" spans="1:23" x14ac:dyDescent="0.3">
      <c r="A520">
        <v>10911</v>
      </c>
      <c r="B520" s="2">
        <v>45866</v>
      </c>
      <c r="C520" t="s">
        <v>20</v>
      </c>
      <c r="D520" t="s">
        <v>21</v>
      </c>
      <c r="E520" t="s">
        <v>107</v>
      </c>
      <c r="F520" t="s">
        <v>23</v>
      </c>
      <c r="G520" t="s">
        <v>89</v>
      </c>
      <c r="H520" t="s">
        <v>82</v>
      </c>
      <c r="I520" t="s">
        <v>210</v>
      </c>
      <c r="J520">
        <v>501</v>
      </c>
      <c r="K520">
        <v>4</v>
      </c>
      <c r="L520" t="s">
        <v>45</v>
      </c>
      <c r="M520">
        <v>7</v>
      </c>
      <c r="N520">
        <v>39.700000000000003</v>
      </c>
      <c r="O520">
        <v>74.5</v>
      </c>
      <c r="P520">
        <v>5.98</v>
      </c>
      <c r="Q520">
        <v>1.7</v>
      </c>
      <c r="R520" t="s">
        <v>125</v>
      </c>
      <c r="S520" t="s">
        <v>29</v>
      </c>
      <c r="T520" t="s">
        <v>30</v>
      </c>
      <c r="U520" t="str">
        <f t="shared" si="24"/>
        <v>Normal</v>
      </c>
      <c r="V520" t="str">
        <f t="shared" si="25"/>
        <v>Normal</v>
      </c>
      <c r="W520" t="str">
        <f t="shared" si="26"/>
        <v>Normal</v>
      </c>
    </row>
    <row r="521" spans="1:23" x14ac:dyDescent="0.3">
      <c r="A521">
        <v>10630</v>
      </c>
      <c r="B521" s="2">
        <v>45919</v>
      </c>
      <c r="C521" t="s">
        <v>31</v>
      </c>
      <c r="D521" t="s">
        <v>59</v>
      </c>
      <c r="E521" t="s">
        <v>22</v>
      </c>
      <c r="F521" t="s">
        <v>41</v>
      </c>
      <c r="G521" t="s">
        <v>95</v>
      </c>
      <c r="H521" t="s">
        <v>25</v>
      </c>
      <c r="I521" t="s">
        <v>178</v>
      </c>
      <c r="J521">
        <v>756</v>
      </c>
      <c r="K521">
        <v>7</v>
      </c>
      <c r="L521" t="s">
        <v>71</v>
      </c>
      <c r="M521">
        <v>47</v>
      </c>
      <c r="N521">
        <v>41.3</v>
      </c>
      <c r="O521">
        <v>74.5</v>
      </c>
      <c r="P521">
        <v>5.2</v>
      </c>
      <c r="Q521">
        <v>0.92</v>
      </c>
      <c r="R521" t="s">
        <v>280</v>
      </c>
      <c r="S521" t="s">
        <v>39</v>
      </c>
      <c r="T521" t="s">
        <v>30</v>
      </c>
      <c r="U521" t="str">
        <f t="shared" si="24"/>
        <v>Normal</v>
      </c>
      <c r="V521" t="str">
        <f t="shared" si="25"/>
        <v>Normal</v>
      </c>
      <c r="W521" t="str">
        <f t="shared" si="26"/>
        <v>Normal</v>
      </c>
    </row>
    <row r="522" spans="1:23" x14ac:dyDescent="0.3">
      <c r="A522">
        <v>11000</v>
      </c>
      <c r="B522" s="2">
        <v>45766</v>
      </c>
      <c r="C522" t="s">
        <v>20</v>
      </c>
      <c r="D522" t="s">
        <v>32</v>
      </c>
      <c r="E522" t="s">
        <v>33</v>
      </c>
      <c r="F522" t="s">
        <v>23</v>
      </c>
      <c r="G522" t="s">
        <v>60</v>
      </c>
      <c r="H522" t="s">
        <v>66</v>
      </c>
      <c r="I522" t="s">
        <v>233</v>
      </c>
      <c r="J522">
        <v>519</v>
      </c>
      <c r="K522">
        <v>4</v>
      </c>
      <c r="L522" t="s">
        <v>424</v>
      </c>
      <c r="M522">
        <v>174</v>
      </c>
      <c r="N522">
        <v>35.700000000000003</v>
      </c>
      <c r="O522">
        <v>74.5</v>
      </c>
      <c r="P522">
        <v>6.93</v>
      </c>
      <c r="Q522">
        <v>2.67</v>
      </c>
      <c r="R522" t="s">
        <v>128</v>
      </c>
      <c r="S522" t="s">
        <v>29</v>
      </c>
      <c r="T522" t="s">
        <v>30</v>
      </c>
      <c r="U522" t="str">
        <f t="shared" si="24"/>
        <v>Normal</v>
      </c>
      <c r="V522" t="str">
        <f t="shared" si="25"/>
        <v>Normal</v>
      </c>
      <c r="W522" t="str">
        <f t="shared" si="26"/>
        <v>Normal</v>
      </c>
    </row>
    <row r="523" spans="1:23" x14ac:dyDescent="0.3">
      <c r="A523">
        <v>11313</v>
      </c>
      <c r="B523" s="2">
        <v>45973</v>
      </c>
      <c r="C523" t="s">
        <v>49</v>
      </c>
      <c r="D523" t="s">
        <v>59</v>
      </c>
      <c r="E523" t="s">
        <v>107</v>
      </c>
      <c r="F523" t="s">
        <v>81</v>
      </c>
      <c r="G523" t="s">
        <v>60</v>
      </c>
      <c r="H523" t="s">
        <v>265</v>
      </c>
      <c r="I523" t="s">
        <v>253</v>
      </c>
      <c r="J523">
        <v>690</v>
      </c>
      <c r="K523">
        <v>11</v>
      </c>
      <c r="L523" t="s">
        <v>27</v>
      </c>
      <c r="M523">
        <v>154</v>
      </c>
      <c r="N523">
        <v>41.9</v>
      </c>
      <c r="O523">
        <v>74.5</v>
      </c>
      <c r="P523">
        <v>5.81</v>
      </c>
      <c r="Q523">
        <v>1.98</v>
      </c>
      <c r="R523" t="s">
        <v>222</v>
      </c>
      <c r="S523" t="s">
        <v>39</v>
      </c>
      <c r="T523" t="s">
        <v>30</v>
      </c>
      <c r="U523" t="str">
        <f t="shared" si="24"/>
        <v>Normal</v>
      </c>
      <c r="V523" t="str">
        <f t="shared" si="25"/>
        <v>Normal</v>
      </c>
      <c r="W523" t="str">
        <f t="shared" si="26"/>
        <v>Normal</v>
      </c>
    </row>
    <row r="524" spans="1:23" x14ac:dyDescent="0.3">
      <c r="A524">
        <v>10830</v>
      </c>
      <c r="B524" s="2">
        <v>45791</v>
      </c>
      <c r="C524" t="s">
        <v>31</v>
      </c>
      <c r="D524" t="s">
        <v>64</v>
      </c>
      <c r="E524" t="s">
        <v>40</v>
      </c>
      <c r="F524" t="s">
        <v>23</v>
      </c>
      <c r="G524" t="s">
        <v>42</v>
      </c>
      <c r="H524" t="s">
        <v>180</v>
      </c>
      <c r="I524" t="s">
        <v>146</v>
      </c>
      <c r="J524">
        <v>748</v>
      </c>
      <c r="K524">
        <v>11</v>
      </c>
      <c r="L524" t="s">
        <v>27</v>
      </c>
      <c r="M524">
        <v>142</v>
      </c>
      <c r="N524">
        <v>35.299999999999997</v>
      </c>
      <c r="O524">
        <v>74.5</v>
      </c>
      <c r="P524">
        <v>6.24</v>
      </c>
      <c r="Q524">
        <v>1.53</v>
      </c>
      <c r="R524" t="s">
        <v>216</v>
      </c>
      <c r="S524" t="s">
        <v>39</v>
      </c>
      <c r="T524" t="s">
        <v>30</v>
      </c>
      <c r="U524" t="str">
        <f t="shared" si="24"/>
        <v>Normal</v>
      </c>
      <c r="V524" t="str">
        <f t="shared" si="25"/>
        <v>Normal</v>
      </c>
      <c r="W524" t="str">
        <f t="shared" si="26"/>
        <v>Normal</v>
      </c>
    </row>
    <row r="525" spans="1:23" x14ac:dyDescent="0.3">
      <c r="A525">
        <v>10756</v>
      </c>
      <c r="B525" s="2">
        <v>45810</v>
      </c>
      <c r="C525" t="s">
        <v>31</v>
      </c>
      <c r="D525" t="s">
        <v>59</v>
      </c>
      <c r="E525" t="s">
        <v>107</v>
      </c>
      <c r="F525" t="s">
        <v>41</v>
      </c>
      <c r="G525" t="s">
        <v>109</v>
      </c>
      <c r="H525" t="s">
        <v>200</v>
      </c>
      <c r="I525" t="s">
        <v>295</v>
      </c>
      <c r="J525">
        <v>709</v>
      </c>
      <c r="K525">
        <v>4</v>
      </c>
      <c r="L525" t="s">
        <v>68</v>
      </c>
      <c r="M525">
        <v>168</v>
      </c>
      <c r="N525">
        <v>32.799999999999997</v>
      </c>
      <c r="O525">
        <v>74.5</v>
      </c>
      <c r="P525">
        <v>4.45</v>
      </c>
      <c r="Q525">
        <v>3.01</v>
      </c>
      <c r="R525" t="s">
        <v>153</v>
      </c>
      <c r="S525" t="s">
        <v>39</v>
      </c>
      <c r="T525" t="s">
        <v>30</v>
      </c>
      <c r="U525" t="str">
        <f t="shared" si="24"/>
        <v>Normal</v>
      </c>
      <c r="V525" t="str">
        <f t="shared" si="25"/>
        <v>Normal</v>
      </c>
      <c r="W525" t="str">
        <f t="shared" si="26"/>
        <v>Normal</v>
      </c>
    </row>
    <row r="526" spans="1:23" x14ac:dyDescent="0.3">
      <c r="A526">
        <v>10105</v>
      </c>
      <c r="B526" s="2">
        <v>45881</v>
      </c>
      <c r="C526" t="s">
        <v>31</v>
      </c>
      <c r="D526" t="s">
        <v>21</v>
      </c>
      <c r="E526" t="s">
        <v>33</v>
      </c>
      <c r="F526" t="s">
        <v>41</v>
      </c>
      <c r="G526" t="s">
        <v>24</v>
      </c>
      <c r="H526" t="s">
        <v>96</v>
      </c>
      <c r="I526" t="s">
        <v>261</v>
      </c>
      <c r="J526">
        <v>1471</v>
      </c>
      <c r="K526">
        <v>53</v>
      </c>
      <c r="L526" t="s">
        <v>68</v>
      </c>
      <c r="M526">
        <v>33</v>
      </c>
      <c r="N526">
        <v>38.200000000000003</v>
      </c>
      <c r="O526">
        <v>74.5</v>
      </c>
      <c r="P526">
        <v>4.72</v>
      </c>
      <c r="Q526">
        <v>3.1</v>
      </c>
      <c r="R526" t="s">
        <v>183</v>
      </c>
      <c r="S526" t="s">
        <v>39</v>
      </c>
      <c r="T526" t="s">
        <v>48</v>
      </c>
      <c r="U526" t="str">
        <f t="shared" si="24"/>
        <v>Normal</v>
      </c>
      <c r="V526" t="str">
        <f t="shared" si="25"/>
        <v>Normal</v>
      </c>
      <c r="W526" t="str">
        <f t="shared" si="26"/>
        <v>Normal</v>
      </c>
    </row>
    <row r="527" spans="1:23" x14ac:dyDescent="0.3">
      <c r="A527">
        <v>11329</v>
      </c>
      <c r="B527" s="2">
        <v>45878</v>
      </c>
      <c r="C527" t="s">
        <v>49</v>
      </c>
      <c r="D527" t="s">
        <v>32</v>
      </c>
      <c r="E527" t="s">
        <v>33</v>
      </c>
      <c r="F527" t="s">
        <v>41</v>
      </c>
      <c r="G527" t="s">
        <v>109</v>
      </c>
      <c r="H527" t="s">
        <v>263</v>
      </c>
      <c r="I527" t="s">
        <v>127</v>
      </c>
      <c r="J527">
        <v>1340</v>
      </c>
      <c r="K527">
        <v>10</v>
      </c>
      <c r="L527" t="s">
        <v>71</v>
      </c>
      <c r="M527">
        <v>147</v>
      </c>
      <c r="N527">
        <v>42</v>
      </c>
      <c r="O527">
        <v>74.5</v>
      </c>
      <c r="P527">
        <v>3.85</v>
      </c>
      <c r="Q527">
        <v>2.17</v>
      </c>
      <c r="R527" t="s">
        <v>243</v>
      </c>
      <c r="S527" t="s">
        <v>47</v>
      </c>
      <c r="T527" t="s">
        <v>30</v>
      </c>
      <c r="U527" t="str">
        <f t="shared" si="24"/>
        <v>Normal</v>
      </c>
      <c r="V527" t="str">
        <f t="shared" si="25"/>
        <v>Normal</v>
      </c>
      <c r="W527" t="str">
        <f t="shared" si="26"/>
        <v>Normal</v>
      </c>
    </row>
    <row r="528" spans="1:23" x14ac:dyDescent="0.3">
      <c r="A528">
        <v>11430</v>
      </c>
      <c r="B528" s="2">
        <v>45883</v>
      </c>
      <c r="C528" t="s">
        <v>20</v>
      </c>
      <c r="D528" t="s">
        <v>32</v>
      </c>
      <c r="E528" t="s">
        <v>33</v>
      </c>
      <c r="F528" t="s">
        <v>81</v>
      </c>
      <c r="G528" t="s">
        <v>24</v>
      </c>
      <c r="H528" t="s">
        <v>85</v>
      </c>
      <c r="I528" t="s">
        <v>290</v>
      </c>
      <c r="J528">
        <v>564</v>
      </c>
      <c r="K528">
        <v>6</v>
      </c>
      <c r="L528" t="s">
        <v>71</v>
      </c>
      <c r="M528">
        <v>121</v>
      </c>
      <c r="N528">
        <v>32.6</v>
      </c>
      <c r="O528">
        <v>74.5</v>
      </c>
      <c r="P528">
        <v>6.71</v>
      </c>
      <c r="Q528">
        <v>2.09</v>
      </c>
      <c r="R528" t="s">
        <v>147</v>
      </c>
      <c r="S528" t="s">
        <v>47</v>
      </c>
      <c r="T528" t="s">
        <v>30</v>
      </c>
      <c r="U528" t="str">
        <f t="shared" si="24"/>
        <v>Normal</v>
      </c>
      <c r="V528" t="str">
        <f t="shared" si="25"/>
        <v>Normal</v>
      </c>
      <c r="W528" t="str">
        <f t="shared" si="26"/>
        <v>Normal</v>
      </c>
    </row>
    <row r="529" spans="1:23" x14ac:dyDescent="0.3">
      <c r="A529">
        <v>10210</v>
      </c>
      <c r="B529" s="2">
        <v>45941</v>
      </c>
      <c r="C529" t="s">
        <v>20</v>
      </c>
      <c r="D529" t="s">
        <v>59</v>
      </c>
      <c r="E529" t="s">
        <v>33</v>
      </c>
      <c r="F529" t="s">
        <v>81</v>
      </c>
      <c r="G529" t="s">
        <v>89</v>
      </c>
      <c r="H529" t="s">
        <v>265</v>
      </c>
      <c r="I529" t="s">
        <v>367</v>
      </c>
      <c r="J529">
        <v>1149</v>
      </c>
      <c r="K529">
        <v>17</v>
      </c>
      <c r="L529" t="s">
        <v>71</v>
      </c>
      <c r="M529">
        <v>118</v>
      </c>
      <c r="N529">
        <v>34.299999999999997</v>
      </c>
      <c r="O529">
        <v>74.400000000000006</v>
      </c>
      <c r="P529">
        <v>5.16</v>
      </c>
      <c r="Q529">
        <v>3.33</v>
      </c>
      <c r="R529" t="s">
        <v>147</v>
      </c>
      <c r="S529" t="s">
        <v>39</v>
      </c>
      <c r="T529" t="s">
        <v>30</v>
      </c>
      <c r="U529" t="str">
        <f t="shared" si="24"/>
        <v>Normal</v>
      </c>
      <c r="V529" t="str">
        <f t="shared" si="25"/>
        <v>Normal</v>
      </c>
      <c r="W529" t="str">
        <f t="shared" si="26"/>
        <v>Normal</v>
      </c>
    </row>
    <row r="530" spans="1:23" x14ac:dyDescent="0.3">
      <c r="A530">
        <v>10011</v>
      </c>
      <c r="B530" s="2">
        <v>45961</v>
      </c>
      <c r="C530" t="s">
        <v>49</v>
      </c>
      <c r="D530" t="s">
        <v>21</v>
      </c>
      <c r="E530" t="s">
        <v>22</v>
      </c>
      <c r="F530" t="s">
        <v>81</v>
      </c>
      <c r="G530" t="s">
        <v>113</v>
      </c>
      <c r="H530" t="s">
        <v>126</v>
      </c>
      <c r="I530" t="s">
        <v>248</v>
      </c>
      <c r="J530">
        <v>712</v>
      </c>
      <c r="K530">
        <v>8</v>
      </c>
      <c r="L530" t="s">
        <v>37</v>
      </c>
      <c r="M530">
        <v>151</v>
      </c>
      <c r="N530">
        <v>45.7</v>
      </c>
      <c r="O530">
        <v>74.400000000000006</v>
      </c>
      <c r="P530">
        <v>5.4</v>
      </c>
      <c r="Q530">
        <v>3.18</v>
      </c>
      <c r="R530" t="s">
        <v>119</v>
      </c>
      <c r="S530" t="s">
        <v>47</v>
      </c>
      <c r="T530" t="s">
        <v>30</v>
      </c>
      <c r="U530" t="str">
        <f t="shared" si="24"/>
        <v>Normal</v>
      </c>
      <c r="V530" t="str">
        <f t="shared" si="25"/>
        <v>Normal</v>
      </c>
      <c r="W530" t="str">
        <f t="shared" si="26"/>
        <v>Normal</v>
      </c>
    </row>
    <row r="531" spans="1:23" x14ac:dyDescent="0.3">
      <c r="A531">
        <v>10598</v>
      </c>
      <c r="B531" s="2">
        <v>46003</v>
      </c>
      <c r="C531" t="s">
        <v>49</v>
      </c>
      <c r="D531" t="s">
        <v>59</v>
      </c>
      <c r="E531" t="s">
        <v>22</v>
      </c>
      <c r="F531" t="s">
        <v>81</v>
      </c>
      <c r="G531" t="s">
        <v>42</v>
      </c>
      <c r="H531" t="s">
        <v>192</v>
      </c>
      <c r="I531" t="s">
        <v>372</v>
      </c>
      <c r="J531">
        <v>1584</v>
      </c>
      <c r="K531">
        <v>22</v>
      </c>
      <c r="L531" t="s">
        <v>37</v>
      </c>
      <c r="M531">
        <v>75</v>
      </c>
      <c r="N531">
        <v>38</v>
      </c>
      <c r="O531">
        <v>74.400000000000006</v>
      </c>
      <c r="P531">
        <v>5.15</v>
      </c>
      <c r="Q531">
        <v>2.9</v>
      </c>
      <c r="R531" t="s">
        <v>167</v>
      </c>
      <c r="S531" t="s">
        <v>73</v>
      </c>
      <c r="T531" t="s">
        <v>30</v>
      </c>
      <c r="U531" t="str">
        <f t="shared" si="24"/>
        <v>Normal</v>
      </c>
      <c r="V531" t="str">
        <f t="shared" si="25"/>
        <v>Normal</v>
      </c>
      <c r="W531" t="str">
        <f t="shared" si="26"/>
        <v>Normal</v>
      </c>
    </row>
    <row r="532" spans="1:23" x14ac:dyDescent="0.3">
      <c r="A532">
        <v>10573</v>
      </c>
      <c r="B532" s="2">
        <v>45993</v>
      </c>
      <c r="C532" t="s">
        <v>31</v>
      </c>
      <c r="D532" t="s">
        <v>32</v>
      </c>
      <c r="E532" t="s">
        <v>107</v>
      </c>
      <c r="F532" t="s">
        <v>41</v>
      </c>
      <c r="G532" t="s">
        <v>34</v>
      </c>
      <c r="H532" t="s">
        <v>78</v>
      </c>
      <c r="I532" t="s">
        <v>117</v>
      </c>
      <c r="J532">
        <v>1572</v>
      </c>
      <c r="K532">
        <v>103</v>
      </c>
      <c r="L532" t="s">
        <v>71</v>
      </c>
      <c r="M532">
        <v>170</v>
      </c>
      <c r="N532">
        <v>46.7</v>
      </c>
      <c r="O532">
        <v>74.400000000000006</v>
      </c>
      <c r="P532">
        <v>5.22</v>
      </c>
      <c r="Q532">
        <v>4.9000000000000004</v>
      </c>
      <c r="R532" t="s">
        <v>164</v>
      </c>
      <c r="S532" t="s">
        <v>73</v>
      </c>
      <c r="T532" t="s">
        <v>48</v>
      </c>
      <c r="U532" t="str">
        <f t="shared" si="24"/>
        <v>Normal</v>
      </c>
      <c r="V532" t="str">
        <f t="shared" si="25"/>
        <v>Normal</v>
      </c>
      <c r="W532" t="str">
        <f t="shared" si="26"/>
        <v>Normal</v>
      </c>
    </row>
    <row r="533" spans="1:23" x14ac:dyDescent="0.3">
      <c r="A533">
        <v>10836</v>
      </c>
      <c r="B533" s="2">
        <v>45691</v>
      </c>
      <c r="C533" t="s">
        <v>20</v>
      </c>
      <c r="D533" t="s">
        <v>21</v>
      </c>
      <c r="E533" t="s">
        <v>33</v>
      </c>
      <c r="F533" t="s">
        <v>23</v>
      </c>
      <c r="G533" t="s">
        <v>34</v>
      </c>
      <c r="H533" t="s">
        <v>215</v>
      </c>
      <c r="I533" t="s">
        <v>225</v>
      </c>
      <c r="J533">
        <v>1277</v>
      </c>
      <c r="K533">
        <v>4</v>
      </c>
      <c r="L533" t="s">
        <v>37</v>
      </c>
      <c r="M533">
        <v>94</v>
      </c>
      <c r="N533">
        <v>53.7</v>
      </c>
      <c r="O533">
        <v>74.400000000000006</v>
      </c>
      <c r="P533">
        <v>3.94</v>
      </c>
      <c r="Q533">
        <v>4.4800000000000004</v>
      </c>
      <c r="R533" t="s">
        <v>122</v>
      </c>
      <c r="S533" t="s">
        <v>73</v>
      </c>
      <c r="T533" t="s">
        <v>30</v>
      </c>
      <c r="U533" t="str">
        <f t="shared" si="24"/>
        <v>Normal</v>
      </c>
      <c r="V533" t="str">
        <f t="shared" si="25"/>
        <v>Normal</v>
      </c>
      <c r="W533" t="str">
        <f t="shared" si="26"/>
        <v>Normal</v>
      </c>
    </row>
    <row r="534" spans="1:23" x14ac:dyDescent="0.3">
      <c r="A534">
        <v>11160</v>
      </c>
      <c r="B534" s="2">
        <v>45696</v>
      </c>
      <c r="C534" t="s">
        <v>31</v>
      </c>
      <c r="D534" t="s">
        <v>32</v>
      </c>
      <c r="E534" t="s">
        <v>33</v>
      </c>
      <c r="F534" t="s">
        <v>41</v>
      </c>
      <c r="G534" t="s">
        <v>24</v>
      </c>
      <c r="H534" t="s">
        <v>172</v>
      </c>
      <c r="I534" t="s">
        <v>224</v>
      </c>
      <c r="J534">
        <v>1408</v>
      </c>
      <c r="K534">
        <v>24</v>
      </c>
      <c r="L534" t="s">
        <v>27</v>
      </c>
      <c r="M534">
        <v>39</v>
      </c>
      <c r="N534">
        <v>39.700000000000003</v>
      </c>
      <c r="O534">
        <v>74.3</v>
      </c>
      <c r="P534">
        <v>3.88</v>
      </c>
      <c r="Q534">
        <v>2.7</v>
      </c>
      <c r="R534" t="s">
        <v>155</v>
      </c>
      <c r="S534" t="s">
        <v>39</v>
      </c>
      <c r="T534" t="s">
        <v>30</v>
      </c>
      <c r="U534" t="str">
        <f t="shared" si="24"/>
        <v>Normal</v>
      </c>
      <c r="V534" t="str">
        <f t="shared" si="25"/>
        <v>Normal</v>
      </c>
      <c r="W534" t="str">
        <f t="shared" si="26"/>
        <v>Normal</v>
      </c>
    </row>
    <row r="535" spans="1:23" x14ac:dyDescent="0.3">
      <c r="A535">
        <v>10947</v>
      </c>
      <c r="B535" s="2">
        <v>45715</v>
      </c>
      <c r="C535" t="s">
        <v>31</v>
      </c>
      <c r="D535" t="s">
        <v>32</v>
      </c>
      <c r="E535" t="s">
        <v>40</v>
      </c>
      <c r="F535" t="s">
        <v>41</v>
      </c>
      <c r="G535" t="s">
        <v>50</v>
      </c>
      <c r="H535" t="s">
        <v>78</v>
      </c>
      <c r="I535" t="s">
        <v>171</v>
      </c>
      <c r="J535">
        <v>807</v>
      </c>
      <c r="K535">
        <v>32</v>
      </c>
      <c r="L535" t="s">
        <v>71</v>
      </c>
      <c r="M535">
        <v>116</v>
      </c>
      <c r="N535">
        <v>51.3</v>
      </c>
      <c r="O535">
        <v>74.3</v>
      </c>
      <c r="P535">
        <v>5.76</v>
      </c>
      <c r="Q535">
        <v>2.91</v>
      </c>
      <c r="R535" t="s">
        <v>72</v>
      </c>
      <c r="S535" t="s">
        <v>47</v>
      </c>
      <c r="T535" t="s">
        <v>48</v>
      </c>
      <c r="U535" t="str">
        <f t="shared" si="24"/>
        <v>Normal</v>
      </c>
      <c r="V535" t="str">
        <f t="shared" si="25"/>
        <v>Normal</v>
      </c>
      <c r="W535" t="str">
        <f t="shared" si="26"/>
        <v>Normal</v>
      </c>
    </row>
    <row r="536" spans="1:23" x14ac:dyDescent="0.3">
      <c r="A536">
        <v>10909</v>
      </c>
      <c r="B536" s="2">
        <v>45960</v>
      </c>
      <c r="C536" t="s">
        <v>20</v>
      </c>
      <c r="D536" t="s">
        <v>21</v>
      </c>
      <c r="E536" t="s">
        <v>33</v>
      </c>
      <c r="F536" t="s">
        <v>41</v>
      </c>
      <c r="G536" t="s">
        <v>24</v>
      </c>
      <c r="H536" t="s">
        <v>82</v>
      </c>
      <c r="I536" t="s">
        <v>233</v>
      </c>
      <c r="J536">
        <v>519</v>
      </c>
      <c r="K536">
        <v>7</v>
      </c>
      <c r="L536" t="s">
        <v>37</v>
      </c>
      <c r="M536">
        <v>136</v>
      </c>
      <c r="N536">
        <v>43.3</v>
      </c>
      <c r="O536">
        <v>74.2</v>
      </c>
      <c r="P536">
        <v>4.26</v>
      </c>
      <c r="Q536">
        <v>2.95</v>
      </c>
      <c r="R536" t="s">
        <v>243</v>
      </c>
      <c r="S536" t="s">
        <v>39</v>
      </c>
      <c r="T536" t="s">
        <v>30</v>
      </c>
      <c r="U536" t="str">
        <f t="shared" si="24"/>
        <v>Normal</v>
      </c>
      <c r="V536" t="str">
        <f t="shared" si="25"/>
        <v>Normal</v>
      </c>
      <c r="W536" t="str">
        <f t="shared" si="26"/>
        <v>Normal</v>
      </c>
    </row>
    <row r="537" spans="1:23" x14ac:dyDescent="0.3">
      <c r="A537">
        <v>11274</v>
      </c>
      <c r="B537" s="2">
        <v>45824</v>
      </c>
      <c r="C537" t="s">
        <v>31</v>
      </c>
      <c r="D537" t="s">
        <v>59</v>
      </c>
      <c r="E537" t="s">
        <v>107</v>
      </c>
      <c r="F537" t="s">
        <v>41</v>
      </c>
      <c r="G537" t="s">
        <v>42</v>
      </c>
      <c r="H537" t="s">
        <v>196</v>
      </c>
      <c r="I537" t="s">
        <v>318</v>
      </c>
      <c r="J537">
        <v>498</v>
      </c>
      <c r="K537">
        <v>18</v>
      </c>
      <c r="L537" t="s">
        <v>45</v>
      </c>
      <c r="M537">
        <v>5</v>
      </c>
      <c r="N537">
        <v>39.299999999999997</v>
      </c>
      <c r="O537">
        <v>74.2</v>
      </c>
      <c r="P537">
        <v>3.53</v>
      </c>
      <c r="Q537">
        <v>4.2699999999999996</v>
      </c>
      <c r="R537" t="s">
        <v>174</v>
      </c>
      <c r="S537" t="s">
        <v>29</v>
      </c>
      <c r="T537" t="s">
        <v>48</v>
      </c>
      <c r="U537" t="str">
        <f t="shared" si="24"/>
        <v>Normal</v>
      </c>
      <c r="V537" t="str">
        <f t="shared" si="25"/>
        <v>Normal</v>
      </c>
      <c r="W537" t="str">
        <f t="shared" si="26"/>
        <v>Normal</v>
      </c>
    </row>
    <row r="538" spans="1:23" x14ac:dyDescent="0.3">
      <c r="A538">
        <v>10145</v>
      </c>
      <c r="B538" s="2">
        <v>45670</v>
      </c>
      <c r="C538" t="s">
        <v>31</v>
      </c>
      <c r="D538" t="s">
        <v>32</v>
      </c>
      <c r="E538" t="s">
        <v>107</v>
      </c>
      <c r="F538" t="s">
        <v>81</v>
      </c>
      <c r="G538" t="s">
        <v>95</v>
      </c>
      <c r="H538" t="s">
        <v>123</v>
      </c>
      <c r="I538" t="s">
        <v>83</v>
      </c>
      <c r="J538">
        <v>1385</v>
      </c>
      <c r="K538">
        <v>5</v>
      </c>
      <c r="L538" t="s">
        <v>37</v>
      </c>
      <c r="M538">
        <v>130</v>
      </c>
      <c r="N538">
        <v>50.1</v>
      </c>
      <c r="O538">
        <v>74.2</v>
      </c>
      <c r="P538">
        <v>4.0199999999999996</v>
      </c>
      <c r="Q538">
        <v>3.08</v>
      </c>
      <c r="R538" t="s">
        <v>143</v>
      </c>
      <c r="S538" t="s">
        <v>73</v>
      </c>
      <c r="T538" t="s">
        <v>30</v>
      </c>
      <c r="U538" t="str">
        <f t="shared" si="24"/>
        <v>Normal</v>
      </c>
      <c r="V538" t="str">
        <f t="shared" si="25"/>
        <v>Normal</v>
      </c>
      <c r="W538" t="str">
        <f t="shared" si="26"/>
        <v>Normal</v>
      </c>
    </row>
    <row r="539" spans="1:23" x14ac:dyDescent="0.3">
      <c r="A539">
        <v>10052</v>
      </c>
      <c r="B539" s="2">
        <v>45677</v>
      </c>
      <c r="C539" t="s">
        <v>20</v>
      </c>
      <c r="D539" t="s">
        <v>64</v>
      </c>
      <c r="E539" t="s">
        <v>33</v>
      </c>
      <c r="F539" t="s">
        <v>41</v>
      </c>
      <c r="G539" t="s">
        <v>24</v>
      </c>
      <c r="H539" t="s">
        <v>172</v>
      </c>
      <c r="I539" t="s">
        <v>173</v>
      </c>
      <c r="J539">
        <v>1158</v>
      </c>
      <c r="K539">
        <v>7</v>
      </c>
      <c r="L539" t="s">
        <v>68</v>
      </c>
      <c r="M539">
        <v>176</v>
      </c>
      <c r="N539">
        <v>39.5</v>
      </c>
      <c r="O539">
        <v>74.099999999999994</v>
      </c>
      <c r="P539">
        <v>5.43</v>
      </c>
      <c r="Q539">
        <v>2.84</v>
      </c>
      <c r="R539" t="s">
        <v>174</v>
      </c>
      <c r="S539" t="s">
        <v>47</v>
      </c>
      <c r="T539" t="s">
        <v>30</v>
      </c>
      <c r="U539" t="str">
        <f t="shared" si="24"/>
        <v>Normal</v>
      </c>
      <c r="V539" t="str">
        <f t="shared" si="25"/>
        <v>Normal</v>
      </c>
      <c r="W539" t="str">
        <f t="shared" si="26"/>
        <v>Normal</v>
      </c>
    </row>
    <row r="540" spans="1:23" x14ac:dyDescent="0.3">
      <c r="A540">
        <v>10412</v>
      </c>
      <c r="B540" s="2">
        <v>45928</v>
      </c>
      <c r="C540" t="s">
        <v>20</v>
      </c>
      <c r="D540" t="s">
        <v>21</v>
      </c>
      <c r="E540" t="s">
        <v>40</v>
      </c>
      <c r="F540" t="s">
        <v>23</v>
      </c>
      <c r="G540" t="s">
        <v>74</v>
      </c>
      <c r="H540" t="s">
        <v>180</v>
      </c>
      <c r="I540" t="s">
        <v>188</v>
      </c>
      <c r="J540">
        <v>1092</v>
      </c>
      <c r="K540">
        <v>12</v>
      </c>
      <c r="L540" t="s">
        <v>37</v>
      </c>
      <c r="M540">
        <v>122</v>
      </c>
      <c r="N540">
        <v>35.4</v>
      </c>
      <c r="O540">
        <v>74.099999999999994</v>
      </c>
      <c r="P540">
        <v>5.84</v>
      </c>
      <c r="Q540">
        <v>2.37</v>
      </c>
      <c r="R540" t="s">
        <v>28</v>
      </c>
      <c r="S540" t="s">
        <v>73</v>
      </c>
      <c r="T540" t="s">
        <v>30</v>
      </c>
      <c r="U540" t="str">
        <f t="shared" si="24"/>
        <v>Normal</v>
      </c>
      <c r="V540" t="str">
        <f t="shared" si="25"/>
        <v>Normal</v>
      </c>
      <c r="W540" t="str">
        <f t="shared" si="26"/>
        <v>Normal</v>
      </c>
    </row>
    <row r="541" spans="1:23" x14ac:dyDescent="0.3">
      <c r="A541">
        <v>10260</v>
      </c>
      <c r="B541" s="2">
        <v>45972</v>
      </c>
      <c r="C541" t="s">
        <v>31</v>
      </c>
      <c r="D541" t="s">
        <v>59</v>
      </c>
      <c r="E541" t="s">
        <v>40</v>
      </c>
      <c r="F541" t="s">
        <v>81</v>
      </c>
      <c r="G541" t="s">
        <v>134</v>
      </c>
      <c r="H541" t="s">
        <v>161</v>
      </c>
      <c r="I541" t="s">
        <v>306</v>
      </c>
      <c r="J541">
        <v>1147</v>
      </c>
      <c r="K541">
        <v>4</v>
      </c>
      <c r="L541" t="s">
        <v>57</v>
      </c>
      <c r="M541">
        <v>19</v>
      </c>
      <c r="N541">
        <v>45</v>
      </c>
      <c r="O541">
        <v>74.099999999999994</v>
      </c>
      <c r="P541">
        <v>4.93</v>
      </c>
      <c r="Q541">
        <v>3.21</v>
      </c>
      <c r="R541" t="s">
        <v>84</v>
      </c>
      <c r="S541" t="s">
        <v>47</v>
      </c>
      <c r="T541" t="s">
        <v>30</v>
      </c>
      <c r="U541" t="str">
        <f t="shared" si="24"/>
        <v>Normal</v>
      </c>
      <c r="V541" t="str">
        <f t="shared" si="25"/>
        <v>Normal</v>
      </c>
      <c r="W541" t="str">
        <f t="shared" si="26"/>
        <v>Normal</v>
      </c>
    </row>
    <row r="542" spans="1:23" x14ac:dyDescent="0.3">
      <c r="A542">
        <v>10171</v>
      </c>
      <c r="B542" s="2">
        <v>45946</v>
      </c>
      <c r="C542" t="s">
        <v>20</v>
      </c>
      <c r="D542" t="s">
        <v>21</v>
      </c>
      <c r="E542" t="s">
        <v>33</v>
      </c>
      <c r="F542" t="s">
        <v>41</v>
      </c>
      <c r="G542" t="s">
        <v>50</v>
      </c>
      <c r="H542" t="s">
        <v>82</v>
      </c>
      <c r="I542" t="s">
        <v>91</v>
      </c>
      <c r="J542">
        <v>499</v>
      </c>
      <c r="K542">
        <v>4</v>
      </c>
      <c r="L542" t="s">
        <v>68</v>
      </c>
      <c r="M542">
        <v>132</v>
      </c>
      <c r="N542">
        <v>39.1</v>
      </c>
      <c r="O542">
        <v>74.099999999999994</v>
      </c>
      <c r="P542">
        <v>4.43</v>
      </c>
      <c r="Q542">
        <v>1.75</v>
      </c>
      <c r="R542" t="s">
        <v>179</v>
      </c>
      <c r="S542" t="s">
        <v>73</v>
      </c>
      <c r="T542" t="s">
        <v>30</v>
      </c>
      <c r="U542" t="str">
        <f t="shared" si="24"/>
        <v>Normal</v>
      </c>
      <c r="V542" t="str">
        <f t="shared" si="25"/>
        <v>Normal</v>
      </c>
      <c r="W542" t="str">
        <f t="shared" si="26"/>
        <v>Normal</v>
      </c>
    </row>
    <row r="543" spans="1:23" x14ac:dyDescent="0.3">
      <c r="A543">
        <v>10448</v>
      </c>
      <c r="B543" s="2">
        <v>45811</v>
      </c>
      <c r="C543" t="s">
        <v>31</v>
      </c>
      <c r="D543" t="s">
        <v>32</v>
      </c>
      <c r="E543" t="s">
        <v>107</v>
      </c>
      <c r="F543" t="s">
        <v>81</v>
      </c>
      <c r="G543" t="s">
        <v>74</v>
      </c>
      <c r="H543" t="s">
        <v>144</v>
      </c>
      <c r="I543" t="s">
        <v>249</v>
      </c>
      <c r="J543">
        <v>607</v>
      </c>
      <c r="K543">
        <v>9</v>
      </c>
      <c r="L543" t="s">
        <v>71</v>
      </c>
      <c r="M543">
        <v>99</v>
      </c>
      <c r="N543">
        <v>40</v>
      </c>
      <c r="O543">
        <v>74.099999999999994</v>
      </c>
      <c r="P543">
        <v>4.58</v>
      </c>
      <c r="Q543">
        <v>2.38</v>
      </c>
      <c r="R543" t="s">
        <v>63</v>
      </c>
      <c r="S543" t="s">
        <v>47</v>
      </c>
      <c r="T543" t="s">
        <v>30</v>
      </c>
      <c r="U543" t="str">
        <f t="shared" si="24"/>
        <v>Normal</v>
      </c>
      <c r="V543" t="str">
        <f t="shared" si="25"/>
        <v>Normal</v>
      </c>
      <c r="W543" t="str">
        <f t="shared" si="26"/>
        <v>Normal</v>
      </c>
    </row>
    <row r="544" spans="1:23" x14ac:dyDescent="0.3">
      <c r="A544">
        <v>10314</v>
      </c>
      <c r="B544" s="2">
        <v>45703</v>
      </c>
      <c r="C544" t="s">
        <v>49</v>
      </c>
      <c r="D544" t="s">
        <v>32</v>
      </c>
      <c r="E544" t="s">
        <v>107</v>
      </c>
      <c r="F544" t="s">
        <v>81</v>
      </c>
      <c r="G544" t="s">
        <v>42</v>
      </c>
      <c r="H544" t="s">
        <v>99</v>
      </c>
      <c r="I544" t="s">
        <v>157</v>
      </c>
      <c r="J544">
        <v>546</v>
      </c>
      <c r="K544">
        <v>8</v>
      </c>
      <c r="L544" t="s">
        <v>57</v>
      </c>
      <c r="M544">
        <v>103</v>
      </c>
      <c r="N544">
        <v>30.4</v>
      </c>
      <c r="O544">
        <v>74.099999999999994</v>
      </c>
      <c r="P544">
        <v>5.81</v>
      </c>
      <c r="Q544">
        <v>3.69</v>
      </c>
      <c r="R544" t="s">
        <v>164</v>
      </c>
      <c r="S544" t="s">
        <v>39</v>
      </c>
      <c r="T544" t="s">
        <v>30</v>
      </c>
      <c r="U544" t="str">
        <f t="shared" si="24"/>
        <v>Normal</v>
      </c>
      <c r="V544" t="str">
        <f t="shared" si="25"/>
        <v>Normal</v>
      </c>
      <c r="W544" t="str">
        <f t="shared" si="26"/>
        <v>Normal</v>
      </c>
    </row>
    <row r="545" spans="1:23" x14ac:dyDescent="0.3">
      <c r="A545">
        <v>10881</v>
      </c>
      <c r="B545" s="2">
        <v>45994</v>
      </c>
      <c r="C545" t="s">
        <v>31</v>
      </c>
      <c r="D545" t="s">
        <v>59</v>
      </c>
      <c r="E545" t="s">
        <v>107</v>
      </c>
      <c r="F545" t="s">
        <v>41</v>
      </c>
      <c r="G545" t="s">
        <v>60</v>
      </c>
      <c r="H545" t="s">
        <v>351</v>
      </c>
      <c r="I545" t="s">
        <v>160</v>
      </c>
      <c r="J545">
        <v>625</v>
      </c>
      <c r="K545">
        <v>6</v>
      </c>
      <c r="L545" t="s">
        <v>57</v>
      </c>
      <c r="M545">
        <v>31</v>
      </c>
      <c r="N545">
        <v>35.4</v>
      </c>
      <c r="O545">
        <v>74.099999999999994</v>
      </c>
      <c r="P545">
        <v>4.9800000000000004</v>
      </c>
      <c r="Q545">
        <v>2.83</v>
      </c>
      <c r="R545" t="s">
        <v>105</v>
      </c>
      <c r="S545" t="s">
        <v>39</v>
      </c>
      <c r="T545" t="s">
        <v>30</v>
      </c>
      <c r="U545" t="str">
        <f t="shared" si="24"/>
        <v>Normal</v>
      </c>
      <c r="V545" t="str">
        <f t="shared" si="25"/>
        <v>Normal</v>
      </c>
      <c r="W545" t="str">
        <f t="shared" si="26"/>
        <v>Normal</v>
      </c>
    </row>
    <row r="546" spans="1:23" x14ac:dyDescent="0.3">
      <c r="A546">
        <v>10578</v>
      </c>
      <c r="B546" s="2">
        <v>45877</v>
      </c>
      <c r="C546" t="s">
        <v>49</v>
      </c>
      <c r="D546" t="s">
        <v>59</v>
      </c>
      <c r="E546" t="s">
        <v>40</v>
      </c>
      <c r="F546" t="s">
        <v>41</v>
      </c>
      <c r="G546" t="s">
        <v>113</v>
      </c>
      <c r="H546" t="s">
        <v>180</v>
      </c>
      <c r="I546" t="s">
        <v>36</v>
      </c>
      <c r="J546">
        <v>1472</v>
      </c>
      <c r="K546">
        <v>40</v>
      </c>
      <c r="L546" t="s">
        <v>68</v>
      </c>
      <c r="M546">
        <v>34</v>
      </c>
      <c r="N546">
        <v>45.3</v>
      </c>
      <c r="O546">
        <v>74.099999999999994</v>
      </c>
      <c r="P546">
        <v>5.42</v>
      </c>
      <c r="Q546">
        <v>2.6</v>
      </c>
      <c r="R546" t="s">
        <v>103</v>
      </c>
      <c r="S546" t="s">
        <v>47</v>
      </c>
      <c r="T546" t="s">
        <v>30</v>
      </c>
      <c r="U546" t="str">
        <f t="shared" si="24"/>
        <v>Normal</v>
      </c>
      <c r="V546" t="str">
        <f t="shared" si="25"/>
        <v>Normal</v>
      </c>
      <c r="W546" t="str">
        <f t="shared" si="26"/>
        <v>Normal</v>
      </c>
    </row>
    <row r="547" spans="1:23" x14ac:dyDescent="0.3">
      <c r="A547">
        <v>10525</v>
      </c>
      <c r="B547" s="2">
        <v>45713</v>
      </c>
      <c r="C547" t="s">
        <v>20</v>
      </c>
      <c r="D547" t="s">
        <v>32</v>
      </c>
      <c r="E547" t="s">
        <v>22</v>
      </c>
      <c r="F547" t="s">
        <v>41</v>
      </c>
      <c r="G547" t="s">
        <v>95</v>
      </c>
      <c r="H547" t="s">
        <v>93</v>
      </c>
      <c r="I547" t="s">
        <v>212</v>
      </c>
      <c r="J547">
        <v>670</v>
      </c>
      <c r="K547">
        <v>7</v>
      </c>
      <c r="L547" t="s">
        <v>68</v>
      </c>
      <c r="M547">
        <v>175</v>
      </c>
      <c r="N547">
        <v>48.6</v>
      </c>
      <c r="O547">
        <v>74.099999999999994</v>
      </c>
      <c r="P547">
        <v>4.43</v>
      </c>
      <c r="Q547">
        <v>1.01</v>
      </c>
      <c r="R547" t="s">
        <v>186</v>
      </c>
      <c r="S547" t="s">
        <v>47</v>
      </c>
      <c r="T547" t="s">
        <v>30</v>
      </c>
      <c r="U547" t="str">
        <f t="shared" si="24"/>
        <v>Normal</v>
      </c>
      <c r="V547" t="str">
        <f t="shared" si="25"/>
        <v>Normal</v>
      </c>
      <c r="W547" t="str">
        <f t="shared" si="26"/>
        <v>Normal</v>
      </c>
    </row>
    <row r="548" spans="1:23" x14ac:dyDescent="0.3">
      <c r="A548">
        <v>10511</v>
      </c>
      <c r="B548" s="2">
        <v>45775</v>
      </c>
      <c r="C548" t="s">
        <v>20</v>
      </c>
      <c r="D548" t="s">
        <v>21</v>
      </c>
      <c r="E548" t="s">
        <v>107</v>
      </c>
      <c r="F548" t="s">
        <v>23</v>
      </c>
      <c r="G548" t="s">
        <v>134</v>
      </c>
      <c r="H548" t="s">
        <v>88</v>
      </c>
      <c r="I548" t="s">
        <v>345</v>
      </c>
      <c r="J548">
        <v>1304</v>
      </c>
      <c r="K548">
        <v>15</v>
      </c>
      <c r="L548" t="s">
        <v>27</v>
      </c>
      <c r="M548">
        <v>58</v>
      </c>
      <c r="N548">
        <v>48.8</v>
      </c>
      <c r="O548">
        <v>74.099999999999994</v>
      </c>
      <c r="P548">
        <v>5.09</v>
      </c>
      <c r="Q548">
        <v>1.68</v>
      </c>
      <c r="R548" t="s">
        <v>174</v>
      </c>
      <c r="S548" t="s">
        <v>29</v>
      </c>
      <c r="T548" t="s">
        <v>30</v>
      </c>
      <c r="U548" t="str">
        <f t="shared" si="24"/>
        <v>Normal</v>
      </c>
      <c r="V548" t="str">
        <f t="shared" si="25"/>
        <v>Normal</v>
      </c>
      <c r="W548" t="str">
        <f t="shared" si="26"/>
        <v>Normal</v>
      </c>
    </row>
    <row r="549" spans="1:23" x14ac:dyDescent="0.3">
      <c r="A549">
        <v>10651</v>
      </c>
      <c r="B549" s="2">
        <v>45940</v>
      </c>
      <c r="C549" t="s">
        <v>20</v>
      </c>
      <c r="D549" t="s">
        <v>21</v>
      </c>
      <c r="E549" t="s">
        <v>40</v>
      </c>
      <c r="F549" t="s">
        <v>41</v>
      </c>
      <c r="G549" t="s">
        <v>95</v>
      </c>
      <c r="H549" t="s">
        <v>96</v>
      </c>
      <c r="I549" t="s">
        <v>97</v>
      </c>
      <c r="J549">
        <v>775</v>
      </c>
      <c r="K549">
        <v>19</v>
      </c>
      <c r="L549" t="s">
        <v>37</v>
      </c>
      <c r="M549">
        <v>7</v>
      </c>
      <c r="N549">
        <v>43.6</v>
      </c>
      <c r="O549">
        <v>74</v>
      </c>
      <c r="P549">
        <v>4.7699999999999996</v>
      </c>
      <c r="Q549">
        <v>4.09</v>
      </c>
      <c r="R549" t="s">
        <v>58</v>
      </c>
      <c r="S549" t="s">
        <v>47</v>
      </c>
      <c r="T549" t="s">
        <v>30</v>
      </c>
      <c r="U549" t="str">
        <f t="shared" si="24"/>
        <v>Normal</v>
      </c>
      <c r="V549" t="str">
        <f t="shared" si="25"/>
        <v>Normal</v>
      </c>
      <c r="W549" t="str">
        <f t="shared" si="26"/>
        <v>Normal</v>
      </c>
    </row>
    <row r="550" spans="1:23" x14ac:dyDescent="0.3">
      <c r="A550">
        <v>10701</v>
      </c>
      <c r="B550" s="2">
        <v>45947</v>
      </c>
      <c r="C550" t="s">
        <v>49</v>
      </c>
      <c r="D550" t="s">
        <v>59</v>
      </c>
      <c r="E550" t="s">
        <v>107</v>
      </c>
      <c r="F550" t="s">
        <v>23</v>
      </c>
      <c r="G550" t="s">
        <v>42</v>
      </c>
      <c r="H550" t="s">
        <v>200</v>
      </c>
      <c r="I550" t="s">
        <v>225</v>
      </c>
      <c r="J550">
        <v>1188</v>
      </c>
      <c r="K550">
        <v>15</v>
      </c>
      <c r="L550" t="s">
        <v>57</v>
      </c>
      <c r="M550">
        <v>157</v>
      </c>
      <c r="N550">
        <v>52.9</v>
      </c>
      <c r="O550">
        <v>74</v>
      </c>
      <c r="P550">
        <v>5.52</v>
      </c>
      <c r="Q550">
        <v>3.28</v>
      </c>
      <c r="R550" t="s">
        <v>209</v>
      </c>
      <c r="S550" t="s">
        <v>47</v>
      </c>
      <c r="T550" t="s">
        <v>30</v>
      </c>
      <c r="U550" t="str">
        <f t="shared" si="24"/>
        <v>Normal</v>
      </c>
      <c r="V550" t="str">
        <f t="shared" si="25"/>
        <v>Normal</v>
      </c>
      <c r="W550" t="str">
        <f t="shared" si="26"/>
        <v>Normal</v>
      </c>
    </row>
    <row r="551" spans="1:23" x14ac:dyDescent="0.3">
      <c r="A551">
        <v>10233</v>
      </c>
      <c r="B551" s="2">
        <v>45784</v>
      </c>
      <c r="C551" t="s">
        <v>20</v>
      </c>
      <c r="D551" t="s">
        <v>21</v>
      </c>
      <c r="E551" t="s">
        <v>107</v>
      </c>
      <c r="F551" t="s">
        <v>81</v>
      </c>
      <c r="G551" t="s">
        <v>89</v>
      </c>
      <c r="H551" t="s">
        <v>90</v>
      </c>
      <c r="I551" t="s">
        <v>316</v>
      </c>
      <c r="J551">
        <v>763</v>
      </c>
      <c r="K551">
        <v>6</v>
      </c>
      <c r="L551" t="s">
        <v>57</v>
      </c>
      <c r="M551">
        <v>152</v>
      </c>
      <c r="N551">
        <v>41.2</v>
      </c>
      <c r="O551">
        <v>74</v>
      </c>
      <c r="P551">
        <v>5.72</v>
      </c>
      <c r="Q551">
        <v>1.55</v>
      </c>
      <c r="R551" t="s">
        <v>222</v>
      </c>
      <c r="S551" t="s">
        <v>39</v>
      </c>
      <c r="T551" t="s">
        <v>30</v>
      </c>
      <c r="U551" t="str">
        <f t="shared" si="24"/>
        <v>Normal</v>
      </c>
      <c r="V551" t="str">
        <f t="shared" si="25"/>
        <v>Normal</v>
      </c>
      <c r="W551" t="str">
        <f t="shared" si="26"/>
        <v>Normal</v>
      </c>
    </row>
    <row r="552" spans="1:23" x14ac:dyDescent="0.3">
      <c r="A552">
        <v>10710</v>
      </c>
      <c r="B552" s="2">
        <v>45915</v>
      </c>
      <c r="C552" t="s">
        <v>20</v>
      </c>
      <c r="D552" t="s">
        <v>59</v>
      </c>
      <c r="E552" t="s">
        <v>22</v>
      </c>
      <c r="F552" t="s">
        <v>23</v>
      </c>
      <c r="G552" t="s">
        <v>109</v>
      </c>
      <c r="H552" t="s">
        <v>180</v>
      </c>
      <c r="I552" t="s">
        <v>296</v>
      </c>
      <c r="J552">
        <v>672</v>
      </c>
      <c r="K552">
        <v>9</v>
      </c>
      <c r="L552" t="s">
        <v>37</v>
      </c>
      <c r="M552">
        <v>177</v>
      </c>
      <c r="N552">
        <v>45.7</v>
      </c>
      <c r="O552">
        <v>74</v>
      </c>
      <c r="P552">
        <v>4.25</v>
      </c>
      <c r="Q552">
        <v>2.37</v>
      </c>
      <c r="R552" t="s">
        <v>111</v>
      </c>
      <c r="S552" t="s">
        <v>47</v>
      </c>
      <c r="T552" t="s">
        <v>30</v>
      </c>
      <c r="U552" t="str">
        <f t="shared" si="24"/>
        <v>Normal</v>
      </c>
      <c r="V552" t="str">
        <f t="shared" si="25"/>
        <v>Normal</v>
      </c>
      <c r="W552" t="str">
        <f t="shared" si="26"/>
        <v>Normal</v>
      </c>
    </row>
    <row r="553" spans="1:23" x14ac:dyDescent="0.3">
      <c r="A553">
        <v>11230</v>
      </c>
      <c r="B553" s="2">
        <v>45933</v>
      </c>
      <c r="C553" t="s">
        <v>31</v>
      </c>
      <c r="D553" t="s">
        <v>64</v>
      </c>
      <c r="E553" t="s">
        <v>22</v>
      </c>
      <c r="F553" t="s">
        <v>23</v>
      </c>
      <c r="G553" t="s">
        <v>42</v>
      </c>
      <c r="H553" t="s">
        <v>78</v>
      </c>
      <c r="I553" t="s">
        <v>79</v>
      </c>
      <c r="J553">
        <v>650</v>
      </c>
      <c r="K553">
        <v>33</v>
      </c>
      <c r="L553" t="s">
        <v>37</v>
      </c>
      <c r="M553">
        <v>97</v>
      </c>
      <c r="N553">
        <v>31.8</v>
      </c>
      <c r="O553">
        <v>73.900000000000006</v>
      </c>
      <c r="P553">
        <v>5.07</v>
      </c>
      <c r="Q553">
        <v>4.0199999999999996</v>
      </c>
      <c r="R553" t="s">
        <v>80</v>
      </c>
      <c r="S553" t="s">
        <v>39</v>
      </c>
      <c r="T553" t="s">
        <v>48</v>
      </c>
      <c r="U553" t="str">
        <f t="shared" si="24"/>
        <v>Normal</v>
      </c>
      <c r="V553" t="str">
        <f t="shared" si="25"/>
        <v>Normal</v>
      </c>
      <c r="W553" t="str">
        <f t="shared" si="26"/>
        <v>Normal</v>
      </c>
    </row>
    <row r="554" spans="1:23" x14ac:dyDescent="0.3">
      <c r="A554">
        <v>10821</v>
      </c>
      <c r="B554" s="2">
        <v>45795</v>
      </c>
      <c r="C554" t="s">
        <v>49</v>
      </c>
      <c r="D554" t="s">
        <v>21</v>
      </c>
      <c r="E554" t="s">
        <v>22</v>
      </c>
      <c r="F554" t="s">
        <v>81</v>
      </c>
      <c r="G554" t="s">
        <v>60</v>
      </c>
      <c r="H554" t="s">
        <v>196</v>
      </c>
      <c r="I554" t="s">
        <v>191</v>
      </c>
      <c r="J554">
        <v>797</v>
      </c>
      <c r="K554">
        <v>23</v>
      </c>
      <c r="L554" t="s">
        <v>57</v>
      </c>
      <c r="M554">
        <v>34</v>
      </c>
      <c r="N554">
        <v>31.7</v>
      </c>
      <c r="O554">
        <v>73.900000000000006</v>
      </c>
      <c r="P554">
        <v>3.46</v>
      </c>
      <c r="Q554">
        <v>3.59</v>
      </c>
      <c r="R554" t="s">
        <v>133</v>
      </c>
      <c r="S554" t="s">
        <v>47</v>
      </c>
      <c r="T554" t="s">
        <v>30</v>
      </c>
      <c r="U554" t="str">
        <f t="shared" si="24"/>
        <v>Normal</v>
      </c>
      <c r="V554" t="str">
        <f t="shared" si="25"/>
        <v>Normal</v>
      </c>
      <c r="W554" t="str">
        <f t="shared" si="26"/>
        <v>Normal</v>
      </c>
    </row>
    <row r="555" spans="1:23" x14ac:dyDescent="0.3">
      <c r="A555">
        <v>10060</v>
      </c>
      <c r="B555" s="2">
        <v>45834</v>
      </c>
      <c r="C555" t="s">
        <v>31</v>
      </c>
      <c r="D555" t="s">
        <v>64</v>
      </c>
      <c r="E555" t="s">
        <v>33</v>
      </c>
      <c r="F555" t="s">
        <v>23</v>
      </c>
      <c r="G555" t="s">
        <v>42</v>
      </c>
      <c r="H555" t="s">
        <v>190</v>
      </c>
      <c r="I555" t="s">
        <v>121</v>
      </c>
      <c r="J555">
        <v>826</v>
      </c>
      <c r="K555">
        <v>21</v>
      </c>
      <c r="L555" t="s">
        <v>57</v>
      </c>
      <c r="M555">
        <v>41</v>
      </c>
      <c r="N555">
        <v>41.8</v>
      </c>
      <c r="O555">
        <v>73.900000000000006</v>
      </c>
      <c r="P555">
        <v>6.44</v>
      </c>
      <c r="Q555">
        <v>1.7</v>
      </c>
      <c r="R555" t="s">
        <v>28</v>
      </c>
      <c r="S555" t="s">
        <v>39</v>
      </c>
      <c r="T555" t="s">
        <v>30</v>
      </c>
      <c r="U555" t="str">
        <f t="shared" si="24"/>
        <v>Normal</v>
      </c>
      <c r="V555" t="str">
        <f t="shared" si="25"/>
        <v>Normal</v>
      </c>
      <c r="W555" t="str">
        <f t="shared" si="26"/>
        <v>Normal</v>
      </c>
    </row>
    <row r="556" spans="1:23" x14ac:dyDescent="0.3">
      <c r="A556">
        <v>10922</v>
      </c>
      <c r="B556" s="2">
        <v>45693</v>
      </c>
      <c r="C556" t="s">
        <v>20</v>
      </c>
      <c r="D556" t="s">
        <v>32</v>
      </c>
      <c r="E556" t="s">
        <v>40</v>
      </c>
      <c r="F556" t="s">
        <v>81</v>
      </c>
      <c r="G556" t="s">
        <v>24</v>
      </c>
      <c r="H556" t="s">
        <v>35</v>
      </c>
      <c r="I556" t="s">
        <v>230</v>
      </c>
      <c r="J556">
        <v>1395</v>
      </c>
      <c r="K556">
        <v>89</v>
      </c>
      <c r="L556" t="s">
        <v>71</v>
      </c>
      <c r="M556">
        <v>154</v>
      </c>
      <c r="N556">
        <v>55.9</v>
      </c>
      <c r="O556">
        <v>73.900000000000006</v>
      </c>
      <c r="P556">
        <v>5.72</v>
      </c>
      <c r="Q556">
        <v>1.1200000000000001</v>
      </c>
      <c r="R556" t="s">
        <v>242</v>
      </c>
      <c r="S556" t="s">
        <v>73</v>
      </c>
      <c r="T556" t="s">
        <v>48</v>
      </c>
      <c r="U556" t="str">
        <f t="shared" si="24"/>
        <v>Normal</v>
      </c>
      <c r="V556" t="str">
        <f t="shared" si="25"/>
        <v>Normal</v>
      </c>
      <c r="W556" t="str">
        <f t="shared" si="26"/>
        <v>Normal</v>
      </c>
    </row>
    <row r="557" spans="1:23" x14ac:dyDescent="0.3">
      <c r="A557">
        <v>10680</v>
      </c>
      <c r="B557" s="2">
        <v>45679</v>
      </c>
      <c r="C557" t="s">
        <v>20</v>
      </c>
      <c r="D557" t="s">
        <v>59</v>
      </c>
      <c r="E557" t="s">
        <v>33</v>
      </c>
      <c r="F557" t="s">
        <v>23</v>
      </c>
      <c r="G557" t="s">
        <v>113</v>
      </c>
      <c r="H557" t="s">
        <v>424</v>
      </c>
      <c r="I557" t="s">
        <v>353</v>
      </c>
      <c r="J557">
        <v>915</v>
      </c>
      <c r="K557">
        <v>13</v>
      </c>
      <c r="L557" t="s">
        <v>57</v>
      </c>
      <c r="M557">
        <v>66</v>
      </c>
      <c r="N557">
        <v>36.200000000000003</v>
      </c>
      <c r="O557">
        <v>73.900000000000006</v>
      </c>
      <c r="P557">
        <v>4.22</v>
      </c>
      <c r="Q557">
        <v>5.25</v>
      </c>
      <c r="R557" t="s">
        <v>105</v>
      </c>
      <c r="S557" t="s">
        <v>73</v>
      </c>
      <c r="T557" t="s">
        <v>30</v>
      </c>
      <c r="U557" t="str">
        <f t="shared" si="24"/>
        <v>Normal</v>
      </c>
      <c r="V557" t="str">
        <f t="shared" si="25"/>
        <v>Normal</v>
      </c>
      <c r="W557" t="str">
        <f t="shared" si="26"/>
        <v>Normal</v>
      </c>
    </row>
    <row r="558" spans="1:23" x14ac:dyDescent="0.3">
      <c r="A558">
        <v>10545</v>
      </c>
      <c r="B558" s="2">
        <v>45773</v>
      </c>
      <c r="C558" t="s">
        <v>31</v>
      </c>
      <c r="D558" t="s">
        <v>32</v>
      </c>
      <c r="E558" t="s">
        <v>22</v>
      </c>
      <c r="F558" t="s">
        <v>41</v>
      </c>
      <c r="G558" t="s">
        <v>54</v>
      </c>
      <c r="H558" t="s">
        <v>35</v>
      </c>
      <c r="I558" t="s">
        <v>358</v>
      </c>
      <c r="J558">
        <v>1140</v>
      </c>
      <c r="K558">
        <v>38</v>
      </c>
      <c r="L558" t="s">
        <v>45</v>
      </c>
      <c r="M558">
        <v>156</v>
      </c>
      <c r="N558">
        <v>32.700000000000003</v>
      </c>
      <c r="O558">
        <v>73.900000000000006</v>
      </c>
      <c r="P558">
        <v>4.8600000000000003</v>
      </c>
      <c r="Q558">
        <v>3.49</v>
      </c>
      <c r="R558" t="s">
        <v>222</v>
      </c>
      <c r="S558" t="s">
        <v>29</v>
      </c>
      <c r="T558" t="s">
        <v>48</v>
      </c>
      <c r="U558" t="str">
        <f t="shared" si="24"/>
        <v>Normal</v>
      </c>
      <c r="V558" t="str">
        <f t="shared" si="25"/>
        <v>Normal</v>
      </c>
      <c r="W558" t="str">
        <f t="shared" si="26"/>
        <v>Normal</v>
      </c>
    </row>
    <row r="559" spans="1:23" x14ac:dyDescent="0.3">
      <c r="A559">
        <v>10313</v>
      </c>
      <c r="B559" s="2">
        <v>45883</v>
      </c>
      <c r="C559" t="s">
        <v>20</v>
      </c>
      <c r="D559" t="s">
        <v>32</v>
      </c>
      <c r="E559" t="s">
        <v>107</v>
      </c>
      <c r="F559" t="s">
        <v>41</v>
      </c>
      <c r="G559" t="s">
        <v>95</v>
      </c>
      <c r="H559" t="s">
        <v>126</v>
      </c>
      <c r="I559" t="s">
        <v>168</v>
      </c>
      <c r="J559">
        <v>577</v>
      </c>
      <c r="K559">
        <v>4</v>
      </c>
      <c r="L559" t="s">
        <v>68</v>
      </c>
      <c r="M559">
        <v>97</v>
      </c>
      <c r="N559">
        <v>40.4</v>
      </c>
      <c r="O559">
        <v>73.900000000000006</v>
      </c>
      <c r="P559">
        <v>4.0999999999999996</v>
      </c>
      <c r="Q559">
        <v>0.15</v>
      </c>
      <c r="R559" t="s">
        <v>167</v>
      </c>
      <c r="S559" t="s">
        <v>47</v>
      </c>
      <c r="T559" t="s">
        <v>30</v>
      </c>
      <c r="U559" t="str">
        <f t="shared" si="24"/>
        <v>Normal</v>
      </c>
      <c r="V559" t="str">
        <f t="shared" si="25"/>
        <v>Normal</v>
      </c>
      <c r="W559" t="str">
        <f t="shared" si="26"/>
        <v>Normal</v>
      </c>
    </row>
    <row r="560" spans="1:23" x14ac:dyDescent="0.3">
      <c r="A560">
        <v>11407</v>
      </c>
      <c r="B560" s="2">
        <v>45785</v>
      </c>
      <c r="C560" t="s">
        <v>31</v>
      </c>
      <c r="D560" t="s">
        <v>21</v>
      </c>
      <c r="E560" t="s">
        <v>22</v>
      </c>
      <c r="F560" t="s">
        <v>81</v>
      </c>
      <c r="G560" t="s">
        <v>54</v>
      </c>
      <c r="H560" t="s">
        <v>180</v>
      </c>
      <c r="I560" t="s">
        <v>357</v>
      </c>
      <c r="J560">
        <v>488</v>
      </c>
      <c r="K560">
        <v>19</v>
      </c>
      <c r="L560" t="s">
        <v>57</v>
      </c>
      <c r="M560">
        <v>32</v>
      </c>
      <c r="N560">
        <v>36</v>
      </c>
      <c r="O560">
        <v>73.900000000000006</v>
      </c>
      <c r="P560">
        <v>4.6399999999999997</v>
      </c>
      <c r="Q560">
        <v>2.66</v>
      </c>
      <c r="R560" t="s">
        <v>179</v>
      </c>
      <c r="S560" t="s">
        <v>47</v>
      </c>
      <c r="T560" t="s">
        <v>48</v>
      </c>
      <c r="U560" t="str">
        <f t="shared" si="24"/>
        <v>Normal</v>
      </c>
      <c r="V560" t="str">
        <f t="shared" si="25"/>
        <v>Normal</v>
      </c>
      <c r="W560" t="str">
        <f t="shared" si="26"/>
        <v>Normal</v>
      </c>
    </row>
    <row r="561" spans="1:23" x14ac:dyDescent="0.3">
      <c r="A561">
        <v>11017</v>
      </c>
      <c r="B561" s="2">
        <v>45858</v>
      </c>
      <c r="C561" t="s">
        <v>20</v>
      </c>
      <c r="D561" t="s">
        <v>64</v>
      </c>
      <c r="E561" t="s">
        <v>22</v>
      </c>
      <c r="F561" t="s">
        <v>81</v>
      </c>
      <c r="G561" t="s">
        <v>24</v>
      </c>
      <c r="H561" t="s">
        <v>161</v>
      </c>
      <c r="I561" t="s">
        <v>162</v>
      </c>
      <c r="J561">
        <v>769</v>
      </c>
      <c r="K561">
        <v>30</v>
      </c>
      <c r="L561" t="s">
        <v>68</v>
      </c>
      <c r="M561">
        <v>172</v>
      </c>
      <c r="N561">
        <v>34.5</v>
      </c>
      <c r="O561">
        <v>73.900000000000006</v>
      </c>
      <c r="P561">
        <v>5.1100000000000003</v>
      </c>
      <c r="Q561">
        <v>2.31</v>
      </c>
      <c r="R561" t="s">
        <v>164</v>
      </c>
      <c r="S561" t="s">
        <v>73</v>
      </c>
      <c r="T561" t="s">
        <v>48</v>
      </c>
      <c r="U561" t="str">
        <f t="shared" si="24"/>
        <v>Normal</v>
      </c>
      <c r="V561" t="str">
        <f t="shared" si="25"/>
        <v>Normal</v>
      </c>
      <c r="W561" t="str">
        <f t="shared" si="26"/>
        <v>Normal</v>
      </c>
    </row>
    <row r="562" spans="1:23" x14ac:dyDescent="0.3">
      <c r="A562">
        <v>11301</v>
      </c>
      <c r="B562" s="2">
        <v>45762</v>
      </c>
      <c r="C562" t="s">
        <v>31</v>
      </c>
      <c r="D562" t="s">
        <v>32</v>
      </c>
      <c r="E562" t="s">
        <v>33</v>
      </c>
      <c r="F562" t="s">
        <v>23</v>
      </c>
      <c r="G562" t="s">
        <v>113</v>
      </c>
      <c r="H562" t="s">
        <v>131</v>
      </c>
      <c r="I562" t="s">
        <v>157</v>
      </c>
      <c r="J562">
        <v>1326</v>
      </c>
      <c r="K562">
        <v>37</v>
      </c>
      <c r="L562" t="s">
        <v>68</v>
      </c>
      <c r="M562">
        <v>51</v>
      </c>
      <c r="N562">
        <v>46.2</v>
      </c>
      <c r="O562">
        <v>73.8</v>
      </c>
      <c r="P562">
        <v>6.59</v>
      </c>
      <c r="Q562">
        <v>2.2200000000000002</v>
      </c>
      <c r="R562" t="s">
        <v>72</v>
      </c>
      <c r="S562" t="s">
        <v>47</v>
      </c>
      <c r="T562" t="s">
        <v>30</v>
      </c>
      <c r="U562" t="str">
        <f t="shared" si="24"/>
        <v>Normal</v>
      </c>
      <c r="V562" t="str">
        <f t="shared" si="25"/>
        <v>Normal</v>
      </c>
      <c r="W562" t="str">
        <f t="shared" si="26"/>
        <v>Normal</v>
      </c>
    </row>
    <row r="563" spans="1:23" x14ac:dyDescent="0.3">
      <c r="A563">
        <v>10276</v>
      </c>
      <c r="B563" s="2">
        <v>45935</v>
      </c>
      <c r="C563" t="s">
        <v>31</v>
      </c>
      <c r="D563" t="s">
        <v>59</v>
      </c>
      <c r="E563" t="s">
        <v>22</v>
      </c>
      <c r="F563" t="s">
        <v>81</v>
      </c>
      <c r="G563" t="s">
        <v>24</v>
      </c>
      <c r="H563" t="s">
        <v>193</v>
      </c>
      <c r="I563" t="s">
        <v>212</v>
      </c>
      <c r="J563">
        <v>579</v>
      </c>
      <c r="K563">
        <v>4</v>
      </c>
      <c r="L563" t="s">
        <v>68</v>
      </c>
      <c r="M563">
        <v>175</v>
      </c>
      <c r="N563">
        <v>32</v>
      </c>
      <c r="O563">
        <v>73.8</v>
      </c>
      <c r="P563">
        <v>3.97</v>
      </c>
      <c r="Q563">
        <v>3.08</v>
      </c>
      <c r="R563" t="s">
        <v>137</v>
      </c>
      <c r="S563" t="s">
        <v>47</v>
      </c>
      <c r="T563" t="s">
        <v>30</v>
      </c>
      <c r="U563" t="str">
        <f t="shared" si="24"/>
        <v>Normal</v>
      </c>
      <c r="V563" t="str">
        <f t="shared" si="25"/>
        <v>Normal</v>
      </c>
      <c r="W563" t="str">
        <f t="shared" si="26"/>
        <v>Normal</v>
      </c>
    </row>
    <row r="564" spans="1:23" x14ac:dyDescent="0.3">
      <c r="A564">
        <v>11206</v>
      </c>
      <c r="B564" s="2">
        <v>46019</v>
      </c>
      <c r="C564" t="s">
        <v>20</v>
      </c>
      <c r="D564" t="s">
        <v>21</v>
      </c>
      <c r="E564" t="s">
        <v>22</v>
      </c>
      <c r="F564" t="s">
        <v>23</v>
      </c>
      <c r="G564" t="s">
        <v>54</v>
      </c>
      <c r="H564" t="s">
        <v>265</v>
      </c>
      <c r="I564" t="s">
        <v>283</v>
      </c>
      <c r="J564">
        <v>450</v>
      </c>
      <c r="K564">
        <v>5</v>
      </c>
      <c r="L564" t="s">
        <v>27</v>
      </c>
      <c r="M564">
        <v>65</v>
      </c>
      <c r="N564">
        <v>44.6</v>
      </c>
      <c r="O564">
        <v>73.8</v>
      </c>
      <c r="P564">
        <v>5.26</v>
      </c>
      <c r="Q564">
        <v>2.78</v>
      </c>
      <c r="R564" t="s">
        <v>72</v>
      </c>
      <c r="S564" t="s">
        <v>29</v>
      </c>
      <c r="T564" t="s">
        <v>30</v>
      </c>
      <c r="U564" t="str">
        <f t="shared" si="24"/>
        <v>Normal</v>
      </c>
      <c r="V564" t="str">
        <f t="shared" si="25"/>
        <v>Normal</v>
      </c>
      <c r="W564" t="str">
        <f t="shared" si="26"/>
        <v>Normal</v>
      </c>
    </row>
    <row r="565" spans="1:23" x14ac:dyDescent="0.3">
      <c r="A565">
        <v>11177</v>
      </c>
      <c r="B565" s="2">
        <v>45711</v>
      </c>
      <c r="C565" t="s">
        <v>31</v>
      </c>
      <c r="D565" t="s">
        <v>59</v>
      </c>
      <c r="E565" t="s">
        <v>40</v>
      </c>
      <c r="F565" t="s">
        <v>23</v>
      </c>
      <c r="G565" t="s">
        <v>42</v>
      </c>
      <c r="H565" t="s">
        <v>88</v>
      </c>
      <c r="I565" t="s">
        <v>203</v>
      </c>
      <c r="J565">
        <v>1444</v>
      </c>
      <c r="K565">
        <v>45</v>
      </c>
      <c r="L565" t="s">
        <v>27</v>
      </c>
      <c r="M565">
        <v>170</v>
      </c>
      <c r="N565">
        <v>42</v>
      </c>
      <c r="O565">
        <v>73.8</v>
      </c>
      <c r="P565">
        <v>5.52</v>
      </c>
      <c r="Q565">
        <v>3.27</v>
      </c>
      <c r="R565" t="s">
        <v>133</v>
      </c>
      <c r="S565" t="s">
        <v>29</v>
      </c>
      <c r="T565" t="s">
        <v>48</v>
      </c>
      <c r="U565" t="str">
        <f t="shared" si="24"/>
        <v>Normal</v>
      </c>
      <c r="V565" t="str">
        <f t="shared" si="25"/>
        <v>Normal</v>
      </c>
      <c r="W565" t="str">
        <f t="shared" si="26"/>
        <v>Normal</v>
      </c>
    </row>
    <row r="566" spans="1:23" x14ac:dyDescent="0.3">
      <c r="A566">
        <v>10213</v>
      </c>
      <c r="B566" s="2">
        <v>45727</v>
      </c>
      <c r="C566" t="s">
        <v>20</v>
      </c>
      <c r="D566" t="s">
        <v>32</v>
      </c>
      <c r="E566" t="s">
        <v>107</v>
      </c>
      <c r="F566" t="s">
        <v>23</v>
      </c>
      <c r="G566" t="s">
        <v>50</v>
      </c>
      <c r="H566" t="s">
        <v>190</v>
      </c>
      <c r="I566" t="s">
        <v>233</v>
      </c>
      <c r="J566">
        <v>699</v>
      </c>
      <c r="K566">
        <v>3</v>
      </c>
      <c r="L566" t="s">
        <v>37</v>
      </c>
      <c r="M566">
        <v>22</v>
      </c>
      <c r="N566">
        <v>55.3</v>
      </c>
      <c r="O566">
        <v>73.8</v>
      </c>
      <c r="P566">
        <v>6.31</v>
      </c>
      <c r="Q566">
        <v>0.55000000000000004</v>
      </c>
      <c r="R566" t="s">
        <v>240</v>
      </c>
      <c r="S566" t="s">
        <v>47</v>
      </c>
      <c r="T566" t="s">
        <v>30</v>
      </c>
      <c r="U566" t="str">
        <f t="shared" si="24"/>
        <v>Normal</v>
      </c>
      <c r="V566" t="str">
        <f t="shared" si="25"/>
        <v>Normal</v>
      </c>
      <c r="W566" t="str">
        <f t="shared" si="26"/>
        <v>Normal</v>
      </c>
    </row>
    <row r="567" spans="1:23" x14ac:dyDescent="0.3">
      <c r="A567">
        <v>10751</v>
      </c>
      <c r="B567" s="2">
        <v>45977</v>
      </c>
      <c r="C567" t="s">
        <v>20</v>
      </c>
      <c r="D567" t="s">
        <v>59</v>
      </c>
      <c r="E567" t="s">
        <v>33</v>
      </c>
      <c r="F567" t="s">
        <v>23</v>
      </c>
      <c r="G567" t="s">
        <v>50</v>
      </c>
      <c r="H567" t="s">
        <v>165</v>
      </c>
      <c r="I567" t="s">
        <v>255</v>
      </c>
      <c r="J567">
        <v>1212</v>
      </c>
      <c r="K567">
        <v>9</v>
      </c>
      <c r="L567" t="s">
        <v>71</v>
      </c>
      <c r="M567">
        <v>165</v>
      </c>
      <c r="N567">
        <v>42.8</v>
      </c>
      <c r="O567">
        <v>73.8</v>
      </c>
      <c r="P567">
        <v>6.42</v>
      </c>
      <c r="Q567">
        <v>3.12</v>
      </c>
      <c r="R567" t="s">
        <v>222</v>
      </c>
      <c r="S567" t="s">
        <v>39</v>
      </c>
      <c r="T567" t="s">
        <v>30</v>
      </c>
      <c r="U567" t="str">
        <f t="shared" si="24"/>
        <v>Normal</v>
      </c>
      <c r="V567" t="str">
        <f t="shared" si="25"/>
        <v>Normal</v>
      </c>
      <c r="W567" t="str">
        <f t="shared" si="26"/>
        <v>Normal</v>
      </c>
    </row>
    <row r="568" spans="1:23" x14ac:dyDescent="0.3">
      <c r="A568">
        <v>11119</v>
      </c>
      <c r="B568" s="2">
        <v>45853</v>
      </c>
      <c r="C568" t="s">
        <v>20</v>
      </c>
      <c r="D568" t="s">
        <v>64</v>
      </c>
      <c r="E568" t="s">
        <v>33</v>
      </c>
      <c r="F568" t="s">
        <v>23</v>
      </c>
      <c r="G568" t="s">
        <v>42</v>
      </c>
      <c r="H568" t="s">
        <v>114</v>
      </c>
      <c r="I568" t="s">
        <v>187</v>
      </c>
      <c r="J568">
        <v>1406</v>
      </c>
      <c r="K568">
        <v>34</v>
      </c>
      <c r="L568" t="s">
        <v>37</v>
      </c>
      <c r="M568">
        <v>172</v>
      </c>
      <c r="N568">
        <v>48.6</v>
      </c>
      <c r="O568">
        <v>73.8</v>
      </c>
      <c r="P568">
        <v>6.17</v>
      </c>
      <c r="Q568">
        <v>2.39</v>
      </c>
      <c r="R568" t="s">
        <v>140</v>
      </c>
      <c r="S568" t="s">
        <v>73</v>
      </c>
      <c r="T568" t="s">
        <v>30</v>
      </c>
      <c r="U568" t="str">
        <f t="shared" si="24"/>
        <v>Normal</v>
      </c>
      <c r="V568" t="str">
        <f t="shared" si="25"/>
        <v>Normal</v>
      </c>
      <c r="W568" t="str">
        <f t="shared" si="26"/>
        <v>Normal</v>
      </c>
    </row>
    <row r="569" spans="1:23" x14ac:dyDescent="0.3">
      <c r="A569">
        <v>11276</v>
      </c>
      <c r="B569" s="2">
        <v>45675</v>
      </c>
      <c r="C569" t="s">
        <v>49</v>
      </c>
      <c r="D569" t="s">
        <v>64</v>
      </c>
      <c r="E569" t="s">
        <v>33</v>
      </c>
      <c r="F569" t="s">
        <v>41</v>
      </c>
      <c r="G569" t="s">
        <v>50</v>
      </c>
      <c r="H569" t="s">
        <v>177</v>
      </c>
      <c r="I569" t="s">
        <v>330</v>
      </c>
      <c r="J569">
        <v>1432</v>
      </c>
      <c r="K569">
        <v>20</v>
      </c>
      <c r="L569" t="s">
        <v>57</v>
      </c>
      <c r="M569">
        <v>71</v>
      </c>
      <c r="N569">
        <v>54.3</v>
      </c>
      <c r="O569">
        <v>73.8</v>
      </c>
      <c r="P569">
        <v>6.68</v>
      </c>
      <c r="Q569">
        <v>3.86</v>
      </c>
      <c r="R569" t="s">
        <v>222</v>
      </c>
      <c r="S569" t="s">
        <v>47</v>
      </c>
      <c r="T569" t="s">
        <v>30</v>
      </c>
      <c r="U569" t="str">
        <f t="shared" si="24"/>
        <v>Normal</v>
      </c>
      <c r="V569" t="str">
        <f t="shared" si="25"/>
        <v>Normal</v>
      </c>
      <c r="W569" t="str">
        <f t="shared" si="26"/>
        <v>Normal</v>
      </c>
    </row>
    <row r="570" spans="1:23" x14ac:dyDescent="0.3">
      <c r="A570">
        <v>11351</v>
      </c>
      <c r="B570" s="2">
        <v>45866</v>
      </c>
      <c r="C570" t="s">
        <v>31</v>
      </c>
      <c r="D570" t="s">
        <v>21</v>
      </c>
      <c r="E570" t="s">
        <v>22</v>
      </c>
      <c r="F570" t="s">
        <v>81</v>
      </c>
      <c r="G570" t="s">
        <v>60</v>
      </c>
      <c r="H570" t="s">
        <v>193</v>
      </c>
      <c r="I570" t="s">
        <v>166</v>
      </c>
      <c r="J570">
        <v>910</v>
      </c>
      <c r="K570">
        <v>7</v>
      </c>
      <c r="L570" t="s">
        <v>68</v>
      </c>
      <c r="M570">
        <v>141</v>
      </c>
      <c r="N570">
        <v>37.299999999999997</v>
      </c>
      <c r="O570">
        <v>73.7</v>
      </c>
      <c r="P570">
        <v>4.76</v>
      </c>
      <c r="Q570">
        <v>1.99</v>
      </c>
      <c r="R570" t="s">
        <v>28</v>
      </c>
      <c r="S570" t="s">
        <v>29</v>
      </c>
      <c r="T570" t="s">
        <v>30</v>
      </c>
      <c r="U570" t="str">
        <f t="shared" si="24"/>
        <v>Normal</v>
      </c>
      <c r="V570" t="str">
        <f t="shared" si="25"/>
        <v>Normal</v>
      </c>
      <c r="W570" t="str">
        <f t="shared" si="26"/>
        <v>Normal</v>
      </c>
    </row>
    <row r="571" spans="1:23" x14ac:dyDescent="0.3">
      <c r="A571">
        <v>11256</v>
      </c>
      <c r="B571" s="2">
        <v>45739</v>
      </c>
      <c r="C571" t="s">
        <v>20</v>
      </c>
      <c r="D571" t="s">
        <v>32</v>
      </c>
      <c r="E571" t="s">
        <v>33</v>
      </c>
      <c r="F571" t="s">
        <v>23</v>
      </c>
      <c r="G571" t="s">
        <v>89</v>
      </c>
      <c r="H571" t="s">
        <v>126</v>
      </c>
      <c r="I571" t="s">
        <v>121</v>
      </c>
      <c r="J571">
        <v>779</v>
      </c>
      <c r="K571">
        <v>11</v>
      </c>
      <c r="L571" t="s">
        <v>57</v>
      </c>
      <c r="M571">
        <v>17</v>
      </c>
      <c r="N571">
        <v>42.9</v>
      </c>
      <c r="O571">
        <v>73.7</v>
      </c>
      <c r="P571">
        <v>4.8899999999999997</v>
      </c>
      <c r="Q571">
        <v>5</v>
      </c>
      <c r="R571" t="s">
        <v>125</v>
      </c>
      <c r="S571" t="s">
        <v>39</v>
      </c>
      <c r="T571" t="s">
        <v>30</v>
      </c>
      <c r="U571" t="str">
        <f t="shared" si="24"/>
        <v>Normal</v>
      </c>
      <c r="V571" t="str">
        <f t="shared" si="25"/>
        <v>Normal</v>
      </c>
      <c r="W571" t="str">
        <f t="shared" si="26"/>
        <v>Normal</v>
      </c>
    </row>
    <row r="572" spans="1:23" x14ac:dyDescent="0.3">
      <c r="A572">
        <v>11380</v>
      </c>
      <c r="B572" s="2">
        <v>45704</v>
      </c>
      <c r="C572" t="s">
        <v>49</v>
      </c>
      <c r="D572" t="s">
        <v>64</v>
      </c>
      <c r="E572" t="s">
        <v>40</v>
      </c>
      <c r="F572" t="s">
        <v>41</v>
      </c>
      <c r="G572" t="s">
        <v>109</v>
      </c>
      <c r="H572" t="s">
        <v>93</v>
      </c>
      <c r="I572" t="s">
        <v>275</v>
      </c>
      <c r="J572">
        <v>589</v>
      </c>
      <c r="K572">
        <v>8</v>
      </c>
      <c r="L572" t="s">
        <v>27</v>
      </c>
      <c r="M572">
        <v>67</v>
      </c>
      <c r="N572">
        <v>50.6</v>
      </c>
      <c r="O572">
        <v>73.7</v>
      </c>
      <c r="P572">
        <v>6.6</v>
      </c>
      <c r="Q572">
        <v>1.32</v>
      </c>
      <c r="R572" t="s">
        <v>152</v>
      </c>
      <c r="S572" t="s">
        <v>73</v>
      </c>
      <c r="T572" t="s">
        <v>30</v>
      </c>
      <c r="U572" t="str">
        <f t="shared" si="24"/>
        <v>Normal</v>
      </c>
      <c r="V572" t="str">
        <f t="shared" si="25"/>
        <v>Normal</v>
      </c>
      <c r="W572" t="str">
        <f t="shared" si="26"/>
        <v>Normal</v>
      </c>
    </row>
    <row r="573" spans="1:23" x14ac:dyDescent="0.3">
      <c r="A573">
        <v>10765</v>
      </c>
      <c r="B573" s="2">
        <v>45992</v>
      </c>
      <c r="C573" t="s">
        <v>49</v>
      </c>
      <c r="D573" t="s">
        <v>21</v>
      </c>
      <c r="E573" t="s">
        <v>40</v>
      </c>
      <c r="F573" t="s">
        <v>41</v>
      </c>
      <c r="G573" t="s">
        <v>42</v>
      </c>
      <c r="H573" t="s">
        <v>252</v>
      </c>
      <c r="I573" t="s">
        <v>191</v>
      </c>
      <c r="J573">
        <v>896</v>
      </c>
      <c r="K573">
        <v>10</v>
      </c>
      <c r="L573" t="s">
        <v>27</v>
      </c>
      <c r="M573">
        <v>23</v>
      </c>
      <c r="N573">
        <v>56</v>
      </c>
      <c r="O573">
        <v>73.7</v>
      </c>
      <c r="P573">
        <v>3.94</v>
      </c>
      <c r="Q573">
        <v>2.46</v>
      </c>
      <c r="R573" t="s">
        <v>179</v>
      </c>
      <c r="S573" t="s">
        <v>73</v>
      </c>
      <c r="T573" t="s">
        <v>30</v>
      </c>
      <c r="U573" t="str">
        <f t="shared" si="24"/>
        <v>Normal</v>
      </c>
      <c r="V573" t="str">
        <f t="shared" si="25"/>
        <v>Normal</v>
      </c>
      <c r="W573" t="str">
        <f t="shared" si="26"/>
        <v>Normal</v>
      </c>
    </row>
    <row r="574" spans="1:23" x14ac:dyDescent="0.3">
      <c r="A574">
        <v>10692</v>
      </c>
      <c r="B574" s="2">
        <v>45771</v>
      </c>
      <c r="C574" t="s">
        <v>20</v>
      </c>
      <c r="D574" t="s">
        <v>21</v>
      </c>
      <c r="E574" t="s">
        <v>40</v>
      </c>
      <c r="F574" t="s">
        <v>81</v>
      </c>
      <c r="G574" t="s">
        <v>24</v>
      </c>
      <c r="H574" t="s">
        <v>265</v>
      </c>
      <c r="I574" t="s">
        <v>224</v>
      </c>
      <c r="J574">
        <v>1294</v>
      </c>
      <c r="K574">
        <v>14</v>
      </c>
      <c r="L574" t="s">
        <v>71</v>
      </c>
      <c r="M574">
        <v>123</v>
      </c>
      <c r="N574">
        <v>41</v>
      </c>
      <c r="O574">
        <v>73.7</v>
      </c>
      <c r="P574">
        <v>5.67</v>
      </c>
      <c r="Q574">
        <v>2.87</v>
      </c>
      <c r="R574" t="s">
        <v>125</v>
      </c>
      <c r="S574" t="s">
        <v>47</v>
      </c>
      <c r="T574" t="s">
        <v>30</v>
      </c>
      <c r="U574" t="str">
        <f t="shared" si="24"/>
        <v>Normal</v>
      </c>
      <c r="V574" t="str">
        <f t="shared" si="25"/>
        <v>Normal</v>
      </c>
      <c r="W574" t="str">
        <f t="shared" si="26"/>
        <v>Normal</v>
      </c>
    </row>
    <row r="575" spans="1:23" x14ac:dyDescent="0.3">
      <c r="A575">
        <v>10772</v>
      </c>
      <c r="B575" s="2">
        <v>45889</v>
      </c>
      <c r="C575" t="s">
        <v>49</v>
      </c>
      <c r="D575" t="s">
        <v>64</v>
      </c>
      <c r="E575" t="s">
        <v>107</v>
      </c>
      <c r="F575" t="s">
        <v>23</v>
      </c>
      <c r="G575" t="s">
        <v>89</v>
      </c>
      <c r="H575" t="s">
        <v>190</v>
      </c>
      <c r="I575" t="s">
        <v>296</v>
      </c>
      <c r="J575">
        <v>536</v>
      </c>
      <c r="K575">
        <v>8</v>
      </c>
      <c r="L575" t="s">
        <v>424</v>
      </c>
      <c r="M575">
        <v>7</v>
      </c>
      <c r="N575">
        <v>43.9</v>
      </c>
      <c r="O575">
        <v>73.7</v>
      </c>
      <c r="P575">
        <v>5.09</v>
      </c>
      <c r="Q575">
        <v>3.51</v>
      </c>
      <c r="R575" t="s">
        <v>202</v>
      </c>
      <c r="S575" t="s">
        <v>47</v>
      </c>
      <c r="T575" t="s">
        <v>30</v>
      </c>
      <c r="U575" t="str">
        <f t="shared" si="24"/>
        <v>Normal</v>
      </c>
      <c r="V575" t="str">
        <f t="shared" si="25"/>
        <v>Normal</v>
      </c>
      <c r="W575" t="str">
        <f t="shared" si="26"/>
        <v>Normal</v>
      </c>
    </row>
    <row r="576" spans="1:23" x14ac:dyDescent="0.3">
      <c r="A576">
        <v>10943</v>
      </c>
      <c r="B576" s="2">
        <v>45971</v>
      </c>
      <c r="C576" t="s">
        <v>49</v>
      </c>
      <c r="D576" t="s">
        <v>64</v>
      </c>
      <c r="E576" t="s">
        <v>40</v>
      </c>
      <c r="F576" t="s">
        <v>23</v>
      </c>
      <c r="G576" t="s">
        <v>50</v>
      </c>
      <c r="H576" t="s">
        <v>25</v>
      </c>
      <c r="I576" t="s">
        <v>121</v>
      </c>
      <c r="J576">
        <v>612</v>
      </c>
      <c r="K576">
        <v>8</v>
      </c>
      <c r="L576" t="s">
        <v>37</v>
      </c>
      <c r="M576">
        <v>173</v>
      </c>
      <c r="N576">
        <v>60.6</v>
      </c>
      <c r="O576">
        <v>73.7</v>
      </c>
      <c r="P576">
        <v>5.35</v>
      </c>
      <c r="Q576">
        <v>2.19</v>
      </c>
      <c r="R576" t="s">
        <v>243</v>
      </c>
      <c r="S576" t="s">
        <v>47</v>
      </c>
      <c r="T576" t="s">
        <v>30</v>
      </c>
      <c r="U576" t="str">
        <f t="shared" si="24"/>
        <v>Normal</v>
      </c>
      <c r="V576" t="str">
        <f t="shared" si="25"/>
        <v>Normal</v>
      </c>
      <c r="W576" t="str">
        <f t="shared" si="26"/>
        <v>Normal</v>
      </c>
    </row>
    <row r="577" spans="1:23" x14ac:dyDescent="0.3">
      <c r="A577">
        <v>10186</v>
      </c>
      <c r="B577" s="2">
        <v>45881</v>
      </c>
      <c r="C577" t="s">
        <v>49</v>
      </c>
      <c r="D577" t="s">
        <v>59</v>
      </c>
      <c r="E577" t="s">
        <v>107</v>
      </c>
      <c r="F577" t="s">
        <v>23</v>
      </c>
      <c r="G577" t="s">
        <v>134</v>
      </c>
      <c r="H577" t="s">
        <v>120</v>
      </c>
      <c r="I577" t="s">
        <v>343</v>
      </c>
      <c r="J577">
        <v>1348</v>
      </c>
      <c r="K577">
        <v>3</v>
      </c>
      <c r="L577" t="s">
        <v>37</v>
      </c>
      <c r="M577">
        <v>120</v>
      </c>
      <c r="N577">
        <v>37.799999999999997</v>
      </c>
      <c r="O577">
        <v>73.7</v>
      </c>
      <c r="P577">
        <v>6.16</v>
      </c>
      <c r="Q577">
        <v>2.2599999999999998</v>
      </c>
      <c r="R577" t="s">
        <v>122</v>
      </c>
      <c r="S577" t="s">
        <v>47</v>
      </c>
      <c r="T577" t="s">
        <v>30</v>
      </c>
      <c r="U577" t="str">
        <f t="shared" si="24"/>
        <v>Normal</v>
      </c>
      <c r="V577" t="str">
        <f t="shared" si="25"/>
        <v>Normal</v>
      </c>
      <c r="W577" t="str">
        <f t="shared" si="26"/>
        <v>Normal</v>
      </c>
    </row>
    <row r="578" spans="1:23" x14ac:dyDescent="0.3">
      <c r="A578">
        <v>10785</v>
      </c>
      <c r="B578" s="2">
        <v>45953</v>
      </c>
      <c r="C578" t="s">
        <v>49</v>
      </c>
      <c r="D578" t="s">
        <v>64</v>
      </c>
      <c r="E578" t="s">
        <v>33</v>
      </c>
      <c r="F578" t="s">
        <v>23</v>
      </c>
      <c r="G578" t="s">
        <v>50</v>
      </c>
      <c r="H578" t="s">
        <v>85</v>
      </c>
      <c r="I578" t="s">
        <v>146</v>
      </c>
      <c r="J578">
        <v>459</v>
      </c>
      <c r="K578">
        <v>3</v>
      </c>
      <c r="L578" t="s">
        <v>37</v>
      </c>
      <c r="M578">
        <v>125</v>
      </c>
      <c r="N578">
        <v>42.8</v>
      </c>
      <c r="O578">
        <v>73.7</v>
      </c>
      <c r="P578">
        <v>4.3499999999999996</v>
      </c>
      <c r="Q578">
        <v>4.1900000000000004</v>
      </c>
      <c r="R578" t="s">
        <v>229</v>
      </c>
      <c r="S578" t="s">
        <v>73</v>
      </c>
      <c r="T578" t="s">
        <v>30</v>
      </c>
      <c r="U578" t="str">
        <f t="shared" ref="U578:U641" si="27">IF(OR(O578&lt;20,O578&gt;100),"Investigate","Normal")</f>
        <v>Normal</v>
      </c>
      <c r="V578" t="str">
        <f t="shared" ref="V578:V641" si="28">IF(OR(P578&lt;2,P578&gt;10),"Investigate","Normal")</f>
        <v>Normal</v>
      </c>
      <c r="W578" t="str">
        <f t="shared" ref="W578:W641" si="29">IF(Q578&gt;10,"Investigate","Normal")</f>
        <v>Normal</v>
      </c>
    </row>
    <row r="579" spans="1:23" x14ac:dyDescent="0.3">
      <c r="A579">
        <v>10464</v>
      </c>
      <c r="B579" s="2">
        <v>45879</v>
      </c>
      <c r="C579" t="s">
        <v>49</v>
      </c>
      <c r="D579" t="s">
        <v>59</v>
      </c>
      <c r="E579" t="s">
        <v>107</v>
      </c>
      <c r="F579" t="s">
        <v>23</v>
      </c>
      <c r="G579" t="s">
        <v>60</v>
      </c>
      <c r="H579" t="s">
        <v>192</v>
      </c>
      <c r="I579" t="s">
        <v>104</v>
      </c>
      <c r="J579">
        <v>1348</v>
      </c>
      <c r="K579">
        <v>40</v>
      </c>
      <c r="L579" t="s">
        <v>68</v>
      </c>
      <c r="M579">
        <v>21</v>
      </c>
      <c r="N579">
        <v>42.3</v>
      </c>
      <c r="O579">
        <v>73.7</v>
      </c>
      <c r="P579">
        <v>5.65</v>
      </c>
      <c r="Q579">
        <v>2.0299999999999998</v>
      </c>
      <c r="R579" t="s">
        <v>128</v>
      </c>
      <c r="S579" t="s">
        <v>39</v>
      </c>
      <c r="T579" t="s">
        <v>30</v>
      </c>
      <c r="U579" t="str">
        <f t="shared" si="27"/>
        <v>Normal</v>
      </c>
      <c r="V579" t="str">
        <f t="shared" si="28"/>
        <v>Normal</v>
      </c>
      <c r="W579" t="str">
        <f t="shared" si="29"/>
        <v>Normal</v>
      </c>
    </row>
    <row r="580" spans="1:23" x14ac:dyDescent="0.3">
      <c r="A580">
        <v>11088</v>
      </c>
      <c r="B580" s="2">
        <v>45999</v>
      </c>
      <c r="C580" t="s">
        <v>49</v>
      </c>
      <c r="D580" t="s">
        <v>32</v>
      </c>
      <c r="E580" t="s">
        <v>40</v>
      </c>
      <c r="F580" t="s">
        <v>23</v>
      </c>
      <c r="G580" t="s">
        <v>42</v>
      </c>
      <c r="H580" t="s">
        <v>99</v>
      </c>
      <c r="I580" t="s">
        <v>168</v>
      </c>
      <c r="J580">
        <v>1481</v>
      </c>
      <c r="K580">
        <v>13</v>
      </c>
      <c r="L580" t="s">
        <v>57</v>
      </c>
      <c r="M580">
        <v>144</v>
      </c>
      <c r="N580">
        <v>42.6</v>
      </c>
      <c r="O580">
        <v>73.599999999999994</v>
      </c>
      <c r="P580">
        <v>4.2699999999999996</v>
      </c>
      <c r="Q580">
        <v>1.52</v>
      </c>
      <c r="R580" t="s">
        <v>77</v>
      </c>
      <c r="S580" t="s">
        <v>47</v>
      </c>
      <c r="T580" t="s">
        <v>30</v>
      </c>
      <c r="U580" t="str">
        <f t="shared" si="27"/>
        <v>Normal</v>
      </c>
      <c r="V580" t="str">
        <f t="shared" si="28"/>
        <v>Normal</v>
      </c>
      <c r="W580" t="str">
        <f t="shared" si="29"/>
        <v>Normal</v>
      </c>
    </row>
    <row r="581" spans="1:23" x14ac:dyDescent="0.3">
      <c r="A581">
        <v>10553</v>
      </c>
      <c r="B581" s="2">
        <v>45973</v>
      </c>
      <c r="C581" t="s">
        <v>20</v>
      </c>
      <c r="D581" t="s">
        <v>64</v>
      </c>
      <c r="E581" t="s">
        <v>22</v>
      </c>
      <c r="F581" t="s">
        <v>23</v>
      </c>
      <c r="G581" t="s">
        <v>50</v>
      </c>
      <c r="H581" t="s">
        <v>138</v>
      </c>
      <c r="I581" t="s">
        <v>52</v>
      </c>
      <c r="J581">
        <v>1505</v>
      </c>
      <c r="K581">
        <v>52</v>
      </c>
      <c r="L581" t="s">
        <v>68</v>
      </c>
      <c r="M581">
        <v>90</v>
      </c>
      <c r="N581">
        <v>54</v>
      </c>
      <c r="O581">
        <v>73.599999999999994</v>
      </c>
      <c r="P581">
        <v>5.16</v>
      </c>
      <c r="Q581">
        <v>4.01</v>
      </c>
      <c r="R581" t="s">
        <v>87</v>
      </c>
      <c r="S581" t="s">
        <v>39</v>
      </c>
      <c r="T581" t="s">
        <v>48</v>
      </c>
      <c r="U581" t="str">
        <f t="shared" si="27"/>
        <v>Normal</v>
      </c>
      <c r="V581" t="str">
        <f t="shared" si="28"/>
        <v>Normal</v>
      </c>
      <c r="W581" t="str">
        <f t="shared" si="29"/>
        <v>Normal</v>
      </c>
    </row>
    <row r="582" spans="1:23" x14ac:dyDescent="0.3">
      <c r="A582">
        <v>10782</v>
      </c>
      <c r="B582" s="2">
        <v>45798</v>
      </c>
      <c r="C582" t="s">
        <v>31</v>
      </c>
      <c r="D582" t="s">
        <v>21</v>
      </c>
      <c r="E582" t="s">
        <v>33</v>
      </c>
      <c r="F582" t="s">
        <v>41</v>
      </c>
      <c r="G582" t="s">
        <v>89</v>
      </c>
      <c r="H582" t="s">
        <v>144</v>
      </c>
      <c r="I582" t="s">
        <v>97</v>
      </c>
      <c r="J582">
        <v>678</v>
      </c>
      <c r="K582">
        <v>4</v>
      </c>
      <c r="L582" t="s">
        <v>57</v>
      </c>
      <c r="M582">
        <v>55</v>
      </c>
      <c r="N582">
        <v>39.299999999999997</v>
      </c>
      <c r="O582">
        <v>73.599999999999994</v>
      </c>
      <c r="P582">
        <v>5.35</v>
      </c>
      <c r="Q582">
        <v>3.16</v>
      </c>
      <c r="R582" t="s">
        <v>232</v>
      </c>
      <c r="S582" t="s">
        <v>73</v>
      </c>
      <c r="T582" t="s">
        <v>30</v>
      </c>
      <c r="U582" t="str">
        <f t="shared" si="27"/>
        <v>Normal</v>
      </c>
      <c r="V582" t="str">
        <f t="shared" si="28"/>
        <v>Normal</v>
      </c>
      <c r="W582" t="str">
        <f t="shared" si="29"/>
        <v>Normal</v>
      </c>
    </row>
    <row r="583" spans="1:23" x14ac:dyDescent="0.3">
      <c r="A583">
        <v>11314</v>
      </c>
      <c r="B583" s="2">
        <v>45761</v>
      </c>
      <c r="C583" t="s">
        <v>49</v>
      </c>
      <c r="D583" t="s">
        <v>59</v>
      </c>
      <c r="E583" t="s">
        <v>107</v>
      </c>
      <c r="F583" t="s">
        <v>41</v>
      </c>
      <c r="G583" t="s">
        <v>60</v>
      </c>
      <c r="H583" t="s">
        <v>196</v>
      </c>
      <c r="I583" t="s">
        <v>194</v>
      </c>
      <c r="J583">
        <v>523</v>
      </c>
      <c r="K583">
        <v>7</v>
      </c>
      <c r="L583" t="s">
        <v>71</v>
      </c>
      <c r="M583">
        <v>178</v>
      </c>
      <c r="N583">
        <v>46.9</v>
      </c>
      <c r="O583">
        <v>73.599999999999994</v>
      </c>
      <c r="P583">
        <v>6.83</v>
      </c>
      <c r="Q583">
        <v>2.19</v>
      </c>
      <c r="R583" t="s">
        <v>189</v>
      </c>
      <c r="S583" t="s">
        <v>73</v>
      </c>
      <c r="T583" t="s">
        <v>30</v>
      </c>
      <c r="U583" t="str">
        <f t="shared" si="27"/>
        <v>Normal</v>
      </c>
      <c r="V583" t="str">
        <f t="shared" si="28"/>
        <v>Normal</v>
      </c>
      <c r="W583" t="str">
        <f t="shared" si="29"/>
        <v>Normal</v>
      </c>
    </row>
    <row r="584" spans="1:23" x14ac:dyDescent="0.3">
      <c r="A584">
        <v>11114</v>
      </c>
      <c r="B584" s="2">
        <v>45913</v>
      </c>
      <c r="C584" t="s">
        <v>31</v>
      </c>
      <c r="D584" t="s">
        <v>64</v>
      </c>
      <c r="E584" t="s">
        <v>33</v>
      </c>
      <c r="F584" t="s">
        <v>23</v>
      </c>
      <c r="G584" t="s">
        <v>113</v>
      </c>
      <c r="H584" t="s">
        <v>116</v>
      </c>
      <c r="I584" t="s">
        <v>251</v>
      </c>
      <c r="J584">
        <v>1347</v>
      </c>
      <c r="K584">
        <v>52</v>
      </c>
      <c r="L584" t="s">
        <v>45</v>
      </c>
      <c r="M584">
        <v>127</v>
      </c>
      <c r="N584">
        <v>42.2</v>
      </c>
      <c r="O584">
        <v>73.5</v>
      </c>
      <c r="P584">
        <v>5.6</v>
      </c>
      <c r="Q584">
        <v>3.22</v>
      </c>
      <c r="R584" t="s">
        <v>227</v>
      </c>
      <c r="S584" t="s">
        <v>39</v>
      </c>
      <c r="T584" t="s">
        <v>48</v>
      </c>
      <c r="U584" t="str">
        <f t="shared" si="27"/>
        <v>Normal</v>
      </c>
      <c r="V584" t="str">
        <f t="shared" si="28"/>
        <v>Normal</v>
      </c>
      <c r="W584" t="str">
        <f t="shared" si="29"/>
        <v>Normal</v>
      </c>
    </row>
    <row r="585" spans="1:23" x14ac:dyDescent="0.3">
      <c r="A585">
        <v>10597</v>
      </c>
      <c r="B585" s="2">
        <v>45685</v>
      </c>
      <c r="C585" t="s">
        <v>49</v>
      </c>
      <c r="D585" t="s">
        <v>59</v>
      </c>
      <c r="E585" t="s">
        <v>33</v>
      </c>
      <c r="F585" t="s">
        <v>81</v>
      </c>
      <c r="G585" t="s">
        <v>95</v>
      </c>
      <c r="H585" t="s">
        <v>200</v>
      </c>
      <c r="I585" t="s">
        <v>296</v>
      </c>
      <c r="J585">
        <v>1520</v>
      </c>
      <c r="K585">
        <v>6</v>
      </c>
      <c r="L585" t="s">
        <v>37</v>
      </c>
      <c r="M585">
        <v>63</v>
      </c>
      <c r="N585">
        <v>45.1</v>
      </c>
      <c r="O585">
        <v>73.5</v>
      </c>
      <c r="P585">
        <v>5.46</v>
      </c>
      <c r="Q585">
        <v>3.14</v>
      </c>
      <c r="R585" t="s">
        <v>267</v>
      </c>
      <c r="S585" t="s">
        <v>47</v>
      </c>
      <c r="T585" t="s">
        <v>30</v>
      </c>
      <c r="U585" t="str">
        <f t="shared" si="27"/>
        <v>Normal</v>
      </c>
      <c r="V585" t="str">
        <f t="shared" si="28"/>
        <v>Normal</v>
      </c>
      <c r="W585" t="str">
        <f t="shared" si="29"/>
        <v>Normal</v>
      </c>
    </row>
    <row r="586" spans="1:23" x14ac:dyDescent="0.3">
      <c r="A586">
        <v>11417</v>
      </c>
      <c r="B586" s="2">
        <v>45701</v>
      </c>
      <c r="C586" t="s">
        <v>20</v>
      </c>
      <c r="D586" t="s">
        <v>59</v>
      </c>
      <c r="E586" t="s">
        <v>22</v>
      </c>
      <c r="F586" t="s">
        <v>41</v>
      </c>
      <c r="G586" t="s">
        <v>54</v>
      </c>
      <c r="H586" t="s">
        <v>148</v>
      </c>
      <c r="I586" t="s">
        <v>256</v>
      </c>
      <c r="J586">
        <v>1427</v>
      </c>
      <c r="K586">
        <v>65</v>
      </c>
      <c r="L586" t="s">
        <v>37</v>
      </c>
      <c r="M586">
        <v>150</v>
      </c>
      <c r="N586">
        <v>49</v>
      </c>
      <c r="O586">
        <v>73.5</v>
      </c>
      <c r="P586">
        <v>5.86</v>
      </c>
      <c r="Q586">
        <v>1.21</v>
      </c>
      <c r="R586" t="s">
        <v>53</v>
      </c>
      <c r="S586" t="s">
        <v>39</v>
      </c>
      <c r="T586" t="s">
        <v>48</v>
      </c>
      <c r="U586" t="str">
        <f t="shared" si="27"/>
        <v>Normal</v>
      </c>
      <c r="V586" t="str">
        <f t="shared" si="28"/>
        <v>Normal</v>
      </c>
      <c r="W586" t="str">
        <f t="shared" si="29"/>
        <v>Normal</v>
      </c>
    </row>
    <row r="587" spans="1:23" x14ac:dyDescent="0.3">
      <c r="A587">
        <v>10101</v>
      </c>
      <c r="B587" s="2">
        <v>45665</v>
      </c>
      <c r="C587" t="s">
        <v>20</v>
      </c>
      <c r="D587" t="s">
        <v>21</v>
      </c>
      <c r="E587" t="s">
        <v>22</v>
      </c>
      <c r="F587" t="s">
        <v>41</v>
      </c>
      <c r="G587" t="s">
        <v>89</v>
      </c>
      <c r="H587" t="s">
        <v>90</v>
      </c>
      <c r="I587" t="s">
        <v>268</v>
      </c>
      <c r="J587">
        <v>1405</v>
      </c>
      <c r="K587">
        <v>65</v>
      </c>
      <c r="L587" t="s">
        <v>27</v>
      </c>
      <c r="M587">
        <v>156</v>
      </c>
      <c r="N587">
        <v>25</v>
      </c>
      <c r="O587">
        <v>73.5</v>
      </c>
      <c r="P587">
        <v>5.39</v>
      </c>
      <c r="Q587">
        <v>2.78</v>
      </c>
      <c r="R587" t="s">
        <v>122</v>
      </c>
      <c r="S587" t="s">
        <v>39</v>
      </c>
      <c r="T587" t="s">
        <v>48</v>
      </c>
      <c r="U587" t="str">
        <f t="shared" si="27"/>
        <v>Normal</v>
      </c>
      <c r="V587" t="str">
        <f t="shared" si="28"/>
        <v>Normal</v>
      </c>
      <c r="W587" t="str">
        <f t="shared" si="29"/>
        <v>Normal</v>
      </c>
    </row>
    <row r="588" spans="1:23" x14ac:dyDescent="0.3">
      <c r="A588">
        <v>11171</v>
      </c>
      <c r="B588" s="2">
        <v>45906</v>
      </c>
      <c r="C588" t="s">
        <v>49</v>
      </c>
      <c r="D588" t="s">
        <v>59</v>
      </c>
      <c r="E588" t="s">
        <v>33</v>
      </c>
      <c r="F588" t="s">
        <v>81</v>
      </c>
      <c r="G588" t="s">
        <v>54</v>
      </c>
      <c r="H588" t="s">
        <v>161</v>
      </c>
      <c r="I588" t="s">
        <v>294</v>
      </c>
      <c r="J588">
        <v>479</v>
      </c>
      <c r="K588">
        <v>3</v>
      </c>
      <c r="L588" t="s">
        <v>27</v>
      </c>
      <c r="M588">
        <v>6</v>
      </c>
      <c r="N588">
        <v>31.3</v>
      </c>
      <c r="O588">
        <v>73.400000000000006</v>
      </c>
      <c r="P588">
        <v>5.73</v>
      </c>
      <c r="Q588">
        <v>1.21</v>
      </c>
      <c r="R588" t="s">
        <v>229</v>
      </c>
      <c r="S588" t="s">
        <v>39</v>
      </c>
      <c r="T588" t="s">
        <v>30</v>
      </c>
      <c r="U588" t="str">
        <f t="shared" si="27"/>
        <v>Normal</v>
      </c>
      <c r="V588" t="str">
        <f t="shared" si="28"/>
        <v>Normal</v>
      </c>
      <c r="W588" t="str">
        <f t="shared" si="29"/>
        <v>Normal</v>
      </c>
    </row>
    <row r="589" spans="1:23" x14ac:dyDescent="0.3">
      <c r="A589">
        <v>10548</v>
      </c>
      <c r="B589" s="2">
        <v>45779</v>
      </c>
      <c r="C589" t="s">
        <v>31</v>
      </c>
      <c r="D589" t="s">
        <v>21</v>
      </c>
      <c r="E589" t="s">
        <v>33</v>
      </c>
      <c r="F589" t="s">
        <v>23</v>
      </c>
      <c r="G589" t="s">
        <v>60</v>
      </c>
      <c r="H589" t="s">
        <v>99</v>
      </c>
      <c r="I589" t="s">
        <v>70</v>
      </c>
      <c r="J589">
        <v>832</v>
      </c>
      <c r="K589">
        <v>2</v>
      </c>
      <c r="L589" t="s">
        <v>71</v>
      </c>
      <c r="M589">
        <v>20</v>
      </c>
      <c r="N589">
        <v>45.8</v>
      </c>
      <c r="O589">
        <v>73.400000000000006</v>
      </c>
      <c r="P589">
        <v>6.21</v>
      </c>
      <c r="Q589">
        <v>3.74</v>
      </c>
      <c r="R589" t="s">
        <v>280</v>
      </c>
      <c r="S589" t="s">
        <v>39</v>
      </c>
      <c r="T589" t="s">
        <v>30</v>
      </c>
      <c r="U589" t="str">
        <f t="shared" si="27"/>
        <v>Normal</v>
      </c>
      <c r="V589" t="str">
        <f t="shared" si="28"/>
        <v>Normal</v>
      </c>
      <c r="W589" t="str">
        <f t="shared" si="29"/>
        <v>Normal</v>
      </c>
    </row>
    <row r="590" spans="1:23" x14ac:dyDescent="0.3">
      <c r="A590">
        <v>10312</v>
      </c>
      <c r="B590" s="2">
        <v>45813</v>
      </c>
      <c r="C590" t="s">
        <v>49</v>
      </c>
      <c r="D590" t="s">
        <v>59</v>
      </c>
      <c r="E590" t="s">
        <v>22</v>
      </c>
      <c r="F590" t="s">
        <v>41</v>
      </c>
      <c r="G590" t="s">
        <v>113</v>
      </c>
      <c r="H590" t="s">
        <v>131</v>
      </c>
      <c r="I590" t="s">
        <v>366</v>
      </c>
      <c r="J590">
        <v>1137</v>
      </c>
      <c r="K590">
        <v>17</v>
      </c>
      <c r="L590" t="s">
        <v>37</v>
      </c>
      <c r="M590">
        <v>96</v>
      </c>
      <c r="N590">
        <v>43.1</v>
      </c>
      <c r="O590">
        <v>73.400000000000006</v>
      </c>
      <c r="P590">
        <v>4.67</v>
      </c>
      <c r="Q590">
        <v>3.02</v>
      </c>
      <c r="R590" t="s">
        <v>87</v>
      </c>
      <c r="S590" t="s">
        <v>39</v>
      </c>
      <c r="T590" t="s">
        <v>30</v>
      </c>
      <c r="U590" t="str">
        <f t="shared" si="27"/>
        <v>Normal</v>
      </c>
      <c r="V590" t="str">
        <f t="shared" si="28"/>
        <v>Normal</v>
      </c>
      <c r="W590" t="str">
        <f t="shared" si="29"/>
        <v>Normal</v>
      </c>
    </row>
    <row r="591" spans="1:23" x14ac:dyDescent="0.3">
      <c r="A591">
        <v>10339</v>
      </c>
      <c r="B591" s="2">
        <v>45751</v>
      </c>
      <c r="C591" t="s">
        <v>20</v>
      </c>
      <c r="D591" t="s">
        <v>59</v>
      </c>
      <c r="E591" t="s">
        <v>33</v>
      </c>
      <c r="F591" t="s">
        <v>23</v>
      </c>
      <c r="G591" t="s">
        <v>24</v>
      </c>
      <c r="H591" t="s">
        <v>66</v>
      </c>
      <c r="I591" t="s">
        <v>273</v>
      </c>
      <c r="J591">
        <v>1222</v>
      </c>
      <c r="K591">
        <v>60</v>
      </c>
      <c r="L591" t="s">
        <v>68</v>
      </c>
      <c r="M591">
        <v>135</v>
      </c>
      <c r="N591">
        <v>46.3</v>
      </c>
      <c r="O591">
        <v>73.400000000000006</v>
      </c>
      <c r="P591">
        <v>5.73</v>
      </c>
      <c r="Q591">
        <v>1.88</v>
      </c>
      <c r="R591" t="s">
        <v>111</v>
      </c>
      <c r="S591" t="s">
        <v>47</v>
      </c>
      <c r="T591" t="s">
        <v>48</v>
      </c>
      <c r="U591" t="str">
        <f t="shared" si="27"/>
        <v>Normal</v>
      </c>
      <c r="V591" t="str">
        <f t="shared" si="28"/>
        <v>Normal</v>
      </c>
      <c r="W591" t="str">
        <f t="shared" si="29"/>
        <v>Normal</v>
      </c>
    </row>
    <row r="592" spans="1:23" x14ac:dyDescent="0.3">
      <c r="A592">
        <v>10275</v>
      </c>
      <c r="B592" s="2">
        <v>45866</v>
      </c>
      <c r="C592" t="s">
        <v>20</v>
      </c>
      <c r="D592" t="s">
        <v>59</v>
      </c>
      <c r="E592" t="s">
        <v>40</v>
      </c>
      <c r="F592" t="s">
        <v>23</v>
      </c>
      <c r="G592" t="s">
        <v>60</v>
      </c>
      <c r="H592" t="s">
        <v>265</v>
      </c>
      <c r="I592" t="s">
        <v>257</v>
      </c>
      <c r="J592">
        <v>967</v>
      </c>
      <c r="K592">
        <v>18</v>
      </c>
      <c r="L592" t="s">
        <v>57</v>
      </c>
      <c r="M592">
        <v>45</v>
      </c>
      <c r="N592">
        <v>53.2</v>
      </c>
      <c r="O592">
        <v>73.3</v>
      </c>
      <c r="P592">
        <v>4.49</v>
      </c>
      <c r="Q592">
        <v>3.48</v>
      </c>
      <c r="R592" t="s">
        <v>183</v>
      </c>
      <c r="S592" t="s">
        <v>29</v>
      </c>
      <c r="T592" t="s">
        <v>30</v>
      </c>
      <c r="U592" t="str">
        <f t="shared" si="27"/>
        <v>Normal</v>
      </c>
      <c r="V592" t="str">
        <f t="shared" si="28"/>
        <v>Normal</v>
      </c>
      <c r="W592" t="str">
        <f t="shared" si="29"/>
        <v>Normal</v>
      </c>
    </row>
    <row r="593" spans="1:23" x14ac:dyDescent="0.3">
      <c r="A593">
        <v>11199</v>
      </c>
      <c r="B593" s="2">
        <v>45927</v>
      </c>
      <c r="C593" t="s">
        <v>31</v>
      </c>
      <c r="D593" t="s">
        <v>21</v>
      </c>
      <c r="E593" t="s">
        <v>33</v>
      </c>
      <c r="F593" t="s">
        <v>41</v>
      </c>
      <c r="G593" t="s">
        <v>89</v>
      </c>
      <c r="H593" t="s">
        <v>120</v>
      </c>
      <c r="I593" t="s">
        <v>321</v>
      </c>
      <c r="J593">
        <v>610</v>
      </c>
      <c r="K593">
        <v>6</v>
      </c>
      <c r="L593" t="s">
        <v>71</v>
      </c>
      <c r="M593">
        <v>68</v>
      </c>
      <c r="N593">
        <v>48.8</v>
      </c>
      <c r="O593">
        <v>73.3</v>
      </c>
      <c r="P593">
        <v>4.29</v>
      </c>
      <c r="Q593">
        <v>1.92</v>
      </c>
      <c r="R593" t="s">
        <v>105</v>
      </c>
      <c r="S593" t="s">
        <v>73</v>
      </c>
      <c r="T593" t="s">
        <v>30</v>
      </c>
      <c r="U593" t="str">
        <f t="shared" si="27"/>
        <v>Normal</v>
      </c>
      <c r="V593" t="str">
        <f t="shared" si="28"/>
        <v>Normal</v>
      </c>
      <c r="W593" t="str">
        <f t="shared" si="29"/>
        <v>Normal</v>
      </c>
    </row>
    <row r="594" spans="1:23" x14ac:dyDescent="0.3">
      <c r="A594">
        <v>10300</v>
      </c>
      <c r="B594" s="2">
        <v>45841</v>
      </c>
      <c r="C594" t="s">
        <v>31</v>
      </c>
      <c r="D594" t="s">
        <v>21</v>
      </c>
      <c r="E594" t="s">
        <v>40</v>
      </c>
      <c r="F594" t="s">
        <v>23</v>
      </c>
      <c r="G594" t="s">
        <v>109</v>
      </c>
      <c r="H594" t="s">
        <v>196</v>
      </c>
      <c r="I594" t="s">
        <v>282</v>
      </c>
      <c r="J594">
        <v>1088</v>
      </c>
      <c r="K594">
        <v>7</v>
      </c>
      <c r="L594" t="s">
        <v>37</v>
      </c>
      <c r="M594">
        <v>85</v>
      </c>
      <c r="N594">
        <v>46.1</v>
      </c>
      <c r="O594">
        <v>73.3</v>
      </c>
      <c r="P594">
        <v>5.77</v>
      </c>
      <c r="Q594">
        <v>4.8</v>
      </c>
      <c r="R594" t="s">
        <v>80</v>
      </c>
      <c r="S594" t="s">
        <v>29</v>
      </c>
      <c r="T594" t="s">
        <v>30</v>
      </c>
      <c r="U594" t="str">
        <f t="shared" si="27"/>
        <v>Normal</v>
      </c>
      <c r="V594" t="str">
        <f t="shared" si="28"/>
        <v>Normal</v>
      </c>
      <c r="W594" t="str">
        <f t="shared" si="29"/>
        <v>Normal</v>
      </c>
    </row>
    <row r="595" spans="1:23" x14ac:dyDescent="0.3">
      <c r="A595">
        <v>10543</v>
      </c>
      <c r="B595" s="2">
        <v>45863</v>
      </c>
      <c r="C595" t="s">
        <v>49</v>
      </c>
      <c r="D595" t="s">
        <v>64</v>
      </c>
      <c r="E595" t="s">
        <v>107</v>
      </c>
      <c r="F595" t="s">
        <v>23</v>
      </c>
      <c r="G595" t="s">
        <v>54</v>
      </c>
      <c r="H595" t="s">
        <v>96</v>
      </c>
      <c r="I595" t="s">
        <v>187</v>
      </c>
      <c r="J595">
        <v>1494</v>
      </c>
      <c r="K595">
        <v>11</v>
      </c>
      <c r="L595" t="s">
        <v>45</v>
      </c>
      <c r="M595">
        <v>87</v>
      </c>
      <c r="N595">
        <v>55.9</v>
      </c>
      <c r="O595">
        <v>73.3</v>
      </c>
      <c r="P595">
        <v>4.4400000000000004</v>
      </c>
      <c r="Q595">
        <v>4.8499999999999996</v>
      </c>
      <c r="R595" t="s">
        <v>77</v>
      </c>
      <c r="S595" t="s">
        <v>47</v>
      </c>
      <c r="T595" t="s">
        <v>30</v>
      </c>
      <c r="U595" t="str">
        <f t="shared" si="27"/>
        <v>Normal</v>
      </c>
      <c r="V595" t="str">
        <f t="shared" si="28"/>
        <v>Normal</v>
      </c>
      <c r="W595" t="str">
        <f t="shared" si="29"/>
        <v>Normal</v>
      </c>
    </row>
    <row r="596" spans="1:23" x14ac:dyDescent="0.3">
      <c r="A596">
        <v>11084</v>
      </c>
      <c r="B596" s="2">
        <v>45966</v>
      </c>
      <c r="C596" t="s">
        <v>49</v>
      </c>
      <c r="D596" t="s">
        <v>64</v>
      </c>
      <c r="E596" t="s">
        <v>22</v>
      </c>
      <c r="F596" t="s">
        <v>23</v>
      </c>
      <c r="G596" t="s">
        <v>113</v>
      </c>
      <c r="H596" t="s">
        <v>215</v>
      </c>
      <c r="I596" t="s">
        <v>127</v>
      </c>
      <c r="J596">
        <v>1079</v>
      </c>
      <c r="K596">
        <v>25</v>
      </c>
      <c r="L596" t="s">
        <v>57</v>
      </c>
      <c r="M596">
        <v>95</v>
      </c>
      <c r="N596">
        <v>41.9</v>
      </c>
      <c r="O596">
        <v>73.3</v>
      </c>
      <c r="P596">
        <v>5.12</v>
      </c>
      <c r="Q596">
        <v>3.28</v>
      </c>
      <c r="R596" t="s">
        <v>267</v>
      </c>
      <c r="S596" t="s">
        <v>73</v>
      </c>
      <c r="T596" t="s">
        <v>30</v>
      </c>
      <c r="U596" t="str">
        <f t="shared" si="27"/>
        <v>Normal</v>
      </c>
      <c r="V596" t="str">
        <f t="shared" si="28"/>
        <v>Normal</v>
      </c>
      <c r="W596" t="str">
        <f t="shared" si="29"/>
        <v>Normal</v>
      </c>
    </row>
    <row r="597" spans="1:23" x14ac:dyDescent="0.3">
      <c r="A597">
        <v>10158</v>
      </c>
      <c r="B597" s="2">
        <v>45909</v>
      </c>
      <c r="C597" t="s">
        <v>31</v>
      </c>
      <c r="D597" t="s">
        <v>59</v>
      </c>
      <c r="E597" t="s">
        <v>33</v>
      </c>
      <c r="F597" t="s">
        <v>41</v>
      </c>
      <c r="G597" t="s">
        <v>113</v>
      </c>
      <c r="H597" t="s">
        <v>193</v>
      </c>
      <c r="I597" t="s">
        <v>328</v>
      </c>
      <c r="J597">
        <v>499</v>
      </c>
      <c r="K597">
        <v>7</v>
      </c>
      <c r="L597" t="s">
        <v>71</v>
      </c>
      <c r="M597">
        <v>22</v>
      </c>
      <c r="N597">
        <v>37</v>
      </c>
      <c r="O597">
        <v>73.3</v>
      </c>
      <c r="P597">
        <v>5.33</v>
      </c>
      <c r="Q597">
        <v>2.85</v>
      </c>
      <c r="R597" t="s">
        <v>63</v>
      </c>
      <c r="S597" t="s">
        <v>47</v>
      </c>
      <c r="T597" t="s">
        <v>30</v>
      </c>
      <c r="U597" t="str">
        <f t="shared" si="27"/>
        <v>Normal</v>
      </c>
      <c r="V597" t="str">
        <f t="shared" si="28"/>
        <v>Normal</v>
      </c>
      <c r="W597" t="str">
        <f t="shared" si="29"/>
        <v>Normal</v>
      </c>
    </row>
    <row r="598" spans="1:23" x14ac:dyDescent="0.3">
      <c r="A598">
        <v>10198</v>
      </c>
      <c r="B598" s="2">
        <v>45838</v>
      </c>
      <c r="C598" t="s">
        <v>31</v>
      </c>
      <c r="D598" t="s">
        <v>21</v>
      </c>
      <c r="E598" t="s">
        <v>107</v>
      </c>
      <c r="F598" t="s">
        <v>81</v>
      </c>
      <c r="G598" t="s">
        <v>95</v>
      </c>
      <c r="H598" t="s">
        <v>278</v>
      </c>
      <c r="I598" t="s">
        <v>307</v>
      </c>
      <c r="J598">
        <v>1279</v>
      </c>
      <c r="K598">
        <v>12</v>
      </c>
      <c r="L598" t="s">
        <v>71</v>
      </c>
      <c r="M598">
        <v>123</v>
      </c>
      <c r="N598">
        <v>46.1</v>
      </c>
      <c r="O598">
        <v>73.3</v>
      </c>
      <c r="P598">
        <v>4.84</v>
      </c>
      <c r="Q598">
        <v>3.16</v>
      </c>
      <c r="R598" t="s">
        <v>209</v>
      </c>
      <c r="S598" t="s">
        <v>73</v>
      </c>
      <c r="T598" t="s">
        <v>30</v>
      </c>
      <c r="U598" t="str">
        <f t="shared" si="27"/>
        <v>Normal</v>
      </c>
      <c r="V598" t="str">
        <f t="shared" si="28"/>
        <v>Normal</v>
      </c>
      <c r="W598" t="str">
        <f t="shared" si="29"/>
        <v>Normal</v>
      </c>
    </row>
    <row r="599" spans="1:23" x14ac:dyDescent="0.3">
      <c r="A599">
        <v>10720</v>
      </c>
      <c r="B599" s="2">
        <v>45706</v>
      </c>
      <c r="C599" t="s">
        <v>49</v>
      </c>
      <c r="D599" t="s">
        <v>32</v>
      </c>
      <c r="E599" t="s">
        <v>33</v>
      </c>
      <c r="F599" t="s">
        <v>23</v>
      </c>
      <c r="G599" t="s">
        <v>50</v>
      </c>
      <c r="H599" t="s">
        <v>192</v>
      </c>
      <c r="I599" t="s">
        <v>359</v>
      </c>
      <c r="J599">
        <v>1125</v>
      </c>
      <c r="K599">
        <v>17</v>
      </c>
      <c r="L599" t="s">
        <v>68</v>
      </c>
      <c r="M599">
        <v>114</v>
      </c>
      <c r="N599">
        <v>46.5</v>
      </c>
      <c r="O599">
        <v>73.3</v>
      </c>
      <c r="P599">
        <v>5.69</v>
      </c>
      <c r="Q599">
        <v>2.0299999999999998</v>
      </c>
      <c r="R599" t="s">
        <v>183</v>
      </c>
      <c r="S599" t="s">
        <v>47</v>
      </c>
      <c r="T599" t="s">
        <v>30</v>
      </c>
      <c r="U599" t="str">
        <f t="shared" si="27"/>
        <v>Normal</v>
      </c>
      <c r="V599" t="str">
        <f t="shared" si="28"/>
        <v>Normal</v>
      </c>
      <c r="W599" t="str">
        <f t="shared" si="29"/>
        <v>Normal</v>
      </c>
    </row>
    <row r="600" spans="1:23" x14ac:dyDescent="0.3">
      <c r="A600">
        <v>10277</v>
      </c>
      <c r="B600" s="2">
        <v>45751</v>
      </c>
      <c r="C600" t="s">
        <v>49</v>
      </c>
      <c r="D600" t="s">
        <v>32</v>
      </c>
      <c r="E600" t="s">
        <v>22</v>
      </c>
      <c r="F600" t="s">
        <v>41</v>
      </c>
      <c r="G600" t="s">
        <v>50</v>
      </c>
      <c r="H600" t="s">
        <v>148</v>
      </c>
      <c r="I600" t="s">
        <v>333</v>
      </c>
      <c r="J600">
        <v>1338</v>
      </c>
      <c r="K600">
        <v>7</v>
      </c>
      <c r="L600" t="s">
        <v>37</v>
      </c>
      <c r="M600">
        <v>78</v>
      </c>
      <c r="N600">
        <v>32.299999999999997</v>
      </c>
      <c r="O600">
        <v>73.3</v>
      </c>
      <c r="P600">
        <v>4.32</v>
      </c>
      <c r="Q600">
        <v>1.18</v>
      </c>
      <c r="R600" t="s">
        <v>240</v>
      </c>
      <c r="S600" t="s">
        <v>73</v>
      </c>
      <c r="T600" t="s">
        <v>30</v>
      </c>
      <c r="U600" t="str">
        <f t="shared" si="27"/>
        <v>Normal</v>
      </c>
      <c r="V600" t="str">
        <f t="shared" si="28"/>
        <v>Normal</v>
      </c>
      <c r="W600" t="str">
        <f t="shared" si="29"/>
        <v>Normal</v>
      </c>
    </row>
    <row r="601" spans="1:23" x14ac:dyDescent="0.3">
      <c r="A601">
        <v>10861</v>
      </c>
      <c r="B601" s="2">
        <v>45804</v>
      </c>
      <c r="C601" t="s">
        <v>49</v>
      </c>
      <c r="D601" t="s">
        <v>32</v>
      </c>
      <c r="E601" t="s">
        <v>22</v>
      </c>
      <c r="F601" t="s">
        <v>23</v>
      </c>
      <c r="G601" t="s">
        <v>74</v>
      </c>
      <c r="H601" t="s">
        <v>196</v>
      </c>
      <c r="I601" t="s">
        <v>331</v>
      </c>
      <c r="J601">
        <v>487</v>
      </c>
      <c r="K601">
        <v>24</v>
      </c>
      <c r="L601" t="s">
        <v>37</v>
      </c>
      <c r="M601">
        <v>176</v>
      </c>
      <c r="N601">
        <v>31.7</v>
      </c>
      <c r="O601">
        <v>73.3</v>
      </c>
      <c r="P601">
        <v>5.39</v>
      </c>
      <c r="Q601">
        <v>5.37</v>
      </c>
      <c r="R601" t="s">
        <v>122</v>
      </c>
      <c r="S601" t="s">
        <v>47</v>
      </c>
      <c r="T601" t="s">
        <v>48</v>
      </c>
      <c r="U601" t="str">
        <f t="shared" si="27"/>
        <v>Normal</v>
      </c>
      <c r="V601" t="str">
        <f t="shared" si="28"/>
        <v>Normal</v>
      </c>
      <c r="W601" t="str">
        <f t="shared" si="29"/>
        <v>Normal</v>
      </c>
    </row>
    <row r="602" spans="1:23" x14ac:dyDescent="0.3">
      <c r="A602">
        <v>10706</v>
      </c>
      <c r="B602" s="2">
        <v>45898</v>
      </c>
      <c r="C602" t="s">
        <v>31</v>
      </c>
      <c r="D602" t="s">
        <v>21</v>
      </c>
      <c r="E602" t="s">
        <v>40</v>
      </c>
      <c r="F602" t="s">
        <v>23</v>
      </c>
      <c r="G602" t="s">
        <v>113</v>
      </c>
      <c r="H602" t="s">
        <v>90</v>
      </c>
      <c r="I602" t="s">
        <v>197</v>
      </c>
      <c r="J602">
        <v>735</v>
      </c>
      <c r="K602">
        <v>8</v>
      </c>
      <c r="L602" t="s">
        <v>45</v>
      </c>
      <c r="M602">
        <v>159</v>
      </c>
      <c r="N602">
        <v>35.9</v>
      </c>
      <c r="O602">
        <v>73.2</v>
      </c>
      <c r="P602">
        <v>6.06</v>
      </c>
      <c r="Q602">
        <v>2.39</v>
      </c>
      <c r="R602" t="s">
        <v>46</v>
      </c>
      <c r="S602" t="s">
        <v>39</v>
      </c>
      <c r="T602" t="s">
        <v>30</v>
      </c>
      <c r="U602" t="str">
        <f t="shared" si="27"/>
        <v>Normal</v>
      </c>
      <c r="V602" t="str">
        <f t="shared" si="28"/>
        <v>Normal</v>
      </c>
      <c r="W602" t="str">
        <f t="shared" si="29"/>
        <v>Normal</v>
      </c>
    </row>
    <row r="603" spans="1:23" x14ac:dyDescent="0.3">
      <c r="A603">
        <v>11048</v>
      </c>
      <c r="B603" s="2">
        <v>45948</v>
      </c>
      <c r="C603" t="s">
        <v>31</v>
      </c>
      <c r="D603" t="s">
        <v>64</v>
      </c>
      <c r="E603" t="s">
        <v>33</v>
      </c>
      <c r="F603" t="s">
        <v>41</v>
      </c>
      <c r="G603" t="s">
        <v>34</v>
      </c>
      <c r="H603" t="s">
        <v>90</v>
      </c>
      <c r="I603" t="s">
        <v>355</v>
      </c>
      <c r="J603">
        <v>1248</v>
      </c>
      <c r="K603">
        <v>69</v>
      </c>
      <c r="L603" t="s">
        <v>27</v>
      </c>
      <c r="M603">
        <v>180</v>
      </c>
      <c r="N603">
        <v>50.4</v>
      </c>
      <c r="O603">
        <v>73.2</v>
      </c>
      <c r="P603">
        <v>4.7699999999999996</v>
      </c>
      <c r="Q603">
        <v>2.83</v>
      </c>
      <c r="R603" t="s">
        <v>195</v>
      </c>
      <c r="S603" t="s">
        <v>39</v>
      </c>
      <c r="T603" t="s">
        <v>48</v>
      </c>
      <c r="U603" t="str">
        <f t="shared" si="27"/>
        <v>Normal</v>
      </c>
      <c r="V603" t="str">
        <f t="shared" si="28"/>
        <v>Normal</v>
      </c>
      <c r="W603" t="str">
        <f t="shared" si="29"/>
        <v>Normal</v>
      </c>
    </row>
    <row r="604" spans="1:23" x14ac:dyDescent="0.3">
      <c r="A604">
        <v>11437</v>
      </c>
      <c r="B604" s="2">
        <v>45846</v>
      </c>
      <c r="C604" t="s">
        <v>20</v>
      </c>
      <c r="D604" t="s">
        <v>32</v>
      </c>
      <c r="E604" t="s">
        <v>107</v>
      </c>
      <c r="F604" t="s">
        <v>41</v>
      </c>
      <c r="G604" t="s">
        <v>54</v>
      </c>
      <c r="H604" t="s">
        <v>78</v>
      </c>
      <c r="I604" t="s">
        <v>115</v>
      </c>
      <c r="J604">
        <v>1014</v>
      </c>
      <c r="K604">
        <v>7</v>
      </c>
      <c r="L604" t="s">
        <v>57</v>
      </c>
      <c r="M604">
        <v>49</v>
      </c>
      <c r="N604">
        <v>38.9</v>
      </c>
      <c r="O604">
        <v>73.2</v>
      </c>
      <c r="P604">
        <v>5</v>
      </c>
      <c r="Q604">
        <v>2.21</v>
      </c>
      <c r="R604" t="s">
        <v>155</v>
      </c>
      <c r="S604" t="s">
        <v>39</v>
      </c>
      <c r="T604" t="s">
        <v>30</v>
      </c>
      <c r="U604" t="str">
        <f t="shared" si="27"/>
        <v>Normal</v>
      </c>
      <c r="V604" t="str">
        <f t="shared" si="28"/>
        <v>Normal</v>
      </c>
      <c r="W604" t="str">
        <f t="shared" si="29"/>
        <v>Normal</v>
      </c>
    </row>
    <row r="605" spans="1:23" x14ac:dyDescent="0.3">
      <c r="A605">
        <v>11167</v>
      </c>
      <c r="B605" s="2">
        <v>45735</v>
      </c>
      <c r="C605" t="s">
        <v>49</v>
      </c>
      <c r="D605" t="s">
        <v>21</v>
      </c>
      <c r="E605" t="s">
        <v>22</v>
      </c>
      <c r="F605" t="s">
        <v>81</v>
      </c>
      <c r="G605" t="s">
        <v>89</v>
      </c>
      <c r="H605" t="s">
        <v>25</v>
      </c>
      <c r="I605" t="s">
        <v>381</v>
      </c>
      <c r="J605">
        <v>802</v>
      </c>
      <c r="K605">
        <v>7</v>
      </c>
      <c r="L605" t="s">
        <v>37</v>
      </c>
      <c r="M605">
        <v>19</v>
      </c>
      <c r="N605">
        <v>44.1</v>
      </c>
      <c r="O605">
        <v>73.2</v>
      </c>
      <c r="P605">
        <v>5.61</v>
      </c>
      <c r="Q605">
        <v>2.06</v>
      </c>
      <c r="R605" t="s">
        <v>232</v>
      </c>
      <c r="S605" t="s">
        <v>73</v>
      </c>
      <c r="T605" t="s">
        <v>30</v>
      </c>
      <c r="U605" t="str">
        <f t="shared" si="27"/>
        <v>Normal</v>
      </c>
      <c r="V605" t="str">
        <f t="shared" si="28"/>
        <v>Normal</v>
      </c>
      <c r="W605" t="str">
        <f t="shared" si="29"/>
        <v>Normal</v>
      </c>
    </row>
    <row r="606" spans="1:23" x14ac:dyDescent="0.3">
      <c r="A606">
        <v>11398</v>
      </c>
      <c r="B606" s="2">
        <v>45707</v>
      </c>
      <c r="C606" t="s">
        <v>20</v>
      </c>
      <c r="D606" t="s">
        <v>21</v>
      </c>
      <c r="E606" t="s">
        <v>107</v>
      </c>
      <c r="F606" t="s">
        <v>41</v>
      </c>
      <c r="G606" t="s">
        <v>134</v>
      </c>
      <c r="H606" t="s">
        <v>287</v>
      </c>
      <c r="I606" t="s">
        <v>353</v>
      </c>
      <c r="J606">
        <v>1082</v>
      </c>
      <c r="K606">
        <v>14</v>
      </c>
      <c r="L606" t="s">
        <v>71</v>
      </c>
      <c r="M606">
        <v>74</v>
      </c>
      <c r="N606">
        <v>34.9</v>
      </c>
      <c r="O606">
        <v>73.2</v>
      </c>
      <c r="P606">
        <v>4.88</v>
      </c>
      <c r="Q606">
        <v>3.04</v>
      </c>
      <c r="R606" t="s">
        <v>133</v>
      </c>
      <c r="S606" t="s">
        <v>47</v>
      </c>
      <c r="T606" t="s">
        <v>30</v>
      </c>
      <c r="U606" t="str">
        <f t="shared" si="27"/>
        <v>Normal</v>
      </c>
      <c r="V606" t="str">
        <f t="shared" si="28"/>
        <v>Normal</v>
      </c>
      <c r="W606" t="str">
        <f t="shared" si="29"/>
        <v>Normal</v>
      </c>
    </row>
    <row r="607" spans="1:23" x14ac:dyDescent="0.3">
      <c r="A607">
        <v>10569</v>
      </c>
      <c r="B607" s="2">
        <v>45990</v>
      </c>
      <c r="C607" t="s">
        <v>49</v>
      </c>
      <c r="D607" t="s">
        <v>21</v>
      </c>
      <c r="E607" t="s">
        <v>40</v>
      </c>
      <c r="F607" t="s">
        <v>81</v>
      </c>
      <c r="G607" t="s">
        <v>34</v>
      </c>
      <c r="H607" t="s">
        <v>82</v>
      </c>
      <c r="I607" t="s">
        <v>238</v>
      </c>
      <c r="J607">
        <v>1453</v>
      </c>
      <c r="K607">
        <v>3</v>
      </c>
      <c r="L607" t="s">
        <v>37</v>
      </c>
      <c r="M607">
        <v>31</v>
      </c>
      <c r="N607">
        <v>43</v>
      </c>
      <c r="O607">
        <v>73.2</v>
      </c>
      <c r="P607">
        <v>4.1399999999999997</v>
      </c>
      <c r="Q607">
        <v>2.71</v>
      </c>
      <c r="R607" t="s">
        <v>84</v>
      </c>
      <c r="S607" t="s">
        <v>47</v>
      </c>
      <c r="T607" t="s">
        <v>30</v>
      </c>
      <c r="U607" t="str">
        <f t="shared" si="27"/>
        <v>Normal</v>
      </c>
      <c r="V607" t="str">
        <f t="shared" si="28"/>
        <v>Normal</v>
      </c>
      <c r="W607" t="str">
        <f t="shared" si="29"/>
        <v>Normal</v>
      </c>
    </row>
    <row r="608" spans="1:23" x14ac:dyDescent="0.3">
      <c r="A608">
        <v>10401</v>
      </c>
      <c r="B608" s="2">
        <v>45965</v>
      </c>
      <c r="C608" t="s">
        <v>20</v>
      </c>
      <c r="D608" t="s">
        <v>21</v>
      </c>
      <c r="E608" t="s">
        <v>107</v>
      </c>
      <c r="F608" t="s">
        <v>81</v>
      </c>
      <c r="G608" t="s">
        <v>24</v>
      </c>
      <c r="H608" t="s">
        <v>75</v>
      </c>
      <c r="I608" t="s">
        <v>331</v>
      </c>
      <c r="J608">
        <v>702</v>
      </c>
      <c r="K608">
        <v>5</v>
      </c>
      <c r="L608" t="s">
        <v>27</v>
      </c>
      <c r="M608">
        <v>129</v>
      </c>
      <c r="N608">
        <v>48</v>
      </c>
      <c r="O608">
        <v>73.2</v>
      </c>
      <c r="P608">
        <v>5.28</v>
      </c>
      <c r="Q608">
        <v>1.65</v>
      </c>
      <c r="R608" t="s">
        <v>119</v>
      </c>
      <c r="S608" t="s">
        <v>39</v>
      </c>
      <c r="T608" t="s">
        <v>30</v>
      </c>
      <c r="U608" t="str">
        <f t="shared" si="27"/>
        <v>Normal</v>
      </c>
      <c r="V608" t="str">
        <f t="shared" si="28"/>
        <v>Normal</v>
      </c>
      <c r="W608" t="str">
        <f t="shared" si="29"/>
        <v>Normal</v>
      </c>
    </row>
    <row r="609" spans="1:23" x14ac:dyDescent="0.3">
      <c r="A609">
        <v>10057</v>
      </c>
      <c r="B609" s="2">
        <v>45857</v>
      </c>
      <c r="C609" t="s">
        <v>20</v>
      </c>
      <c r="D609" t="s">
        <v>59</v>
      </c>
      <c r="E609" t="s">
        <v>22</v>
      </c>
      <c r="F609" t="s">
        <v>41</v>
      </c>
      <c r="G609" t="s">
        <v>113</v>
      </c>
      <c r="H609" t="s">
        <v>93</v>
      </c>
      <c r="I609" t="s">
        <v>237</v>
      </c>
      <c r="J609">
        <v>665</v>
      </c>
      <c r="K609">
        <v>21</v>
      </c>
      <c r="L609" t="s">
        <v>57</v>
      </c>
      <c r="M609">
        <v>30</v>
      </c>
      <c r="N609">
        <v>47.7</v>
      </c>
      <c r="O609">
        <v>73.099999999999994</v>
      </c>
      <c r="P609">
        <v>5.56</v>
      </c>
      <c r="Q609">
        <v>2.57</v>
      </c>
      <c r="R609" t="s">
        <v>183</v>
      </c>
      <c r="S609" t="s">
        <v>39</v>
      </c>
      <c r="T609" t="s">
        <v>48</v>
      </c>
      <c r="U609" t="str">
        <f t="shared" si="27"/>
        <v>Normal</v>
      </c>
      <c r="V609" t="str">
        <f t="shared" si="28"/>
        <v>Normal</v>
      </c>
      <c r="W609" t="str">
        <f t="shared" si="29"/>
        <v>Normal</v>
      </c>
    </row>
    <row r="610" spans="1:23" x14ac:dyDescent="0.3">
      <c r="A610">
        <v>10288</v>
      </c>
      <c r="B610" s="2">
        <v>45687</v>
      </c>
      <c r="C610" t="s">
        <v>20</v>
      </c>
      <c r="D610" t="s">
        <v>59</v>
      </c>
      <c r="E610" t="s">
        <v>40</v>
      </c>
      <c r="F610" t="s">
        <v>41</v>
      </c>
      <c r="G610" t="s">
        <v>113</v>
      </c>
      <c r="H610" t="s">
        <v>252</v>
      </c>
      <c r="I610" t="s">
        <v>218</v>
      </c>
      <c r="J610">
        <v>1045</v>
      </c>
      <c r="K610">
        <v>8</v>
      </c>
      <c r="L610" t="s">
        <v>27</v>
      </c>
      <c r="M610">
        <v>168</v>
      </c>
      <c r="N610">
        <v>29.2</v>
      </c>
      <c r="O610">
        <v>73.099999999999994</v>
      </c>
      <c r="P610">
        <v>6.16</v>
      </c>
      <c r="Q610">
        <v>2.87</v>
      </c>
      <c r="R610" t="s">
        <v>184</v>
      </c>
      <c r="S610" t="s">
        <v>73</v>
      </c>
      <c r="T610" t="s">
        <v>30</v>
      </c>
      <c r="U610" t="str">
        <f t="shared" si="27"/>
        <v>Normal</v>
      </c>
      <c r="V610" t="str">
        <f t="shared" si="28"/>
        <v>Normal</v>
      </c>
      <c r="W610" t="str">
        <f t="shared" si="29"/>
        <v>Normal</v>
      </c>
    </row>
    <row r="611" spans="1:23" x14ac:dyDescent="0.3">
      <c r="A611">
        <v>10455</v>
      </c>
      <c r="B611" s="2">
        <v>45750</v>
      </c>
      <c r="C611" t="s">
        <v>20</v>
      </c>
      <c r="D611" t="s">
        <v>32</v>
      </c>
      <c r="E611" t="s">
        <v>40</v>
      </c>
      <c r="F611" t="s">
        <v>23</v>
      </c>
      <c r="G611" t="s">
        <v>24</v>
      </c>
      <c r="H611" t="s">
        <v>138</v>
      </c>
      <c r="I611" t="s">
        <v>100</v>
      </c>
      <c r="J611">
        <v>768</v>
      </c>
      <c r="K611">
        <v>10</v>
      </c>
      <c r="L611" t="s">
        <v>37</v>
      </c>
      <c r="M611">
        <v>40</v>
      </c>
      <c r="N611">
        <v>44.8</v>
      </c>
      <c r="O611">
        <v>73.099999999999994</v>
      </c>
      <c r="P611">
        <v>6.88</v>
      </c>
      <c r="Q611">
        <v>1.28</v>
      </c>
      <c r="R611" t="s">
        <v>92</v>
      </c>
      <c r="S611" t="s">
        <v>29</v>
      </c>
      <c r="T611" t="s">
        <v>30</v>
      </c>
      <c r="U611" t="str">
        <f t="shared" si="27"/>
        <v>Normal</v>
      </c>
      <c r="V611" t="str">
        <f t="shared" si="28"/>
        <v>Normal</v>
      </c>
      <c r="W611" t="str">
        <f t="shared" si="29"/>
        <v>Normal</v>
      </c>
    </row>
    <row r="612" spans="1:23" x14ac:dyDescent="0.3">
      <c r="A612">
        <v>10957</v>
      </c>
      <c r="B612" s="2">
        <v>45726</v>
      </c>
      <c r="C612" t="s">
        <v>31</v>
      </c>
      <c r="D612" t="s">
        <v>59</v>
      </c>
      <c r="E612" t="s">
        <v>40</v>
      </c>
      <c r="F612" t="s">
        <v>41</v>
      </c>
      <c r="G612" t="s">
        <v>74</v>
      </c>
      <c r="H612" t="s">
        <v>190</v>
      </c>
      <c r="I612" t="s">
        <v>302</v>
      </c>
      <c r="J612">
        <v>759</v>
      </c>
      <c r="K612">
        <v>3</v>
      </c>
      <c r="L612" t="s">
        <v>37</v>
      </c>
      <c r="M612">
        <v>113</v>
      </c>
      <c r="N612">
        <v>47.8</v>
      </c>
      <c r="O612">
        <v>73.099999999999994</v>
      </c>
      <c r="P612">
        <v>4.3</v>
      </c>
      <c r="Q612">
        <v>2.89</v>
      </c>
      <c r="R612" t="s">
        <v>232</v>
      </c>
      <c r="S612" t="s">
        <v>47</v>
      </c>
      <c r="T612" t="s">
        <v>30</v>
      </c>
      <c r="U612" t="str">
        <f t="shared" si="27"/>
        <v>Normal</v>
      </c>
      <c r="V612" t="str">
        <f t="shared" si="28"/>
        <v>Normal</v>
      </c>
      <c r="W612" t="str">
        <f t="shared" si="29"/>
        <v>Normal</v>
      </c>
    </row>
    <row r="613" spans="1:23" x14ac:dyDescent="0.3">
      <c r="A613">
        <v>10208</v>
      </c>
      <c r="B613" s="2">
        <v>45878</v>
      </c>
      <c r="C613" t="s">
        <v>20</v>
      </c>
      <c r="D613" t="s">
        <v>64</v>
      </c>
      <c r="E613" t="s">
        <v>107</v>
      </c>
      <c r="F613" t="s">
        <v>81</v>
      </c>
      <c r="G613" t="s">
        <v>74</v>
      </c>
      <c r="H613" t="s">
        <v>96</v>
      </c>
      <c r="I613" t="s">
        <v>296</v>
      </c>
      <c r="J613">
        <v>556</v>
      </c>
      <c r="K613">
        <v>7</v>
      </c>
      <c r="L613" t="s">
        <v>45</v>
      </c>
      <c r="M613">
        <v>106</v>
      </c>
      <c r="N613">
        <v>52.7</v>
      </c>
      <c r="O613">
        <v>73.099999999999994</v>
      </c>
      <c r="P613">
        <v>4.6399999999999997</v>
      </c>
      <c r="Q613">
        <v>1.47</v>
      </c>
      <c r="R613" t="s">
        <v>240</v>
      </c>
      <c r="S613" t="s">
        <v>73</v>
      </c>
      <c r="T613" t="s">
        <v>30</v>
      </c>
      <c r="U613" t="str">
        <f t="shared" si="27"/>
        <v>Normal</v>
      </c>
      <c r="V613" t="str">
        <f t="shared" si="28"/>
        <v>Normal</v>
      </c>
      <c r="W613" t="str">
        <f t="shared" si="29"/>
        <v>Normal</v>
      </c>
    </row>
    <row r="614" spans="1:23" x14ac:dyDescent="0.3">
      <c r="A614">
        <v>10527</v>
      </c>
      <c r="B614" s="2">
        <v>45700</v>
      </c>
      <c r="C614" t="s">
        <v>31</v>
      </c>
      <c r="D614" t="s">
        <v>59</v>
      </c>
      <c r="E614" t="s">
        <v>40</v>
      </c>
      <c r="F614" t="s">
        <v>81</v>
      </c>
      <c r="G614" t="s">
        <v>34</v>
      </c>
      <c r="H614" t="s">
        <v>35</v>
      </c>
      <c r="I614" t="s">
        <v>304</v>
      </c>
      <c r="J614">
        <v>617</v>
      </c>
      <c r="K614">
        <v>8</v>
      </c>
      <c r="L614" t="s">
        <v>68</v>
      </c>
      <c r="M614">
        <v>159</v>
      </c>
      <c r="N614">
        <v>38.5</v>
      </c>
      <c r="O614">
        <v>73</v>
      </c>
      <c r="P614">
        <v>5.33</v>
      </c>
      <c r="Q614">
        <v>3.02</v>
      </c>
      <c r="R614" t="s">
        <v>87</v>
      </c>
      <c r="S614" t="s">
        <v>29</v>
      </c>
      <c r="T614" t="s">
        <v>30</v>
      </c>
      <c r="U614" t="str">
        <f t="shared" si="27"/>
        <v>Normal</v>
      </c>
      <c r="V614" t="str">
        <f t="shared" si="28"/>
        <v>Normal</v>
      </c>
      <c r="W614" t="str">
        <f t="shared" si="29"/>
        <v>Normal</v>
      </c>
    </row>
    <row r="615" spans="1:23" x14ac:dyDescent="0.3">
      <c r="A615">
        <v>11240</v>
      </c>
      <c r="B615" s="2">
        <v>45804</v>
      </c>
      <c r="C615" t="s">
        <v>20</v>
      </c>
      <c r="D615" t="s">
        <v>21</v>
      </c>
      <c r="E615" t="s">
        <v>33</v>
      </c>
      <c r="F615" t="s">
        <v>41</v>
      </c>
      <c r="G615" t="s">
        <v>42</v>
      </c>
      <c r="H615" t="s">
        <v>51</v>
      </c>
      <c r="I615" t="s">
        <v>188</v>
      </c>
      <c r="J615">
        <v>1462</v>
      </c>
      <c r="K615">
        <v>32</v>
      </c>
      <c r="L615" t="s">
        <v>71</v>
      </c>
      <c r="M615">
        <v>135</v>
      </c>
      <c r="N615">
        <v>45.2</v>
      </c>
      <c r="O615">
        <v>73</v>
      </c>
      <c r="P615">
        <v>5.16</v>
      </c>
      <c r="Q615">
        <v>2.44</v>
      </c>
      <c r="R615" t="s">
        <v>245</v>
      </c>
      <c r="S615" t="s">
        <v>29</v>
      </c>
      <c r="T615" t="s">
        <v>30</v>
      </c>
      <c r="U615" t="str">
        <f t="shared" si="27"/>
        <v>Normal</v>
      </c>
      <c r="V615" t="str">
        <f t="shared" si="28"/>
        <v>Normal</v>
      </c>
      <c r="W615" t="str">
        <f t="shared" si="29"/>
        <v>Normal</v>
      </c>
    </row>
    <row r="616" spans="1:23" x14ac:dyDescent="0.3">
      <c r="A616">
        <v>10621</v>
      </c>
      <c r="B616" s="2">
        <v>45922</v>
      </c>
      <c r="C616" t="s">
        <v>31</v>
      </c>
      <c r="D616" t="s">
        <v>59</v>
      </c>
      <c r="E616" t="s">
        <v>22</v>
      </c>
      <c r="F616" t="s">
        <v>81</v>
      </c>
      <c r="G616" t="s">
        <v>54</v>
      </c>
      <c r="H616" t="s">
        <v>61</v>
      </c>
      <c r="I616" t="s">
        <v>355</v>
      </c>
      <c r="J616">
        <v>532</v>
      </c>
      <c r="K616">
        <v>8</v>
      </c>
      <c r="L616" t="s">
        <v>71</v>
      </c>
      <c r="M616">
        <v>178</v>
      </c>
      <c r="N616">
        <v>25.3</v>
      </c>
      <c r="O616">
        <v>73</v>
      </c>
      <c r="P616">
        <v>4.1900000000000004</v>
      </c>
      <c r="Q616">
        <v>0.01</v>
      </c>
      <c r="R616" t="s">
        <v>46</v>
      </c>
      <c r="S616" t="s">
        <v>29</v>
      </c>
      <c r="T616" t="s">
        <v>30</v>
      </c>
      <c r="U616" t="str">
        <f t="shared" si="27"/>
        <v>Normal</v>
      </c>
      <c r="V616" t="str">
        <f t="shared" si="28"/>
        <v>Normal</v>
      </c>
      <c r="W616" t="str">
        <f t="shared" si="29"/>
        <v>Normal</v>
      </c>
    </row>
    <row r="617" spans="1:23" x14ac:dyDescent="0.3">
      <c r="A617">
        <v>10558</v>
      </c>
      <c r="B617" s="2">
        <v>45926</v>
      </c>
      <c r="C617" t="s">
        <v>31</v>
      </c>
      <c r="D617" t="s">
        <v>21</v>
      </c>
      <c r="E617" t="s">
        <v>22</v>
      </c>
      <c r="F617" t="s">
        <v>23</v>
      </c>
      <c r="G617" t="s">
        <v>42</v>
      </c>
      <c r="H617" t="s">
        <v>25</v>
      </c>
      <c r="I617" t="s">
        <v>283</v>
      </c>
      <c r="J617">
        <v>1512</v>
      </c>
      <c r="K617">
        <v>19</v>
      </c>
      <c r="L617" t="s">
        <v>68</v>
      </c>
      <c r="M617">
        <v>134</v>
      </c>
      <c r="N617">
        <v>47.2</v>
      </c>
      <c r="O617">
        <v>73</v>
      </c>
      <c r="P617">
        <v>3.48</v>
      </c>
      <c r="Q617">
        <v>3.29</v>
      </c>
      <c r="R617" t="s">
        <v>80</v>
      </c>
      <c r="S617" t="s">
        <v>47</v>
      </c>
      <c r="T617" t="s">
        <v>30</v>
      </c>
      <c r="U617" t="str">
        <f t="shared" si="27"/>
        <v>Normal</v>
      </c>
      <c r="V617" t="str">
        <f t="shared" si="28"/>
        <v>Normal</v>
      </c>
      <c r="W617" t="str">
        <f t="shared" si="29"/>
        <v>Normal</v>
      </c>
    </row>
    <row r="618" spans="1:23" x14ac:dyDescent="0.3">
      <c r="A618">
        <v>10284</v>
      </c>
      <c r="B618" s="2">
        <v>46016</v>
      </c>
      <c r="C618" t="s">
        <v>49</v>
      </c>
      <c r="D618" t="s">
        <v>64</v>
      </c>
      <c r="E618" t="s">
        <v>33</v>
      </c>
      <c r="F618" t="s">
        <v>23</v>
      </c>
      <c r="G618" t="s">
        <v>74</v>
      </c>
      <c r="H618" t="s">
        <v>190</v>
      </c>
      <c r="I618" t="s">
        <v>276</v>
      </c>
      <c r="J618">
        <v>971</v>
      </c>
      <c r="K618">
        <v>11</v>
      </c>
      <c r="L618" t="s">
        <v>68</v>
      </c>
      <c r="M618">
        <v>23</v>
      </c>
      <c r="N618">
        <v>42.5</v>
      </c>
      <c r="O618">
        <v>73</v>
      </c>
      <c r="P618">
        <v>4.18</v>
      </c>
      <c r="Q618">
        <v>3.22</v>
      </c>
      <c r="R618" t="s">
        <v>186</v>
      </c>
      <c r="S618" t="s">
        <v>39</v>
      </c>
      <c r="T618" t="s">
        <v>30</v>
      </c>
      <c r="U618" t="str">
        <f t="shared" si="27"/>
        <v>Normal</v>
      </c>
      <c r="V618" t="str">
        <f t="shared" si="28"/>
        <v>Normal</v>
      </c>
      <c r="W618" t="str">
        <f t="shared" si="29"/>
        <v>Normal</v>
      </c>
    </row>
    <row r="619" spans="1:23" x14ac:dyDescent="0.3">
      <c r="A619">
        <v>11444</v>
      </c>
      <c r="B619" s="2">
        <v>45719</v>
      </c>
      <c r="C619" t="s">
        <v>49</v>
      </c>
      <c r="D619" t="s">
        <v>59</v>
      </c>
      <c r="E619" t="s">
        <v>33</v>
      </c>
      <c r="F619" t="s">
        <v>81</v>
      </c>
      <c r="G619" t="s">
        <v>24</v>
      </c>
      <c r="H619" t="s">
        <v>190</v>
      </c>
      <c r="I619" t="s">
        <v>329</v>
      </c>
      <c r="J619">
        <v>955</v>
      </c>
      <c r="K619">
        <v>13</v>
      </c>
      <c r="L619" t="s">
        <v>71</v>
      </c>
      <c r="M619">
        <v>78</v>
      </c>
      <c r="N619">
        <v>42.1</v>
      </c>
      <c r="O619">
        <v>73</v>
      </c>
      <c r="P619">
        <v>4.8600000000000003</v>
      </c>
      <c r="Q619">
        <v>2.06</v>
      </c>
      <c r="R619" t="s">
        <v>46</v>
      </c>
      <c r="S619" t="s">
        <v>73</v>
      </c>
      <c r="T619" t="s">
        <v>30</v>
      </c>
      <c r="U619" t="str">
        <f t="shared" si="27"/>
        <v>Normal</v>
      </c>
      <c r="V619" t="str">
        <f t="shared" si="28"/>
        <v>Normal</v>
      </c>
      <c r="W619" t="str">
        <f t="shared" si="29"/>
        <v>Normal</v>
      </c>
    </row>
    <row r="620" spans="1:23" x14ac:dyDescent="0.3">
      <c r="A620">
        <v>10816</v>
      </c>
      <c r="B620" s="2">
        <v>45795</v>
      </c>
      <c r="C620" t="s">
        <v>49</v>
      </c>
      <c r="D620" t="s">
        <v>21</v>
      </c>
      <c r="E620" t="s">
        <v>33</v>
      </c>
      <c r="F620" t="s">
        <v>41</v>
      </c>
      <c r="G620" t="s">
        <v>50</v>
      </c>
      <c r="H620" t="s">
        <v>213</v>
      </c>
      <c r="I620" t="s">
        <v>299</v>
      </c>
      <c r="J620">
        <v>1028</v>
      </c>
      <c r="K620">
        <v>19</v>
      </c>
      <c r="L620" t="s">
        <v>37</v>
      </c>
      <c r="M620">
        <v>156</v>
      </c>
      <c r="N620">
        <v>40.299999999999997</v>
      </c>
      <c r="O620">
        <v>73</v>
      </c>
      <c r="P620">
        <v>6.23</v>
      </c>
      <c r="Q620">
        <v>2.66</v>
      </c>
      <c r="R620" t="s">
        <v>153</v>
      </c>
      <c r="S620" t="s">
        <v>47</v>
      </c>
      <c r="T620" t="s">
        <v>30</v>
      </c>
      <c r="U620" t="str">
        <f t="shared" si="27"/>
        <v>Normal</v>
      </c>
      <c r="V620" t="str">
        <f t="shared" si="28"/>
        <v>Normal</v>
      </c>
      <c r="W620" t="str">
        <f t="shared" si="29"/>
        <v>Normal</v>
      </c>
    </row>
    <row r="621" spans="1:23" x14ac:dyDescent="0.3">
      <c r="A621">
        <v>11458</v>
      </c>
      <c r="B621" s="2">
        <v>45783</v>
      </c>
      <c r="C621" t="s">
        <v>31</v>
      </c>
      <c r="D621" t="s">
        <v>32</v>
      </c>
      <c r="E621" t="s">
        <v>33</v>
      </c>
      <c r="F621" t="s">
        <v>81</v>
      </c>
      <c r="G621" t="s">
        <v>113</v>
      </c>
      <c r="H621" t="s">
        <v>223</v>
      </c>
      <c r="I621" t="s">
        <v>329</v>
      </c>
      <c r="J621">
        <v>1486</v>
      </c>
      <c r="K621">
        <v>57</v>
      </c>
      <c r="L621" t="s">
        <v>68</v>
      </c>
      <c r="M621">
        <v>17</v>
      </c>
      <c r="N621">
        <v>42</v>
      </c>
      <c r="O621">
        <v>72.900000000000006</v>
      </c>
      <c r="P621">
        <v>4.96</v>
      </c>
      <c r="Q621">
        <v>4.32</v>
      </c>
      <c r="R621" t="s">
        <v>153</v>
      </c>
      <c r="S621" t="s">
        <v>47</v>
      </c>
      <c r="T621" t="s">
        <v>48</v>
      </c>
      <c r="U621" t="str">
        <f t="shared" si="27"/>
        <v>Normal</v>
      </c>
      <c r="V621" t="str">
        <f t="shared" si="28"/>
        <v>Normal</v>
      </c>
      <c r="W621" t="str">
        <f t="shared" si="29"/>
        <v>Normal</v>
      </c>
    </row>
    <row r="622" spans="1:23" x14ac:dyDescent="0.3">
      <c r="A622">
        <v>10255</v>
      </c>
      <c r="B622" s="2">
        <v>45954</v>
      </c>
      <c r="C622" t="s">
        <v>49</v>
      </c>
      <c r="D622" t="s">
        <v>32</v>
      </c>
      <c r="E622" t="s">
        <v>22</v>
      </c>
      <c r="F622" t="s">
        <v>23</v>
      </c>
      <c r="G622" t="s">
        <v>74</v>
      </c>
      <c r="H622" t="s">
        <v>90</v>
      </c>
      <c r="I622" t="s">
        <v>325</v>
      </c>
      <c r="J622">
        <v>550</v>
      </c>
      <c r="K622">
        <v>8</v>
      </c>
      <c r="L622" t="s">
        <v>37</v>
      </c>
      <c r="M622">
        <v>146</v>
      </c>
      <c r="N622">
        <v>37.299999999999997</v>
      </c>
      <c r="O622">
        <v>72.900000000000006</v>
      </c>
      <c r="P622">
        <v>4.49</v>
      </c>
      <c r="Q622">
        <v>2.44</v>
      </c>
      <c r="R622" t="s">
        <v>130</v>
      </c>
      <c r="S622" t="s">
        <v>29</v>
      </c>
      <c r="T622" t="s">
        <v>30</v>
      </c>
      <c r="U622" t="str">
        <f t="shared" si="27"/>
        <v>Normal</v>
      </c>
      <c r="V622" t="str">
        <f t="shared" si="28"/>
        <v>Normal</v>
      </c>
      <c r="W622" t="str">
        <f t="shared" si="29"/>
        <v>Normal</v>
      </c>
    </row>
    <row r="623" spans="1:23" x14ac:dyDescent="0.3">
      <c r="A623">
        <v>10178</v>
      </c>
      <c r="B623" s="2">
        <v>45998</v>
      </c>
      <c r="C623" t="s">
        <v>49</v>
      </c>
      <c r="D623" t="s">
        <v>64</v>
      </c>
      <c r="E623" t="s">
        <v>33</v>
      </c>
      <c r="F623" t="s">
        <v>23</v>
      </c>
      <c r="G623" t="s">
        <v>54</v>
      </c>
      <c r="H623" t="s">
        <v>165</v>
      </c>
      <c r="I623" t="s">
        <v>104</v>
      </c>
      <c r="J623">
        <v>744</v>
      </c>
      <c r="K623">
        <v>4</v>
      </c>
      <c r="L623" t="s">
        <v>71</v>
      </c>
      <c r="M623">
        <v>168</v>
      </c>
      <c r="N623">
        <v>33.9</v>
      </c>
      <c r="O623">
        <v>72.900000000000006</v>
      </c>
      <c r="P623">
        <v>4.88</v>
      </c>
      <c r="Q623">
        <v>4.34</v>
      </c>
      <c r="R623" t="s">
        <v>58</v>
      </c>
      <c r="S623" t="s">
        <v>47</v>
      </c>
      <c r="T623" t="s">
        <v>30</v>
      </c>
      <c r="U623" t="str">
        <f t="shared" si="27"/>
        <v>Normal</v>
      </c>
      <c r="V623" t="str">
        <f t="shared" si="28"/>
        <v>Normal</v>
      </c>
      <c r="W623" t="str">
        <f t="shared" si="29"/>
        <v>Normal</v>
      </c>
    </row>
    <row r="624" spans="1:23" x14ac:dyDescent="0.3">
      <c r="A624">
        <v>11117</v>
      </c>
      <c r="B624" s="2">
        <v>45864</v>
      </c>
      <c r="C624" t="s">
        <v>20</v>
      </c>
      <c r="D624" t="s">
        <v>59</v>
      </c>
      <c r="E624" t="s">
        <v>33</v>
      </c>
      <c r="F624" t="s">
        <v>23</v>
      </c>
      <c r="G624" t="s">
        <v>89</v>
      </c>
      <c r="H624" t="s">
        <v>88</v>
      </c>
      <c r="I624" t="s">
        <v>145</v>
      </c>
      <c r="J624">
        <v>1383</v>
      </c>
      <c r="K624">
        <v>23</v>
      </c>
      <c r="L624" t="s">
        <v>37</v>
      </c>
      <c r="M624">
        <v>111</v>
      </c>
      <c r="N624">
        <v>39.6</v>
      </c>
      <c r="O624">
        <v>72.900000000000006</v>
      </c>
      <c r="P624">
        <v>5.6</v>
      </c>
      <c r="Q624">
        <v>3.3</v>
      </c>
      <c r="R624" t="s">
        <v>133</v>
      </c>
      <c r="S624" t="s">
        <v>73</v>
      </c>
      <c r="T624" t="s">
        <v>30</v>
      </c>
      <c r="U624" t="str">
        <f t="shared" si="27"/>
        <v>Normal</v>
      </c>
      <c r="V624" t="str">
        <f t="shared" si="28"/>
        <v>Normal</v>
      </c>
      <c r="W624" t="str">
        <f t="shared" si="29"/>
        <v>Normal</v>
      </c>
    </row>
    <row r="625" spans="1:23" x14ac:dyDescent="0.3">
      <c r="A625">
        <v>10588</v>
      </c>
      <c r="B625" s="2">
        <v>45828</v>
      </c>
      <c r="C625" t="s">
        <v>20</v>
      </c>
      <c r="D625" t="s">
        <v>59</v>
      </c>
      <c r="E625" t="s">
        <v>22</v>
      </c>
      <c r="F625" t="s">
        <v>81</v>
      </c>
      <c r="G625" t="s">
        <v>60</v>
      </c>
      <c r="H625" t="s">
        <v>123</v>
      </c>
      <c r="I625" t="s">
        <v>357</v>
      </c>
      <c r="J625">
        <v>605</v>
      </c>
      <c r="K625">
        <v>24</v>
      </c>
      <c r="L625" t="s">
        <v>27</v>
      </c>
      <c r="M625">
        <v>46</v>
      </c>
      <c r="N625">
        <v>34</v>
      </c>
      <c r="O625">
        <v>72.900000000000006</v>
      </c>
      <c r="P625">
        <v>6.46</v>
      </c>
      <c r="Q625">
        <v>3.62</v>
      </c>
      <c r="R625" t="s">
        <v>140</v>
      </c>
      <c r="S625" t="s">
        <v>39</v>
      </c>
      <c r="T625" t="s">
        <v>48</v>
      </c>
      <c r="U625" t="str">
        <f t="shared" si="27"/>
        <v>Normal</v>
      </c>
      <c r="V625" t="str">
        <f t="shared" si="28"/>
        <v>Normal</v>
      </c>
      <c r="W625" t="str">
        <f t="shared" si="29"/>
        <v>Normal</v>
      </c>
    </row>
    <row r="626" spans="1:23" x14ac:dyDescent="0.3">
      <c r="A626">
        <v>10133</v>
      </c>
      <c r="B626" s="2">
        <v>45696</v>
      </c>
      <c r="C626" t="s">
        <v>31</v>
      </c>
      <c r="D626" t="s">
        <v>21</v>
      </c>
      <c r="E626" t="s">
        <v>33</v>
      </c>
      <c r="F626" t="s">
        <v>23</v>
      </c>
      <c r="G626" t="s">
        <v>42</v>
      </c>
      <c r="H626" t="s">
        <v>148</v>
      </c>
      <c r="I626" t="s">
        <v>44</v>
      </c>
      <c r="J626">
        <v>899</v>
      </c>
      <c r="K626">
        <v>12</v>
      </c>
      <c r="L626" t="s">
        <v>45</v>
      </c>
      <c r="M626">
        <v>135</v>
      </c>
      <c r="N626">
        <v>34</v>
      </c>
      <c r="O626">
        <v>72.900000000000006</v>
      </c>
      <c r="P626">
        <v>5.17</v>
      </c>
      <c r="Q626">
        <v>2.57</v>
      </c>
      <c r="R626" t="s">
        <v>130</v>
      </c>
      <c r="S626" t="s">
        <v>39</v>
      </c>
      <c r="T626" t="s">
        <v>30</v>
      </c>
      <c r="U626" t="str">
        <f t="shared" si="27"/>
        <v>Normal</v>
      </c>
      <c r="V626" t="str">
        <f t="shared" si="28"/>
        <v>Normal</v>
      </c>
      <c r="W626" t="str">
        <f t="shared" si="29"/>
        <v>Normal</v>
      </c>
    </row>
    <row r="627" spans="1:23" x14ac:dyDescent="0.3">
      <c r="A627">
        <v>11003</v>
      </c>
      <c r="B627" s="2">
        <v>45745</v>
      </c>
      <c r="C627" t="s">
        <v>20</v>
      </c>
      <c r="D627" t="s">
        <v>21</v>
      </c>
      <c r="E627" t="s">
        <v>107</v>
      </c>
      <c r="F627" t="s">
        <v>41</v>
      </c>
      <c r="G627" t="s">
        <v>34</v>
      </c>
      <c r="H627" t="s">
        <v>96</v>
      </c>
      <c r="I627" t="s">
        <v>326</v>
      </c>
      <c r="J627">
        <v>835</v>
      </c>
      <c r="K627">
        <v>12</v>
      </c>
      <c r="L627" t="s">
        <v>68</v>
      </c>
      <c r="M627">
        <v>14</v>
      </c>
      <c r="N627">
        <v>41.5</v>
      </c>
      <c r="O627">
        <v>72.900000000000006</v>
      </c>
      <c r="P627">
        <v>4.2300000000000004</v>
      </c>
      <c r="Q627">
        <v>2.96</v>
      </c>
      <c r="R627" t="s">
        <v>195</v>
      </c>
      <c r="S627" t="s">
        <v>29</v>
      </c>
      <c r="T627" t="s">
        <v>30</v>
      </c>
      <c r="U627" t="str">
        <f t="shared" si="27"/>
        <v>Normal</v>
      </c>
      <c r="V627" t="str">
        <f t="shared" si="28"/>
        <v>Normal</v>
      </c>
      <c r="W627" t="str">
        <f t="shared" si="29"/>
        <v>Normal</v>
      </c>
    </row>
    <row r="628" spans="1:23" x14ac:dyDescent="0.3">
      <c r="A628">
        <v>11096</v>
      </c>
      <c r="B628" s="2">
        <v>45871</v>
      </c>
      <c r="C628" t="s">
        <v>31</v>
      </c>
      <c r="D628" t="s">
        <v>21</v>
      </c>
      <c r="E628" t="s">
        <v>40</v>
      </c>
      <c r="F628" t="s">
        <v>23</v>
      </c>
      <c r="G628" t="s">
        <v>34</v>
      </c>
      <c r="H628" t="s">
        <v>205</v>
      </c>
      <c r="I628" t="s">
        <v>356</v>
      </c>
      <c r="J628">
        <v>855</v>
      </c>
      <c r="K628">
        <v>11</v>
      </c>
      <c r="L628" t="s">
        <v>71</v>
      </c>
      <c r="M628">
        <v>25</v>
      </c>
      <c r="N628">
        <v>53.2</v>
      </c>
      <c r="O628">
        <v>72.900000000000006</v>
      </c>
      <c r="P628">
        <v>4.78</v>
      </c>
      <c r="Q628">
        <v>3.11</v>
      </c>
      <c r="R628" t="s">
        <v>53</v>
      </c>
      <c r="S628" t="s">
        <v>29</v>
      </c>
      <c r="T628" t="s">
        <v>30</v>
      </c>
      <c r="U628" t="str">
        <f t="shared" si="27"/>
        <v>Normal</v>
      </c>
      <c r="V628" t="str">
        <f t="shared" si="28"/>
        <v>Normal</v>
      </c>
      <c r="W628" t="str">
        <f t="shared" si="29"/>
        <v>Normal</v>
      </c>
    </row>
    <row r="629" spans="1:23" x14ac:dyDescent="0.3">
      <c r="A629">
        <v>11379</v>
      </c>
      <c r="B629" s="2">
        <v>45828</v>
      </c>
      <c r="C629" t="s">
        <v>49</v>
      </c>
      <c r="D629" t="s">
        <v>21</v>
      </c>
      <c r="E629" t="s">
        <v>22</v>
      </c>
      <c r="F629" t="s">
        <v>41</v>
      </c>
      <c r="G629" t="s">
        <v>134</v>
      </c>
      <c r="H629" t="s">
        <v>193</v>
      </c>
      <c r="I629" t="s">
        <v>187</v>
      </c>
      <c r="J629">
        <v>1225</v>
      </c>
      <c r="K629">
        <v>33</v>
      </c>
      <c r="L629" t="s">
        <v>68</v>
      </c>
      <c r="M629">
        <v>67</v>
      </c>
      <c r="N629">
        <v>34.200000000000003</v>
      </c>
      <c r="O629">
        <v>72.8</v>
      </c>
      <c r="P629">
        <v>6.09</v>
      </c>
      <c r="Q629">
        <v>3.48</v>
      </c>
      <c r="R629" t="s">
        <v>153</v>
      </c>
      <c r="S629" t="s">
        <v>47</v>
      </c>
      <c r="T629" t="s">
        <v>30</v>
      </c>
      <c r="U629" t="str">
        <f t="shared" si="27"/>
        <v>Normal</v>
      </c>
      <c r="V629" t="str">
        <f t="shared" si="28"/>
        <v>Normal</v>
      </c>
      <c r="W629" t="str">
        <f t="shared" si="29"/>
        <v>Normal</v>
      </c>
    </row>
    <row r="630" spans="1:23" x14ac:dyDescent="0.3">
      <c r="A630">
        <v>10466</v>
      </c>
      <c r="B630" s="2">
        <v>45796</v>
      </c>
      <c r="C630" t="s">
        <v>20</v>
      </c>
      <c r="D630" t="s">
        <v>21</v>
      </c>
      <c r="E630" t="s">
        <v>22</v>
      </c>
      <c r="F630" t="s">
        <v>23</v>
      </c>
      <c r="G630" t="s">
        <v>54</v>
      </c>
      <c r="H630" t="s">
        <v>223</v>
      </c>
      <c r="I630" t="s">
        <v>385</v>
      </c>
      <c r="J630">
        <v>1390</v>
      </c>
      <c r="K630">
        <v>22</v>
      </c>
      <c r="L630" t="s">
        <v>71</v>
      </c>
      <c r="M630">
        <v>54</v>
      </c>
      <c r="N630">
        <v>41</v>
      </c>
      <c r="O630">
        <v>72.8</v>
      </c>
      <c r="P630">
        <v>6.2</v>
      </c>
      <c r="Q630">
        <v>2.89</v>
      </c>
      <c r="R630" t="s">
        <v>130</v>
      </c>
      <c r="S630" t="s">
        <v>73</v>
      </c>
      <c r="T630" t="s">
        <v>30</v>
      </c>
      <c r="U630" t="str">
        <f t="shared" si="27"/>
        <v>Normal</v>
      </c>
      <c r="V630" t="str">
        <f t="shared" si="28"/>
        <v>Normal</v>
      </c>
      <c r="W630" t="str">
        <f t="shared" si="29"/>
        <v>Normal</v>
      </c>
    </row>
    <row r="631" spans="1:23" x14ac:dyDescent="0.3">
      <c r="A631">
        <v>10476</v>
      </c>
      <c r="B631" s="2">
        <v>45839</v>
      </c>
      <c r="C631" t="s">
        <v>31</v>
      </c>
      <c r="D631" t="s">
        <v>59</v>
      </c>
      <c r="E631" t="s">
        <v>40</v>
      </c>
      <c r="F631" t="s">
        <v>81</v>
      </c>
      <c r="G631" t="s">
        <v>109</v>
      </c>
      <c r="H631" t="s">
        <v>75</v>
      </c>
      <c r="I631" t="s">
        <v>136</v>
      </c>
      <c r="J631">
        <v>868</v>
      </c>
      <c r="K631">
        <v>11</v>
      </c>
      <c r="L631" t="s">
        <v>45</v>
      </c>
      <c r="M631">
        <v>159</v>
      </c>
      <c r="N631">
        <v>44.9</v>
      </c>
      <c r="O631">
        <v>72.8</v>
      </c>
      <c r="P631">
        <v>5.41</v>
      </c>
      <c r="Q631">
        <v>3.33</v>
      </c>
      <c r="R631" t="s">
        <v>153</v>
      </c>
      <c r="S631" t="s">
        <v>29</v>
      </c>
      <c r="T631" t="s">
        <v>30</v>
      </c>
      <c r="U631" t="str">
        <f t="shared" si="27"/>
        <v>Normal</v>
      </c>
      <c r="V631" t="str">
        <f t="shared" si="28"/>
        <v>Normal</v>
      </c>
      <c r="W631" t="str">
        <f t="shared" si="29"/>
        <v>Normal</v>
      </c>
    </row>
    <row r="632" spans="1:23" x14ac:dyDescent="0.3">
      <c r="A632">
        <v>10517</v>
      </c>
      <c r="B632" s="2">
        <v>45783</v>
      </c>
      <c r="C632" t="s">
        <v>49</v>
      </c>
      <c r="D632" t="s">
        <v>32</v>
      </c>
      <c r="E632" t="s">
        <v>107</v>
      </c>
      <c r="F632" t="s">
        <v>41</v>
      </c>
      <c r="G632" t="s">
        <v>34</v>
      </c>
      <c r="H632" t="s">
        <v>192</v>
      </c>
      <c r="I632" t="s">
        <v>373</v>
      </c>
      <c r="J632">
        <v>1218</v>
      </c>
      <c r="K632">
        <v>46</v>
      </c>
      <c r="L632" t="s">
        <v>68</v>
      </c>
      <c r="M632">
        <v>178</v>
      </c>
      <c r="N632">
        <v>46.4</v>
      </c>
      <c r="O632">
        <v>72.8</v>
      </c>
      <c r="P632">
        <v>6.88</v>
      </c>
      <c r="Q632">
        <v>1.47</v>
      </c>
      <c r="R632" t="s">
        <v>128</v>
      </c>
      <c r="S632" t="s">
        <v>29</v>
      </c>
      <c r="T632" t="s">
        <v>48</v>
      </c>
      <c r="U632" t="str">
        <f t="shared" si="27"/>
        <v>Normal</v>
      </c>
      <c r="V632" t="str">
        <f t="shared" si="28"/>
        <v>Normal</v>
      </c>
      <c r="W632" t="str">
        <f t="shared" si="29"/>
        <v>Normal</v>
      </c>
    </row>
    <row r="633" spans="1:23" x14ac:dyDescent="0.3">
      <c r="A633">
        <v>10912</v>
      </c>
      <c r="B633" s="2">
        <v>46010</v>
      </c>
      <c r="C633" t="s">
        <v>20</v>
      </c>
      <c r="D633" t="s">
        <v>64</v>
      </c>
      <c r="E633" t="s">
        <v>107</v>
      </c>
      <c r="F633" t="s">
        <v>81</v>
      </c>
      <c r="G633" t="s">
        <v>74</v>
      </c>
      <c r="H633" t="s">
        <v>141</v>
      </c>
      <c r="I633" t="s">
        <v>70</v>
      </c>
      <c r="J633">
        <v>1371</v>
      </c>
      <c r="K633">
        <v>51</v>
      </c>
      <c r="L633" t="s">
        <v>45</v>
      </c>
      <c r="M633">
        <v>55</v>
      </c>
      <c r="N633">
        <v>40.4</v>
      </c>
      <c r="O633">
        <v>72.8</v>
      </c>
      <c r="P633">
        <v>4.43</v>
      </c>
      <c r="Q633">
        <v>0.87</v>
      </c>
      <c r="R633" t="s">
        <v>80</v>
      </c>
      <c r="S633" t="s">
        <v>73</v>
      </c>
      <c r="T633" t="s">
        <v>48</v>
      </c>
      <c r="U633" t="str">
        <f t="shared" si="27"/>
        <v>Normal</v>
      </c>
      <c r="V633" t="str">
        <f t="shared" si="28"/>
        <v>Normal</v>
      </c>
      <c r="W633" t="str">
        <f t="shared" si="29"/>
        <v>Normal</v>
      </c>
    </row>
    <row r="634" spans="1:23" x14ac:dyDescent="0.3">
      <c r="A634">
        <v>10702</v>
      </c>
      <c r="B634" s="2">
        <v>45823</v>
      </c>
      <c r="C634" t="s">
        <v>20</v>
      </c>
      <c r="D634" t="s">
        <v>59</v>
      </c>
      <c r="E634" t="s">
        <v>40</v>
      </c>
      <c r="F634" t="s">
        <v>23</v>
      </c>
      <c r="G634" t="s">
        <v>95</v>
      </c>
      <c r="H634" t="s">
        <v>55</v>
      </c>
      <c r="I634" t="s">
        <v>102</v>
      </c>
      <c r="J634">
        <v>1585</v>
      </c>
      <c r="K634">
        <v>17</v>
      </c>
      <c r="L634" t="s">
        <v>71</v>
      </c>
      <c r="M634">
        <v>127</v>
      </c>
      <c r="N634">
        <v>52.2</v>
      </c>
      <c r="O634">
        <v>72.7</v>
      </c>
      <c r="P634">
        <v>4.25</v>
      </c>
      <c r="Q634">
        <v>0.06</v>
      </c>
      <c r="R634" t="s">
        <v>183</v>
      </c>
      <c r="S634" t="s">
        <v>73</v>
      </c>
      <c r="T634" t="s">
        <v>30</v>
      </c>
      <c r="U634" t="str">
        <f t="shared" si="27"/>
        <v>Normal</v>
      </c>
      <c r="V634" t="str">
        <f t="shared" si="28"/>
        <v>Normal</v>
      </c>
      <c r="W634" t="str">
        <f t="shared" si="29"/>
        <v>Normal</v>
      </c>
    </row>
    <row r="635" spans="1:23" x14ac:dyDescent="0.3">
      <c r="A635">
        <v>11440</v>
      </c>
      <c r="B635" s="2">
        <v>45781</v>
      </c>
      <c r="C635" t="s">
        <v>20</v>
      </c>
      <c r="D635" t="s">
        <v>32</v>
      </c>
      <c r="E635" t="s">
        <v>107</v>
      </c>
      <c r="F635" t="s">
        <v>81</v>
      </c>
      <c r="G635" t="s">
        <v>42</v>
      </c>
      <c r="H635" t="s">
        <v>265</v>
      </c>
      <c r="I635" t="s">
        <v>145</v>
      </c>
      <c r="J635">
        <v>1321</v>
      </c>
      <c r="K635">
        <v>10</v>
      </c>
      <c r="L635" t="s">
        <v>71</v>
      </c>
      <c r="M635">
        <v>7</v>
      </c>
      <c r="N635">
        <v>41.1</v>
      </c>
      <c r="O635">
        <v>72.7</v>
      </c>
      <c r="P635">
        <v>5.47</v>
      </c>
      <c r="Q635">
        <v>3.64</v>
      </c>
      <c r="R635" t="s">
        <v>125</v>
      </c>
      <c r="S635" t="s">
        <v>29</v>
      </c>
      <c r="T635" t="s">
        <v>30</v>
      </c>
      <c r="U635" t="str">
        <f t="shared" si="27"/>
        <v>Normal</v>
      </c>
      <c r="V635" t="str">
        <f t="shared" si="28"/>
        <v>Normal</v>
      </c>
      <c r="W635" t="str">
        <f t="shared" si="29"/>
        <v>Normal</v>
      </c>
    </row>
    <row r="636" spans="1:23" x14ac:dyDescent="0.3">
      <c r="A636">
        <v>10324</v>
      </c>
      <c r="B636" s="2">
        <v>45716</v>
      </c>
      <c r="C636" t="s">
        <v>20</v>
      </c>
      <c r="D636" t="s">
        <v>32</v>
      </c>
      <c r="E636" t="s">
        <v>33</v>
      </c>
      <c r="F636" t="s">
        <v>41</v>
      </c>
      <c r="G636" t="s">
        <v>95</v>
      </c>
      <c r="H636" t="s">
        <v>278</v>
      </c>
      <c r="I636" t="s">
        <v>371</v>
      </c>
      <c r="J636">
        <v>1546</v>
      </c>
      <c r="K636">
        <v>12</v>
      </c>
      <c r="L636" t="s">
        <v>57</v>
      </c>
      <c r="M636">
        <v>45</v>
      </c>
      <c r="N636">
        <v>42.9</v>
      </c>
      <c r="O636">
        <v>72.7</v>
      </c>
      <c r="P636">
        <v>6.42</v>
      </c>
      <c r="Q636">
        <v>1.3</v>
      </c>
      <c r="R636" t="s">
        <v>267</v>
      </c>
      <c r="S636" t="s">
        <v>29</v>
      </c>
      <c r="T636" t="s">
        <v>30</v>
      </c>
      <c r="U636" t="str">
        <f t="shared" si="27"/>
        <v>Normal</v>
      </c>
      <c r="V636" t="str">
        <f t="shared" si="28"/>
        <v>Normal</v>
      </c>
      <c r="W636" t="str">
        <f t="shared" si="29"/>
        <v>Normal</v>
      </c>
    </row>
    <row r="637" spans="1:23" x14ac:dyDescent="0.3">
      <c r="A637">
        <v>10950</v>
      </c>
      <c r="B637" s="2">
        <v>45903</v>
      </c>
      <c r="C637" t="s">
        <v>31</v>
      </c>
      <c r="D637" t="s">
        <v>21</v>
      </c>
      <c r="E637" t="s">
        <v>40</v>
      </c>
      <c r="F637" t="s">
        <v>23</v>
      </c>
      <c r="G637" t="s">
        <v>50</v>
      </c>
      <c r="H637" t="s">
        <v>172</v>
      </c>
      <c r="I637" t="s">
        <v>375</v>
      </c>
      <c r="J637">
        <v>545</v>
      </c>
      <c r="K637">
        <v>1</v>
      </c>
      <c r="L637" t="s">
        <v>71</v>
      </c>
      <c r="M637">
        <v>142</v>
      </c>
      <c r="N637">
        <v>55.8</v>
      </c>
      <c r="O637">
        <v>72.7</v>
      </c>
      <c r="P637">
        <v>4.82</v>
      </c>
      <c r="Q637">
        <v>1.7</v>
      </c>
      <c r="R637" t="s">
        <v>130</v>
      </c>
      <c r="S637" t="s">
        <v>73</v>
      </c>
      <c r="T637" t="s">
        <v>30</v>
      </c>
      <c r="U637" t="str">
        <f t="shared" si="27"/>
        <v>Normal</v>
      </c>
      <c r="V637" t="str">
        <f t="shared" si="28"/>
        <v>Normal</v>
      </c>
      <c r="W637" t="str">
        <f t="shared" si="29"/>
        <v>Normal</v>
      </c>
    </row>
    <row r="638" spans="1:23" x14ac:dyDescent="0.3">
      <c r="A638">
        <v>10026</v>
      </c>
      <c r="B638" s="2">
        <v>45783</v>
      </c>
      <c r="C638" t="s">
        <v>49</v>
      </c>
      <c r="D638" t="s">
        <v>21</v>
      </c>
      <c r="E638" t="s">
        <v>107</v>
      </c>
      <c r="F638" t="s">
        <v>41</v>
      </c>
      <c r="G638" t="s">
        <v>24</v>
      </c>
      <c r="H638" t="s">
        <v>75</v>
      </c>
      <c r="I638" t="s">
        <v>266</v>
      </c>
      <c r="J638">
        <v>1163</v>
      </c>
      <c r="K638">
        <v>16</v>
      </c>
      <c r="L638" t="s">
        <v>68</v>
      </c>
      <c r="M638">
        <v>135</v>
      </c>
      <c r="N638">
        <v>45.4</v>
      </c>
      <c r="O638">
        <v>72.7</v>
      </c>
      <c r="P638">
        <v>4.04</v>
      </c>
      <c r="Q638">
        <v>1.87</v>
      </c>
      <c r="R638" t="s">
        <v>111</v>
      </c>
      <c r="S638" t="s">
        <v>29</v>
      </c>
      <c r="T638" t="s">
        <v>30</v>
      </c>
      <c r="U638" t="str">
        <f t="shared" si="27"/>
        <v>Normal</v>
      </c>
      <c r="V638" t="str">
        <f t="shared" si="28"/>
        <v>Normal</v>
      </c>
      <c r="W638" t="str">
        <f t="shared" si="29"/>
        <v>Normal</v>
      </c>
    </row>
    <row r="639" spans="1:23" x14ac:dyDescent="0.3">
      <c r="A639">
        <v>10072</v>
      </c>
      <c r="B639" s="2">
        <v>45703</v>
      </c>
      <c r="C639" t="s">
        <v>31</v>
      </c>
      <c r="D639" t="s">
        <v>21</v>
      </c>
      <c r="E639" t="s">
        <v>33</v>
      </c>
      <c r="F639" t="s">
        <v>41</v>
      </c>
      <c r="G639" t="s">
        <v>34</v>
      </c>
      <c r="H639" t="s">
        <v>175</v>
      </c>
      <c r="I639" t="s">
        <v>104</v>
      </c>
      <c r="J639">
        <v>551</v>
      </c>
      <c r="K639">
        <v>8</v>
      </c>
      <c r="L639" t="s">
        <v>68</v>
      </c>
      <c r="M639">
        <v>164</v>
      </c>
      <c r="N639">
        <v>49.2</v>
      </c>
      <c r="O639">
        <v>72.7</v>
      </c>
      <c r="P639">
        <v>4.09</v>
      </c>
      <c r="Q639">
        <v>1.58</v>
      </c>
      <c r="R639" t="s">
        <v>84</v>
      </c>
      <c r="S639" t="s">
        <v>39</v>
      </c>
      <c r="T639" t="s">
        <v>30</v>
      </c>
      <c r="U639" t="str">
        <f t="shared" si="27"/>
        <v>Normal</v>
      </c>
      <c r="V639" t="str">
        <f t="shared" si="28"/>
        <v>Normal</v>
      </c>
      <c r="W639" t="str">
        <f t="shared" si="29"/>
        <v>Normal</v>
      </c>
    </row>
    <row r="640" spans="1:23" x14ac:dyDescent="0.3">
      <c r="A640">
        <v>11235</v>
      </c>
      <c r="B640" s="2">
        <v>45980</v>
      </c>
      <c r="C640" t="s">
        <v>31</v>
      </c>
      <c r="D640" t="s">
        <v>32</v>
      </c>
      <c r="E640" t="s">
        <v>33</v>
      </c>
      <c r="F640" t="s">
        <v>41</v>
      </c>
      <c r="G640" t="s">
        <v>50</v>
      </c>
      <c r="H640" t="s">
        <v>82</v>
      </c>
      <c r="I640" t="s">
        <v>228</v>
      </c>
      <c r="J640">
        <v>1457</v>
      </c>
      <c r="K640">
        <v>6</v>
      </c>
      <c r="L640" t="s">
        <v>71</v>
      </c>
      <c r="M640">
        <v>159</v>
      </c>
      <c r="N640">
        <v>53.7</v>
      </c>
      <c r="O640">
        <v>72.7</v>
      </c>
      <c r="P640">
        <v>3.66</v>
      </c>
      <c r="Q640">
        <v>2.72</v>
      </c>
      <c r="R640" t="s">
        <v>245</v>
      </c>
      <c r="S640" t="s">
        <v>39</v>
      </c>
      <c r="T640" t="s">
        <v>30</v>
      </c>
      <c r="U640" t="str">
        <f t="shared" si="27"/>
        <v>Normal</v>
      </c>
      <c r="V640" t="str">
        <f t="shared" si="28"/>
        <v>Normal</v>
      </c>
      <c r="W640" t="str">
        <f t="shared" si="29"/>
        <v>Normal</v>
      </c>
    </row>
    <row r="641" spans="1:23" x14ac:dyDescent="0.3">
      <c r="A641">
        <v>10047</v>
      </c>
      <c r="B641" s="2">
        <v>45747</v>
      </c>
      <c r="C641" t="s">
        <v>31</v>
      </c>
      <c r="D641" t="s">
        <v>59</v>
      </c>
      <c r="E641" t="s">
        <v>33</v>
      </c>
      <c r="F641" t="s">
        <v>41</v>
      </c>
      <c r="G641" t="s">
        <v>113</v>
      </c>
      <c r="H641" t="s">
        <v>172</v>
      </c>
      <c r="I641" t="s">
        <v>233</v>
      </c>
      <c r="J641">
        <v>651</v>
      </c>
      <c r="K641">
        <v>8</v>
      </c>
      <c r="L641" t="s">
        <v>45</v>
      </c>
      <c r="M641">
        <v>21</v>
      </c>
      <c r="N641">
        <v>38.9</v>
      </c>
      <c r="O641">
        <v>72.7</v>
      </c>
      <c r="P641">
        <v>5.05</v>
      </c>
      <c r="Q641">
        <v>3.14</v>
      </c>
      <c r="R641" t="s">
        <v>195</v>
      </c>
      <c r="S641" t="s">
        <v>39</v>
      </c>
      <c r="T641" t="s">
        <v>30</v>
      </c>
      <c r="U641" t="str">
        <f t="shared" si="27"/>
        <v>Normal</v>
      </c>
      <c r="V641" t="str">
        <f t="shared" si="28"/>
        <v>Normal</v>
      </c>
      <c r="W641" t="str">
        <f t="shared" si="29"/>
        <v>Normal</v>
      </c>
    </row>
    <row r="642" spans="1:23" x14ac:dyDescent="0.3">
      <c r="A642">
        <v>11331</v>
      </c>
      <c r="B642" s="2">
        <v>45779</v>
      </c>
      <c r="C642" t="s">
        <v>20</v>
      </c>
      <c r="D642" t="s">
        <v>59</v>
      </c>
      <c r="E642" t="s">
        <v>22</v>
      </c>
      <c r="F642" t="s">
        <v>81</v>
      </c>
      <c r="G642" t="s">
        <v>95</v>
      </c>
      <c r="H642" t="s">
        <v>90</v>
      </c>
      <c r="I642" t="s">
        <v>361</v>
      </c>
      <c r="J642">
        <v>998</v>
      </c>
      <c r="K642">
        <v>13</v>
      </c>
      <c r="L642" t="s">
        <v>45</v>
      </c>
      <c r="M642">
        <v>67</v>
      </c>
      <c r="N642">
        <v>43.8</v>
      </c>
      <c r="O642">
        <v>72.7</v>
      </c>
      <c r="P642">
        <v>3.87</v>
      </c>
      <c r="Q642">
        <v>2.34</v>
      </c>
      <c r="R642" t="s">
        <v>130</v>
      </c>
      <c r="S642" t="s">
        <v>39</v>
      </c>
      <c r="T642" t="s">
        <v>30</v>
      </c>
      <c r="U642" t="str">
        <f t="shared" ref="U642:U705" si="30">IF(OR(O642&lt;20,O642&gt;100),"Investigate","Normal")</f>
        <v>Normal</v>
      </c>
      <c r="V642" t="str">
        <f t="shared" ref="V642:V705" si="31">IF(OR(P642&lt;2,P642&gt;10),"Investigate","Normal")</f>
        <v>Normal</v>
      </c>
      <c r="W642" t="str">
        <f t="shared" ref="W642:W705" si="32">IF(Q642&gt;10,"Investigate","Normal")</f>
        <v>Normal</v>
      </c>
    </row>
    <row r="643" spans="1:23" x14ac:dyDescent="0.3">
      <c r="A643">
        <v>11057</v>
      </c>
      <c r="B643" s="2">
        <v>45802</v>
      </c>
      <c r="C643" t="s">
        <v>20</v>
      </c>
      <c r="D643" t="s">
        <v>21</v>
      </c>
      <c r="E643" t="s">
        <v>107</v>
      </c>
      <c r="F643" t="s">
        <v>41</v>
      </c>
      <c r="G643" t="s">
        <v>95</v>
      </c>
      <c r="H643" t="s">
        <v>148</v>
      </c>
      <c r="I643" t="s">
        <v>347</v>
      </c>
      <c r="J643">
        <v>1103</v>
      </c>
      <c r="K643">
        <v>12</v>
      </c>
      <c r="L643" t="s">
        <v>37</v>
      </c>
      <c r="M643">
        <v>25</v>
      </c>
      <c r="N643">
        <v>48.3</v>
      </c>
      <c r="O643">
        <v>72.7</v>
      </c>
      <c r="P643">
        <v>5.12</v>
      </c>
      <c r="Q643">
        <v>2.2799999999999998</v>
      </c>
      <c r="R643" t="s">
        <v>267</v>
      </c>
      <c r="S643" t="s">
        <v>29</v>
      </c>
      <c r="T643" t="s">
        <v>30</v>
      </c>
      <c r="U643" t="str">
        <f t="shared" si="30"/>
        <v>Normal</v>
      </c>
      <c r="V643" t="str">
        <f t="shared" si="31"/>
        <v>Normal</v>
      </c>
      <c r="W643" t="str">
        <f t="shared" si="32"/>
        <v>Normal</v>
      </c>
    </row>
    <row r="644" spans="1:23" x14ac:dyDescent="0.3">
      <c r="A644">
        <v>10287</v>
      </c>
      <c r="B644" s="2">
        <v>45988</v>
      </c>
      <c r="C644" t="s">
        <v>31</v>
      </c>
      <c r="D644" t="s">
        <v>59</v>
      </c>
      <c r="E644" t="s">
        <v>22</v>
      </c>
      <c r="F644" t="s">
        <v>23</v>
      </c>
      <c r="G644" t="s">
        <v>50</v>
      </c>
      <c r="H644" t="s">
        <v>148</v>
      </c>
      <c r="I644" t="s">
        <v>97</v>
      </c>
      <c r="J644">
        <v>732</v>
      </c>
      <c r="K644">
        <v>46</v>
      </c>
      <c r="L644" t="s">
        <v>45</v>
      </c>
      <c r="M644">
        <v>68</v>
      </c>
      <c r="N644">
        <v>46.7</v>
      </c>
      <c r="O644">
        <v>72.599999999999994</v>
      </c>
      <c r="P644">
        <v>5.2</v>
      </c>
      <c r="Q644">
        <v>2.5099999999999998</v>
      </c>
      <c r="R644" t="s">
        <v>159</v>
      </c>
      <c r="S644" t="s">
        <v>29</v>
      </c>
      <c r="T644" t="s">
        <v>48</v>
      </c>
      <c r="U644" t="str">
        <f t="shared" si="30"/>
        <v>Normal</v>
      </c>
      <c r="V644" t="str">
        <f t="shared" si="31"/>
        <v>Normal</v>
      </c>
      <c r="W644" t="str">
        <f t="shared" si="32"/>
        <v>Normal</v>
      </c>
    </row>
    <row r="645" spans="1:23" x14ac:dyDescent="0.3">
      <c r="A645">
        <v>10866</v>
      </c>
      <c r="B645" s="2">
        <v>46018</v>
      </c>
      <c r="C645" t="s">
        <v>20</v>
      </c>
      <c r="D645" t="s">
        <v>21</v>
      </c>
      <c r="E645" t="s">
        <v>107</v>
      </c>
      <c r="F645" t="s">
        <v>41</v>
      </c>
      <c r="G645" t="s">
        <v>95</v>
      </c>
      <c r="H645" t="s">
        <v>144</v>
      </c>
      <c r="I645" t="s">
        <v>364</v>
      </c>
      <c r="J645">
        <v>1265</v>
      </c>
      <c r="K645">
        <v>10</v>
      </c>
      <c r="L645" t="s">
        <v>27</v>
      </c>
      <c r="M645">
        <v>114</v>
      </c>
      <c r="N645">
        <v>41.5</v>
      </c>
      <c r="O645">
        <v>72.599999999999994</v>
      </c>
      <c r="P645">
        <v>7.22</v>
      </c>
      <c r="Q645">
        <v>3.21</v>
      </c>
      <c r="R645" t="s">
        <v>128</v>
      </c>
      <c r="S645" t="s">
        <v>39</v>
      </c>
      <c r="T645" t="s">
        <v>30</v>
      </c>
      <c r="U645" t="str">
        <f t="shared" si="30"/>
        <v>Normal</v>
      </c>
      <c r="V645" t="str">
        <f t="shared" si="31"/>
        <v>Normal</v>
      </c>
      <c r="W645" t="str">
        <f t="shared" si="32"/>
        <v>Normal</v>
      </c>
    </row>
    <row r="646" spans="1:23" x14ac:dyDescent="0.3">
      <c r="A646">
        <v>10450</v>
      </c>
      <c r="B646" s="2">
        <v>45718</v>
      </c>
      <c r="C646" t="s">
        <v>49</v>
      </c>
      <c r="D646" t="s">
        <v>21</v>
      </c>
      <c r="E646" t="s">
        <v>22</v>
      </c>
      <c r="F646" t="s">
        <v>23</v>
      </c>
      <c r="G646" t="s">
        <v>74</v>
      </c>
      <c r="H646" t="s">
        <v>223</v>
      </c>
      <c r="I646" t="s">
        <v>272</v>
      </c>
      <c r="J646">
        <v>860</v>
      </c>
      <c r="K646">
        <v>22</v>
      </c>
      <c r="L646" t="s">
        <v>71</v>
      </c>
      <c r="M646">
        <v>6</v>
      </c>
      <c r="N646">
        <v>45.7</v>
      </c>
      <c r="O646">
        <v>72.599999999999994</v>
      </c>
      <c r="P646">
        <v>4.0999999999999996</v>
      </c>
      <c r="Q646">
        <v>3.6</v>
      </c>
      <c r="R646" t="s">
        <v>174</v>
      </c>
      <c r="S646" t="s">
        <v>73</v>
      </c>
      <c r="T646" t="s">
        <v>30</v>
      </c>
      <c r="U646" t="str">
        <f t="shared" si="30"/>
        <v>Normal</v>
      </c>
      <c r="V646" t="str">
        <f t="shared" si="31"/>
        <v>Normal</v>
      </c>
      <c r="W646" t="str">
        <f t="shared" si="32"/>
        <v>Normal</v>
      </c>
    </row>
    <row r="647" spans="1:23" x14ac:dyDescent="0.3">
      <c r="A647">
        <v>10526</v>
      </c>
      <c r="B647" s="2">
        <v>45844</v>
      </c>
      <c r="C647" t="s">
        <v>49</v>
      </c>
      <c r="D647" t="s">
        <v>21</v>
      </c>
      <c r="E647" t="s">
        <v>33</v>
      </c>
      <c r="F647" t="s">
        <v>41</v>
      </c>
      <c r="G647" t="s">
        <v>113</v>
      </c>
      <c r="H647" t="s">
        <v>75</v>
      </c>
      <c r="I647" t="s">
        <v>347</v>
      </c>
      <c r="J647">
        <v>667</v>
      </c>
      <c r="K647">
        <v>3</v>
      </c>
      <c r="L647" t="s">
        <v>45</v>
      </c>
      <c r="M647">
        <v>42</v>
      </c>
      <c r="N647">
        <v>40.9</v>
      </c>
      <c r="O647">
        <v>72.599999999999994</v>
      </c>
      <c r="P647">
        <v>4.72</v>
      </c>
      <c r="Q647">
        <v>3.6</v>
      </c>
      <c r="R647" t="s">
        <v>80</v>
      </c>
      <c r="S647" t="s">
        <v>47</v>
      </c>
      <c r="T647" t="s">
        <v>30</v>
      </c>
      <c r="U647" t="str">
        <f t="shared" si="30"/>
        <v>Normal</v>
      </c>
      <c r="V647" t="str">
        <f t="shared" si="31"/>
        <v>Normal</v>
      </c>
      <c r="W647" t="str">
        <f t="shared" si="32"/>
        <v>Normal</v>
      </c>
    </row>
    <row r="648" spans="1:23" x14ac:dyDescent="0.3">
      <c r="A648">
        <v>11436</v>
      </c>
      <c r="B648" s="2">
        <v>45993</v>
      </c>
      <c r="C648" t="s">
        <v>49</v>
      </c>
      <c r="D648" t="s">
        <v>32</v>
      </c>
      <c r="E648" t="s">
        <v>22</v>
      </c>
      <c r="F648" t="s">
        <v>41</v>
      </c>
      <c r="G648" t="s">
        <v>74</v>
      </c>
      <c r="H648" t="s">
        <v>215</v>
      </c>
      <c r="I648" t="s">
        <v>244</v>
      </c>
      <c r="J648">
        <v>668</v>
      </c>
      <c r="K648">
        <v>7</v>
      </c>
      <c r="L648" t="s">
        <v>37</v>
      </c>
      <c r="M648">
        <v>107</v>
      </c>
      <c r="N648">
        <v>41.4</v>
      </c>
      <c r="O648">
        <v>72.599999999999994</v>
      </c>
      <c r="P648">
        <v>6.13</v>
      </c>
      <c r="Q648">
        <v>4.32</v>
      </c>
      <c r="R648" t="s">
        <v>167</v>
      </c>
      <c r="S648" t="s">
        <v>73</v>
      </c>
      <c r="T648" t="s">
        <v>30</v>
      </c>
      <c r="U648" t="str">
        <f t="shared" si="30"/>
        <v>Normal</v>
      </c>
      <c r="V648" t="str">
        <f t="shared" si="31"/>
        <v>Normal</v>
      </c>
      <c r="W648" t="str">
        <f t="shared" si="32"/>
        <v>Normal</v>
      </c>
    </row>
    <row r="649" spans="1:23" x14ac:dyDescent="0.3">
      <c r="A649">
        <v>11214</v>
      </c>
      <c r="B649" s="2">
        <v>45971</v>
      </c>
      <c r="C649" t="s">
        <v>20</v>
      </c>
      <c r="D649" t="s">
        <v>64</v>
      </c>
      <c r="E649" t="s">
        <v>22</v>
      </c>
      <c r="F649" t="s">
        <v>81</v>
      </c>
      <c r="G649" t="s">
        <v>54</v>
      </c>
      <c r="H649" t="s">
        <v>263</v>
      </c>
      <c r="I649" t="s">
        <v>246</v>
      </c>
      <c r="J649">
        <v>515</v>
      </c>
      <c r="K649">
        <v>12</v>
      </c>
      <c r="L649" t="s">
        <v>45</v>
      </c>
      <c r="M649">
        <v>51</v>
      </c>
      <c r="N649">
        <v>33.6</v>
      </c>
      <c r="O649">
        <v>72.599999999999994</v>
      </c>
      <c r="P649">
        <v>5.8</v>
      </c>
      <c r="Q649">
        <v>4.09</v>
      </c>
      <c r="R649" t="s">
        <v>28</v>
      </c>
      <c r="S649" t="s">
        <v>73</v>
      </c>
      <c r="T649" t="s">
        <v>30</v>
      </c>
      <c r="U649" t="str">
        <f t="shared" si="30"/>
        <v>Normal</v>
      </c>
      <c r="V649" t="str">
        <f t="shared" si="31"/>
        <v>Normal</v>
      </c>
      <c r="W649" t="str">
        <f t="shared" si="32"/>
        <v>Normal</v>
      </c>
    </row>
    <row r="650" spans="1:23" x14ac:dyDescent="0.3">
      <c r="A650">
        <v>11350</v>
      </c>
      <c r="B650" s="2">
        <v>45958</v>
      </c>
      <c r="C650" t="s">
        <v>49</v>
      </c>
      <c r="D650" t="s">
        <v>64</v>
      </c>
      <c r="E650" t="s">
        <v>40</v>
      </c>
      <c r="F650" t="s">
        <v>41</v>
      </c>
      <c r="G650" t="s">
        <v>109</v>
      </c>
      <c r="H650" t="s">
        <v>278</v>
      </c>
      <c r="I650" t="s">
        <v>234</v>
      </c>
      <c r="J650">
        <v>1587</v>
      </c>
      <c r="K650">
        <v>11</v>
      </c>
      <c r="L650" t="s">
        <v>57</v>
      </c>
      <c r="M650">
        <v>117</v>
      </c>
      <c r="N650">
        <v>37</v>
      </c>
      <c r="O650">
        <v>72.599999999999994</v>
      </c>
      <c r="P650">
        <v>4.9000000000000004</v>
      </c>
      <c r="Q650">
        <v>2.98</v>
      </c>
      <c r="R650" t="s">
        <v>195</v>
      </c>
      <c r="S650" t="s">
        <v>73</v>
      </c>
      <c r="T650" t="s">
        <v>30</v>
      </c>
      <c r="U650" t="str">
        <f t="shared" si="30"/>
        <v>Normal</v>
      </c>
      <c r="V650" t="str">
        <f t="shared" si="31"/>
        <v>Normal</v>
      </c>
      <c r="W650" t="str">
        <f t="shared" si="32"/>
        <v>Normal</v>
      </c>
    </row>
    <row r="651" spans="1:23" x14ac:dyDescent="0.3">
      <c r="A651">
        <v>11247</v>
      </c>
      <c r="B651" s="2">
        <v>45699</v>
      </c>
      <c r="C651" t="s">
        <v>20</v>
      </c>
      <c r="D651" t="s">
        <v>64</v>
      </c>
      <c r="E651" t="s">
        <v>22</v>
      </c>
      <c r="F651" t="s">
        <v>23</v>
      </c>
      <c r="G651" t="s">
        <v>54</v>
      </c>
      <c r="H651" t="s">
        <v>51</v>
      </c>
      <c r="I651" t="s">
        <v>321</v>
      </c>
      <c r="J651">
        <v>1121</v>
      </c>
      <c r="K651">
        <v>12</v>
      </c>
      <c r="L651" t="s">
        <v>37</v>
      </c>
      <c r="M651">
        <v>125</v>
      </c>
      <c r="N651">
        <v>40.299999999999997</v>
      </c>
      <c r="O651">
        <v>72.5</v>
      </c>
      <c r="P651">
        <v>6.48</v>
      </c>
      <c r="Q651">
        <v>2.93</v>
      </c>
      <c r="R651" t="s">
        <v>53</v>
      </c>
      <c r="S651" t="s">
        <v>29</v>
      </c>
      <c r="T651" t="s">
        <v>30</v>
      </c>
      <c r="U651" t="str">
        <f t="shared" si="30"/>
        <v>Normal</v>
      </c>
      <c r="V651" t="str">
        <f t="shared" si="31"/>
        <v>Normal</v>
      </c>
      <c r="W651" t="str">
        <f t="shared" si="32"/>
        <v>Normal</v>
      </c>
    </row>
    <row r="652" spans="1:23" x14ac:dyDescent="0.3">
      <c r="A652">
        <v>10084</v>
      </c>
      <c r="B652" s="2">
        <v>45924</v>
      </c>
      <c r="C652" t="s">
        <v>31</v>
      </c>
      <c r="D652" t="s">
        <v>21</v>
      </c>
      <c r="E652" t="s">
        <v>33</v>
      </c>
      <c r="F652" t="s">
        <v>41</v>
      </c>
      <c r="G652" t="s">
        <v>42</v>
      </c>
      <c r="H652" t="s">
        <v>215</v>
      </c>
      <c r="I652" t="s">
        <v>154</v>
      </c>
      <c r="J652">
        <v>1277</v>
      </c>
      <c r="K652">
        <v>12</v>
      </c>
      <c r="L652" t="s">
        <v>57</v>
      </c>
      <c r="M652">
        <v>7</v>
      </c>
      <c r="N652">
        <v>46.4</v>
      </c>
      <c r="O652">
        <v>72.5</v>
      </c>
      <c r="P652">
        <v>5.27</v>
      </c>
      <c r="Q652">
        <v>1.5</v>
      </c>
      <c r="R652" t="s">
        <v>122</v>
      </c>
      <c r="S652" t="s">
        <v>47</v>
      </c>
      <c r="T652" t="s">
        <v>30</v>
      </c>
      <c r="U652" t="str">
        <f t="shared" si="30"/>
        <v>Normal</v>
      </c>
      <c r="V652" t="str">
        <f t="shared" si="31"/>
        <v>Normal</v>
      </c>
      <c r="W652" t="str">
        <f t="shared" si="32"/>
        <v>Normal</v>
      </c>
    </row>
    <row r="653" spans="1:23" x14ac:dyDescent="0.3">
      <c r="A653">
        <v>10803</v>
      </c>
      <c r="B653" s="2">
        <v>46003</v>
      </c>
      <c r="C653" t="s">
        <v>49</v>
      </c>
      <c r="D653" t="s">
        <v>21</v>
      </c>
      <c r="E653" t="s">
        <v>22</v>
      </c>
      <c r="F653" t="s">
        <v>23</v>
      </c>
      <c r="G653" t="s">
        <v>109</v>
      </c>
      <c r="H653" t="s">
        <v>172</v>
      </c>
      <c r="I653" t="s">
        <v>194</v>
      </c>
      <c r="J653">
        <v>927</v>
      </c>
      <c r="K653">
        <v>14</v>
      </c>
      <c r="L653" t="s">
        <v>68</v>
      </c>
      <c r="M653">
        <v>168</v>
      </c>
      <c r="N653">
        <v>42.5</v>
      </c>
      <c r="O653">
        <v>72.5</v>
      </c>
      <c r="P653">
        <v>5.92</v>
      </c>
      <c r="Q653">
        <v>0.93</v>
      </c>
      <c r="R653" t="s">
        <v>140</v>
      </c>
      <c r="S653" t="s">
        <v>29</v>
      </c>
      <c r="T653" t="s">
        <v>30</v>
      </c>
      <c r="U653" t="str">
        <f t="shared" si="30"/>
        <v>Normal</v>
      </c>
      <c r="V653" t="str">
        <f t="shared" si="31"/>
        <v>Normal</v>
      </c>
      <c r="W653" t="str">
        <f t="shared" si="32"/>
        <v>Normal</v>
      </c>
    </row>
    <row r="654" spans="1:23" x14ac:dyDescent="0.3">
      <c r="A654">
        <v>10946</v>
      </c>
      <c r="B654" s="2">
        <v>45685</v>
      </c>
      <c r="C654" t="s">
        <v>31</v>
      </c>
      <c r="D654" t="s">
        <v>59</v>
      </c>
      <c r="E654" t="s">
        <v>33</v>
      </c>
      <c r="F654" t="s">
        <v>41</v>
      </c>
      <c r="G654" t="s">
        <v>134</v>
      </c>
      <c r="H654" t="s">
        <v>123</v>
      </c>
      <c r="I654" t="s">
        <v>321</v>
      </c>
      <c r="J654">
        <v>1469</v>
      </c>
      <c r="K654">
        <v>49</v>
      </c>
      <c r="L654" t="s">
        <v>37</v>
      </c>
      <c r="M654">
        <v>85</v>
      </c>
      <c r="N654">
        <v>43.1</v>
      </c>
      <c r="O654">
        <v>72.5</v>
      </c>
      <c r="P654">
        <v>4.76</v>
      </c>
      <c r="Q654">
        <v>3.71</v>
      </c>
      <c r="R654" t="s">
        <v>209</v>
      </c>
      <c r="S654" t="s">
        <v>73</v>
      </c>
      <c r="T654" t="s">
        <v>48</v>
      </c>
      <c r="U654" t="str">
        <f t="shared" si="30"/>
        <v>Normal</v>
      </c>
      <c r="V654" t="str">
        <f t="shared" si="31"/>
        <v>Normal</v>
      </c>
      <c r="W654" t="str">
        <f t="shared" si="32"/>
        <v>Normal</v>
      </c>
    </row>
    <row r="655" spans="1:23" x14ac:dyDescent="0.3">
      <c r="A655">
        <v>11312</v>
      </c>
      <c r="B655" s="2">
        <v>45798</v>
      </c>
      <c r="C655" t="s">
        <v>20</v>
      </c>
      <c r="D655" t="s">
        <v>32</v>
      </c>
      <c r="E655" t="s">
        <v>107</v>
      </c>
      <c r="F655" t="s">
        <v>81</v>
      </c>
      <c r="G655" t="s">
        <v>109</v>
      </c>
      <c r="H655" t="s">
        <v>200</v>
      </c>
      <c r="I655" t="s">
        <v>375</v>
      </c>
      <c r="J655">
        <v>974</v>
      </c>
      <c r="K655">
        <v>35</v>
      </c>
      <c r="L655" t="s">
        <v>71</v>
      </c>
      <c r="M655">
        <v>41</v>
      </c>
      <c r="N655">
        <v>40.200000000000003</v>
      </c>
      <c r="O655">
        <v>72.5</v>
      </c>
      <c r="P655">
        <v>4.57</v>
      </c>
      <c r="Q655">
        <v>3.33</v>
      </c>
      <c r="R655" t="s">
        <v>232</v>
      </c>
      <c r="S655" t="s">
        <v>73</v>
      </c>
      <c r="T655" t="s">
        <v>48</v>
      </c>
      <c r="U655" t="str">
        <f t="shared" si="30"/>
        <v>Normal</v>
      </c>
      <c r="V655" t="str">
        <f t="shared" si="31"/>
        <v>Normal</v>
      </c>
      <c r="W655" t="str">
        <f t="shared" si="32"/>
        <v>Normal</v>
      </c>
    </row>
    <row r="656" spans="1:23" x14ac:dyDescent="0.3">
      <c r="A656">
        <v>10513</v>
      </c>
      <c r="B656" s="2">
        <v>45824</v>
      </c>
      <c r="C656" t="s">
        <v>20</v>
      </c>
      <c r="D656" t="s">
        <v>21</v>
      </c>
      <c r="E656" t="s">
        <v>22</v>
      </c>
      <c r="F656" t="s">
        <v>81</v>
      </c>
      <c r="G656" t="s">
        <v>113</v>
      </c>
      <c r="H656" t="s">
        <v>101</v>
      </c>
      <c r="I656" t="s">
        <v>160</v>
      </c>
      <c r="J656">
        <v>749</v>
      </c>
      <c r="K656">
        <v>29</v>
      </c>
      <c r="L656" t="s">
        <v>57</v>
      </c>
      <c r="M656">
        <v>94</v>
      </c>
      <c r="N656">
        <v>43</v>
      </c>
      <c r="O656">
        <v>72.5</v>
      </c>
      <c r="P656">
        <v>5.85</v>
      </c>
      <c r="Q656">
        <v>1.87</v>
      </c>
      <c r="R656" t="s">
        <v>174</v>
      </c>
      <c r="S656" t="s">
        <v>29</v>
      </c>
      <c r="T656" t="s">
        <v>48</v>
      </c>
      <c r="U656" t="str">
        <f t="shared" si="30"/>
        <v>Normal</v>
      </c>
      <c r="V656" t="str">
        <f t="shared" si="31"/>
        <v>Normal</v>
      </c>
      <c r="W656" t="str">
        <f t="shared" si="32"/>
        <v>Normal</v>
      </c>
    </row>
    <row r="657" spans="1:23" x14ac:dyDescent="0.3">
      <c r="A657">
        <v>10682</v>
      </c>
      <c r="B657" s="2">
        <v>45951</v>
      </c>
      <c r="C657" t="s">
        <v>49</v>
      </c>
      <c r="D657" t="s">
        <v>59</v>
      </c>
      <c r="E657" t="s">
        <v>33</v>
      </c>
      <c r="F657" t="s">
        <v>23</v>
      </c>
      <c r="G657" t="s">
        <v>134</v>
      </c>
      <c r="H657" t="s">
        <v>192</v>
      </c>
      <c r="I657" t="s">
        <v>79</v>
      </c>
      <c r="J657">
        <v>1263</v>
      </c>
      <c r="K657">
        <v>38</v>
      </c>
      <c r="L657" t="s">
        <v>45</v>
      </c>
      <c r="M657">
        <v>63</v>
      </c>
      <c r="N657">
        <v>40.9</v>
      </c>
      <c r="O657">
        <v>72.5</v>
      </c>
      <c r="P657">
        <v>4.92</v>
      </c>
      <c r="Q657">
        <v>5.51</v>
      </c>
      <c r="R657" t="s">
        <v>152</v>
      </c>
      <c r="S657" t="s">
        <v>39</v>
      </c>
      <c r="T657" t="s">
        <v>48</v>
      </c>
      <c r="U657" t="str">
        <f t="shared" si="30"/>
        <v>Normal</v>
      </c>
      <c r="V657" t="str">
        <f t="shared" si="31"/>
        <v>Normal</v>
      </c>
      <c r="W657" t="str">
        <f t="shared" si="32"/>
        <v>Normal</v>
      </c>
    </row>
    <row r="658" spans="1:23" x14ac:dyDescent="0.3">
      <c r="A658">
        <v>11039</v>
      </c>
      <c r="B658" s="2">
        <v>45926</v>
      </c>
      <c r="C658" t="s">
        <v>31</v>
      </c>
      <c r="D658" t="s">
        <v>59</v>
      </c>
      <c r="E658" t="s">
        <v>33</v>
      </c>
      <c r="F658" t="s">
        <v>41</v>
      </c>
      <c r="G658" t="s">
        <v>109</v>
      </c>
      <c r="H658" t="s">
        <v>424</v>
      </c>
      <c r="I658" t="s">
        <v>104</v>
      </c>
      <c r="J658">
        <v>486</v>
      </c>
      <c r="K658">
        <v>17</v>
      </c>
      <c r="L658" t="s">
        <v>37</v>
      </c>
      <c r="M658">
        <v>18</v>
      </c>
      <c r="N658">
        <v>43.1</v>
      </c>
      <c r="O658">
        <v>72.5</v>
      </c>
      <c r="P658">
        <v>4.12</v>
      </c>
      <c r="Q658">
        <v>2.4300000000000002</v>
      </c>
      <c r="R658" t="s">
        <v>167</v>
      </c>
      <c r="S658" t="s">
        <v>47</v>
      </c>
      <c r="T658" t="s">
        <v>48</v>
      </c>
      <c r="U658" t="str">
        <f t="shared" si="30"/>
        <v>Normal</v>
      </c>
      <c r="V658" t="str">
        <f t="shared" si="31"/>
        <v>Normal</v>
      </c>
      <c r="W658" t="str">
        <f t="shared" si="32"/>
        <v>Normal</v>
      </c>
    </row>
    <row r="659" spans="1:23" x14ac:dyDescent="0.3">
      <c r="A659">
        <v>10035</v>
      </c>
      <c r="B659" s="2">
        <v>45949</v>
      </c>
      <c r="C659" t="s">
        <v>20</v>
      </c>
      <c r="D659" t="s">
        <v>21</v>
      </c>
      <c r="E659" t="s">
        <v>22</v>
      </c>
      <c r="F659" t="s">
        <v>41</v>
      </c>
      <c r="G659" t="s">
        <v>34</v>
      </c>
      <c r="H659" t="s">
        <v>141</v>
      </c>
      <c r="I659" t="s">
        <v>297</v>
      </c>
      <c r="J659">
        <v>663</v>
      </c>
      <c r="K659">
        <v>2</v>
      </c>
      <c r="L659" t="s">
        <v>37</v>
      </c>
      <c r="M659">
        <v>131</v>
      </c>
      <c r="N659">
        <v>41.8</v>
      </c>
      <c r="O659">
        <v>72.5</v>
      </c>
      <c r="P659">
        <v>5.35</v>
      </c>
      <c r="Q659">
        <v>4.5599999999999996</v>
      </c>
      <c r="R659" t="s">
        <v>137</v>
      </c>
      <c r="S659" t="s">
        <v>73</v>
      </c>
      <c r="T659" t="s">
        <v>30</v>
      </c>
      <c r="U659" t="str">
        <f t="shared" si="30"/>
        <v>Normal</v>
      </c>
      <c r="V659" t="str">
        <f t="shared" si="31"/>
        <v>Normal</v>
      </c>
      <c r="W659" t="str">
        <f t="shared" si="32"/>
        <v>Normal</v>
      </c>
    </row>
    <row r="660" spans="1:23" x14ac:dyDescent="0.3">
      <c r="A660">
        <v>11483</v>
      </c>
      <c r="B660" s="2">
        <v>46007</v>
      </c>
      <c r="C660" t="s">
        <v>49</v>
      </c>
      <c r="D660" t="s">
        <v>32</v>
      </c>
      <c r="E660" t="s">
        <v>40</v>
      </c>
      <c r="F660" t="s">
        <v>81</v>
      </c>
      <c r="G660" t="s">
        <v>113</v>
      </c>
      <c r="H660" t="s">
        <v>93</v>
      </c>
      <c r="I660" t="s">
        <v>194</v>
      </c>
      <c r="J660">
        <v>1234</v>
      </c>
      <c r="K660">
        <v>13</v>
      </c>
      <c r="L660" t="s">
        <v>27</v>
      </c>
      <c r="M660">
        <v>117</v>
      </c>
      <c r="N660">
        <v>39.200000000000003</v>
      </c>
      <c r="O660">
        <v>72.5</v>
      </c>
      <c r="P660">
        <v>4.51</v>
      </c>
      <c r="Q660">
        <v>2.5499999999999998</v>
      </c>
      <c r="R660" t="s">
        <v>137</v>
      </c>
      <c r="S660" t="s">
        <v>29</v>
      </c>
      <c r="T660" t="s">
        <v>30</v>
      </c>
      <c r="U660" t="str">
        <f t="shared" si="30"/>
        <v>Normal</v>
      </c>
      <c r="V660" t="str">
        <f t="shared" si="31"/>
        <v>Normal</v>
      </c>
      <c r="W660" t="str">
        <f t="shared" si="32"/>
        <v>Normal</v>
      </c>
    </row>
    <row r="661" spans="1:23" x14ac:dyDescent="0.3">
      <c r="A661">
        <v>11055</v>
      </c>
      <c r="B661" s="2">
        <v>45870</v>
      </c>
      <c r="C661" t="s">
        <v>49</v>
      </c>
      <c r="D661" t="s">
        <v>59</v>
      </c>
      <c r="E661" t="s">
        <v>107</v>
      </c>
      <c r="F661" t="s">
        <v>41</v>
      </c>
      <c r="G661" t="s">
        <v>24</v>
      </c>
      <c r="H661" t="s">
        <v>88</v>
      </c>
      <c r="I661" t="s">
        <v>121</v>
      </c>
      <c r="J661">
        <v>996</v>
      </c>
      <c r="K661">
        <v>4</v>
      </c>
      <c r="L661" t="s">
        <v>68</v>
      </c>
      <c r="M661">
        <v>129</v>
      </c>
      <c r="N661">
        <v>51</v>
      </c>
      <c r="O661">
        <v>72.400000000000006</v>
      </c>
      <c r="P661">
        <v>3.75</v>
      </c>
      <c r="Q661">
        <v>0.93</v>
      </c>
      <c r="R661" t="s">
        <v>80</v>
      </c>
      <c r="S661" t="s">
        <v>47</v>
      </c>
      <c r="T661" t="s">
        <v>30</v>
      </c>
      <c r="U661" t="str">
        <f t="shared" si="30"/>
        <v>Normal</v>
      </c>
      <c r="V661" t="str">
        <f t="shared" si="31"/>
        <v>Normal</v>
      </c>
      <c r="W661" t="str">
        <f t="shared" si="32"/>
        <v>Normal</v>
      </c>
    </row>
    <row r="662" spans="1:23" x14ac:dyDescent="0.3">
      <c r="A662">
        <v>10786</v>
      </c>
      <c r="B662" s="2">
        <v>45759</v>
      </c>
      <c r="C662" t="s">
        <v>20</v>
      </c>
      <c r="D662" t="s">
        <v>64</v>
      </c>
      <c r="E662" t="s">
        <v>22</v>
      </c>
      <c r="F662" t="s">
        <v>41</v>
      </c>
      <c r="G662" t="s">
        <v>74</v>
      </c>
      <c r="H662" t="s">
        <v>25</v>
      </c>
      <c r="I662" t="s">
        <v>127</v>
      </c>
      <c r="J662">
        <v>1240</v>
      </c>
      <c r="K662">
        <v>18</v>
      </c>
      <c r="L662" t="s">
        <v>57</v>
      </c>
      <c r="M662">
        <v>65</v>
      </c>
      <c r="N662">
        <v>33.200000000000003</v>
      </c>
      <c r="O662">
        <v>72.400000000000006</v>
      </c>
      <c r="P662">
        <v>7.05</v>
      </c>
      <c r="Q662">
        <v>1.92</v>
      </c>
      <c r="R662" t="s">
        <v>80</v>
      </c>
      <c r="S662" t="s">
        <v>39</v>
      </c>
      <c r="T662" t="s">
        <v>30</v>
      </c>
      <c r="U662" t="str">
        <f t="shared" si="30"/>
        <v>Normal</v>
      </c>
      <c r="V662" t="str">
        <f t="shared" si="31"/>
        <v>Normal</v>
      </c>
      <c r="W662" t="str">
        <f t="shared" si="32"/>
        <v>Normal</v>
      </c>
    </row>
    <row r="663" spans="1:23" x14ac:dyDescent="0.3">
      <c r="A663">
        <v>11109</v>
      </c>
      <c r="B663" s="2">
        <v>45755</v>
      </c>
      <c r="C663" t="s">
        <v>31</v>
      </c>
      <c r="D663" t="s">
        <v>59</v>
      </c>
      <c r="E663" t="s">
        <v>22</v>
      </c>
      <c r="F663" t="s">
        <v>81</v>
      </c>
      <c r="G663" t="s">
        <v>95</v>
      </c>
      <c r="H663" t="s">
        <v>175</v>
      </c>
      <c r="I663" t="s">
        <v>142</v>
      </c>
      <c r="J663">
        <v>462</v>
      </c>
      <c r="K663">
        <v>13</v>
      </c>
      <c r="L663" t="s">
        <v>68</v>
      </c>
      <c r="M663">
        <v>139</v>
      </c>
      <c r="N663">
        <v>44</v>
      </c>
      <c r="O663">
        <v>72.400000000000006</v>
      </c>
      <c r="P663">
        <v>4.0999999999999996</v>
      </c>
      <c r="Q663">
        <v>2.37</v>
      </c>
      <c r="R663" t="s">
        <v>28</v>
      </c>
      <c r="S663" t="s">
        <v>29</v>
      </c>
      <c r="T663" t="s">
        <v>30</v>
      </c>
      <c r="U663" t="str">
        <f t="shared" si="30"/>
        <v>Normal</v>
      </c>
      <c r="V663" t="str">
        <f t="shared" si="31"/>
        <v>Normal</v>
      </c>
      <c r="W663" t="str">
        <f t="shared" si="32"/>
        <v>Normal</v>
      </c>
    </row>
    <row r="664" spans="1:23" x14ac:dyDescent="0.3">
      <c r="A664">
        <v>10405</v>
      </c>
      <c r="B664" s="2">
        <v>45718</v>
      </c>
      <c r="C664" t="s">
        <v>31</v>
      </c>
      <c r="D664" t="s">
        <v>64</v>
      </c>
      <c r="E664" t="s">
        <v>107</v>
      </c>
      <c r="F664" t="s">
        <v>23</v>
      </c>
      <c r="G664" t="s">
        <v>95</v>
      </c>
      <c r="H664" t="s">
        <v>66</v>
      </c>
      <c r="I664" t="s">
        <v>371</v>
      </c>
      <c r="J664">
        <v>825</v>
      </c>
      <c r="K664">
        <v>49</v>
      </c>
      <c r="L664" t="s">
        <v>27</v>
      </c>
      <c r="M664">
        <v>93</v>
      </c>
      <c r="N664">
        <v>59.5</v>
      </c>
      <c r="O664">
        <v>72.400000000000006</v>
      </c>
      <c r="P664">
        <v>4.6900000000000004</v>
      </c>
      <c r="Q664">
        <v>5.91</v>
      </c>
      <c r="R664" t="s">
        <v>38</v>
      </c>
      <c r="S664" t="s">
        <v>73</v>
      </c>
      <c r="T664" t="s">
        <v>48</v>
      </c>
      <c r="U664" t="str">
        <f t="shared" si="30"/>
        <v>Normal</v>
      </c>
      <c r="V664" t="str">
        <f t="shared" si="31"/>
        <v>Normal</v>
      </c>
      <c r="W664" t="str">
        <f t="shared" si="32"/>
        <v>Normal</v>
      </c>
    </row>
    <row r="665" spans="1:23" x14ac:dyDescent="0.3">
      <c r="A665">
        <v>10251</v>
      </c>
      <c r="B665" s="2">
        <v>45771</v>
      </c>
      <c r="C665" t="s">
        <v>31</v>
      </c>
      <c r="D665" t="s">
        <v>64</v>
      </c>
      <c r="E665" t="s">
        <v>40</v>
      </c>
      <c r="F665" t="s">
        <v>81</v>
      </c>
      <c r="G665" t="s">
        <v>95</v>
      </c>
      <c r="H665" t="s">
        <v>75</v>
      </c>
      <c r="I665" t="s">
        <v>173</v>
      </c>
      <c r="J665">
        <v>1299</v>
      </c>
      <c r="K665">
        <v>37</v>
      </c>
      <c r="L665" t="s">
        <v>27</v>
      </c>
      <c r="M665">
        <v>30</v>
      </c>
      <c r="N665">
        <v>42.3</v>
      </c>
      <c r="O665">
        <v>72.400000000000006</v>
      </c>
      <c r="P665">
        <v>4.8</v>
      </c>
      <c r="Q665">
        <v>1.29</v>
      </c>
      <c r="R665" t="s">
        <v>186</v>
      </c>
      <c r="S665" t="s">
        <v>39</v>
      </c>
      <c r="T665" t="s">
        <v>30</v>
      </c>
      <c r="U665" t="str">
        <f t="shared" si="30"/>
        <v>Normal</v>
      </c>
      <c r="V665" t="str">
        <f t="shared" si="31"/>
        <v>Normal</v>
      </c>
      <c r="W665" t="str">
        <f t="shared" si="32"/>
        <v>Normal</v>
      </c>
    </row>
    <row r="666" spans="1:23" x14ac:dyDescent="0.3">
      <c r="A666">
        <v>11188</v>
      </c>
      <c r="B666" s="2">
        <v>45843</v>
      </c>
      <c r="C666" t="s">
        <v>49</v>
      </c>
      <c r="D666" t="s">
        <v>32</v>
      </c>
      <c r="E666" t="s">
        <v>40</v>
      </c>
      <c r="F666" t="s">
        <v>41</v>
      </c>
      <c r="G666" t="s">
        <v>42</v>
      </c>
      <c r="H666" t="s">
        <v>55</v>
      </c>
      <c r="I666" t="s">
        <v>91</v>
      </c>
      <c r="J666">
        <v>1104</v>
      </c>
      <c r="K666">
        <v>16</v>
      </c>
      <c r="L666" t="s">
        <v>71</v>
      </c>
      <c r="M666">
        <v>141</v>
      </c>
      <c r="N666">
        <v>41.3</v>
      </c>
      <c r="O666">
        <v>72.400000000000006</v>
      </c>
      <c r="P666">
        <v>3.53</v>
      </c>
      <c r="Q666">
        <v>2.77</v>
      </c>
      <c r="R666" t="s">
        <v>267</v>
      </c>
      <c r="S666" t="s">
        <v>73</v>
      </c>
      <c r="T666" t="s">
        <v>30</v>
      </c>
      <c r="U666" t="str">
        <f t="shared" si="30"/>
        <v>Normal</v>
      </c>
      <c r="V666" t="str">
        <f t="shared" si="31"/>
        <v>Normal</v>
      </c>
      <c r="W666" t="str">
        <f t="shared" si="32"/>
        <v>Normal</v>
      </c>
    </row>
    <row r="667" spans="1:23" x14ac:dyDescent="0.3">
      <c r="A667">
        <v>10492</v>
      </c>
      <c r="B667" s="2">
        <v>45941</v>
      </c>
      <c r="C667" t="s">
        <v>31</v>
      </c>
      <c r="D667" t="s">
        <v>59</v>
      </c>
      <c r="E667" t="s">
        <v>33</v>
      </c>
      <c r="F667" t="s">
        <v>23</v>
      </c>
      <c r="G667" t="s">
        <v>74</v>
      </c>
      <c r="H667" t="s">
        <v>200</v>
      </c>
      <c r="I667" t="s">
        <v>220</v>
      </c>
      <c r="J667">
        <v>1210</v>
      </c>
      <c r="K667">
        <v>4</v>
      </c>
      <c r="L667" t="s">
        <v>57</v>
      </c>
      <c r="M667">
        <v>171</v>
      </c>
      <c r="N667">
        <v>48.6</v>
      </c>
      <c r="O667">
        <v>72.400000000000006</v>
      </c>
      <c r="P667">
        <v>5.54</v>
      </c>
      <c r="Q667">
        <v>2.29</v>
      </c>
      <c r="R667" t="s">
        <v>38</v>
      </c>
      <c r="S667" t="s">
        <v>73</v>
      </c>
      <c r="T667" t="s">
        <v>30</v>
      </c>
      <c r="U667" t="str">
        <f t="shared" si="30"/>
        <v>Normal</v>
      </c>
      <c r="V667" t="str">
        <f t="shared" si="31"/>
        <v>Normal</v>
      </c>
      <c r="W667" t="str">
        <f t="shared" si="32"/>
        <v>Normal</v>
      </c>
    </row>
    <row r="668" spans="1:23" x14ac:dyDescent="0.3">
      <c r="A668">
        <v>10807</v>
      </c>
      <c r="B668" s="2">
        <v>45871</v>
      </c>
      <c r="C668" t="s">
        <v>31</v>
      </c>
      <c r="D668" t="s">
        <v>21</v>
      </c>
      <c r="E668" t="s">
        <v>107</v>
      </c>
      <c r="F668" t="s">
        <v>41</v>
      </c>
      <c r="G668" t="s">
        <v>54</v>
      </c>
      <c r="H668" t="s">
        <v>116</v>
      </c>
      <c r="I668" t="s">
        <v>244</v>
      </c>
      <c r="J668">
        <v>793</v>
      </c>
      <c r="K668">
        <v>8</v>
      </c>
      <c r="L668" t="s">
        <v>71</v>
      </c>
      <c r="M668">
        <v>93</v>
      </c>
      <c r="N668">
        <v>43.4</v>
      </c>
      <c r="O668">
        <v>72.3</v>
      </c>
      <c r="P668">
        <v>5.77</v>
      </c>
      <c r="Q668">
        <v>1.41</v>
      </c>
      <c r="R668" t="s">
        <v>245</v>
      </c>
      <c r="S668" t="s">
        <v>73</v>
      </c>
      <c r="T668" t="s">
        <v>30</v>
      </c>
      <c r="U668" t="str">
        <f t="shared" si="30"/>
        <v>Normal</v>
      </c>
      <c r="V668" t="str">
        <f t="shared" si="31"/>
        <v>Normal</v>
      </c>
      <c r="W668" t="str">
        <f t="shared" si="32"/>
        <v>Normal</v>
      </c>
    </row>
    <row r="669" spans="1:23" x14ac:dyDescent="0.3">
      <c r="A669">
        <v>10315</v>
      </c>
      <c r="B669" s="2">
        <v>45922</v>
      </c>
      <c r="C669" t="s">
        <v>49</v>
      </c>
      <c r="D669" t="s">
        <v>59</v>
      </c>
      <c r="E669" t="s">
        <v>107</v>
      </c>
      <c r="F669" t="s">
        <v>81</v>
      </c>
      <c r="G669" t="s">
        <v>60</v>
      </c>
      <c r="H669" t="s">
        <v>138</v>
      </c>
      <c r="I669" t="s">
        <v>312</v>
      </c>
      <c r="J669">
        <v>1152</v>
      </c>
      <c r="K669">
        <v>8</v>
      </c>
      <c r="L669" t="s">
        <v>27</v>
      </c>
      <c r="M669">
        <v>168</v>
      </c>
      <c r="N669">
        <v>36.799999999999997</v>
      </c>
      <c r="O669">
        <v>72.3</v>
      </c>
      <c r="P669">
        <v>5.15</v>
      </c>
      <c r="Q669">
        <v>3.05</v>
      </c>
      <c r="R669" t="s">
        <v>179</v>
      </c>
      <c r="S669" t="s">
        <v>73</v>
      </c>
      <c r="T669" t="s">
        <v>30</v>
      </c>
      <c r="U669" t="str">
        <f t="shared" si="30"/>
        <v>Normal</v>
      </c>
      <c r="V669" t="str">
        <f t="shared" si="31"/>
        <v>Normal</v>
      </c>
      <c r="W669" t="str">
        <f t="shared" si="32"/>
        <v>Normal</v>
      </c>
    </row>
    <row r="670" spans="1:23" x14ac:dyDescent="0.3">
      <c r="A670">
        <v>11362</v>
      </c>
      <c r="B670" s="2">
        <v>45862</v>
      </c>
      <c r="C670" t="s">
        <v>20</v>
      </c>
      <c r="D670" t="s">
        <v>59</v>
      </c>
      <c r="E670" t="s">
        <v>33</v>
      </c>
      <c r="F670" t="s">
        <v>81</v>
      </c>
      <c r="G670" t="s">
        <v>89</v>
      </c>
      <c r="H670" t="s">
        <v>75</v>
      </c>
      <c r="I670" t="s">
        <v>198</v>
      </c>
      <c r="J670">
        <v>833</v>
      </c>
      <c r="K670">
        <v>13</v>
      </c>
      <c r="L670" t="s">
        <v>68</v>
      </c>
      <c r="M670">
        <v>127</v>
      </c>
      <c r="N670">
        <v>41.4</v>
      </c>
      <c r="O670">
        <v>72.3</v>
      </c>
      <c r="P670">
        <v>4.25</v>
      </c>
      <c r="Q670">
        <v>2.73</v>
      </c>
      <c r="R670" t="s">
        <v>280</v>
      </c>
      <c r="S670" t="s">
        <v>29</v>
      </c>
      <c r="T670" t="s">
        <v>30</v>
      </c>
      <c r="U670" t="str">
        <f t="shared" si="30"/>
        <v>Normal</v>
      </c>
      <c r="V670" t="str">
        <f t="shared" si="31"/>
        <v>Normal</v>
      </c>
      <c r="W670" t="str">
        <f t="shared" si="32"/>
        <v>Normal</v>
      </c>
    </row>
    <row r="671" spans="1:23" x14ac:dyDescent="0.3">
      <c r="A671">
        <v>11224</v>
      </c>
      <c r="B671" s="2">
        <v>45751</v>
      </c>
      <c r="C671" t="s">
        <v>31</v>
      </c>
      <c r="D671" t="s">
        <v>32</v>
      </c>
      <c r="E671" t="s">
        <v>33</v>
      </c>
      <c r="F671" t="s">
        <v>23</v>
      </c>
      <c r="G671" t="s">
        <v>89</v>
      </c>
      <c r="H671" t="s">
        <v>190</v>
      </c>
      <c r="I671" t="s">
        <v>91</v>
      </c>
      <c r="J671">
        <v>1243</v>
      </c>
      <c r="K671">
        <v>19</v>
      </c>
      <c r="L671" t="s">
        <v>45</v>
      </c>
      <c r="M671">
        <v>34</v>
      </c>
      <c r="N671">
        <v>38.5</v>
      </c>
      <c r="O671">
        <v>72.3</v>
      </c>
      <c r="P671">
        <v>5.36</v>
      </c>
      <c r="Q671">
        <v>3.27</v>
      </c>
      <c r="R671" t="s">
        <v>111</v>
      </c>
      <c r="S671" t="s">
        <v>39</v>
      </c>
      <c r="T671" t="s">
        <v>30</v>
      </c>
      <c r="U671" t="str">
        <f t="shared" si="30"/>
        <v>Normal</v>
      </c>
      <c r="V671" t="str">
        <f t="shared" si="31"/>
        <v>Normal</v>
      </c>
      <c r="W671" t="str">
        <f t="shared" si="32"/>
        <v>Normal</v>
      </c>
    </row>
    <row r="672" spans="1:23" x14ac:dyDescent="0.3">
      <c r="A672">
        <v>10851</v>
      </c>
      <c r="B672" s="2">
        <v>45823</v>
      </c>
      <c r="C672" t="s">
        <v>31</v>
      </c>
      <c r="D672" t="s">
        <v>64</v>
      </c>
      <c r="E672" t="s">
        <v>40</v>
      </c>
      <c r="F672" t="s">
        <v>23</v>
      </c>
      <c r="G672" t="s">
        <v>134</v>
      </c>
      <c r="H672" t="s">
        <v>75</v>
      </c>
      <c r="I672" t="s">
        <v>67</v>
      </c>
      <c r="J672">
        <v>467</v>
      </c>
      <c r="K672">
        <v>16</v>
      </c>
      <c r="L672" t="s">
        <v>45</v>
      </c>
      <c r="M672">
        <v>132</v>
      </c>
      <c r="N672">
        <v>42.1</v>
      </c>
      <c r="O672">
        <v>72.3</v>
      </c>
      <c r="P672">
        <v>4.24</v>
      </c>
      <c r="Q672">
        <v>1.71</v>
      </c>
      <c r="R672" t="s">
        <v>229</v>
      </c>
      <c r="S672" t="s">
        <v>39</v>
      </c>
      <c r="T672" t="s">
        <v>48</v>
      </c>
      <c r="U672" t="str">
        <f t="shared" si="30"/>
        <v>Normal</v>
      </c>
      <c r="V672" t="str">
        <f t="shared" si="31"/>
        <v>Normal</v>
      </c>
      <c r="W672" t="str">
        <f t="shared" si="32"/>
        <v>Normal</v>
      </c>
    </row>
    <row r="673" spans="1:23" x14ac:dyDescent="0.3">
      <c r="A673">
        <v>10805</v>
      </c>
      <c r="B673" s="2">
        <v>45982</v>
      </c>
      <c r="C673" t="s">
        <v>49</v>
      </c>
      <c r="D673" t="s">
        <v>21</v>
      </c>
      <c r="E673" t="s">
        <v>107</v>
      </c>
      <c r="F673" t="s">
        <v>81</v>
      </c>
      <c r="G673" t="s">
        <v>60</v>
      </c>
      <c r="H673" t="s">
        <v>114</v>
      </c>
      <c r="I673" t="s">
        <v>157</v>
      </c>
      <c r="J673">
        <v>467</v>
      </c>
      <c r="K673">
        <v>4</v>
      </c>
      <c r="L673" t="s">
        <v>45</v>
      </c>
      <c r="M673">
        <v>116</v>
      </c>
      <c r="N673">
        <v>46.8</v>
      </c>
      <c r="O673">
        <v>72.3</v>
      </c>
      <c r="P673">
        <v>4.7699999999999996</v>
      </c>
      <c r="Q673">
        <v>2</v>
      </c>
      <c r="R673" t="s">
        <v>130</v>
      </c>
      <c r="S673" t="s">
        <v>39</v>
      </c>
      <c r="T673" t="s">
        <v>30</v>
      </c>
      <c r="U673" t="str">
        <f t="shared" si="30"/>
        <v>Normal</v>
      </c>
      <c r="V673" t="str">
        <f t="shared" si="31"/>
        <v>Normal</v>
      </c>
      <c r="W673" t="str">
        <f t="shared" si="32"/>
        <v>Normal</v>
      </c>
    </row>
    <row r="674" spans="1:23" x14ac:dyDescent="0.3">
      <c r="A674">
        <v>10898</v>
      </c>
      <c r="B674" s="2">
        <v>45734</v>
      </c>
      <c r="C674" t="s">
        <v>31</v>
      </c>
      <c r="D674" t="s">
        <v>59</v>
      </c>
      <c r="E674" t="s">
        <v>40</v>
      </c>
      <c r="F674" t="s">
        <v>23</v>
      </c>
      <c r="G674" t="s">
        <v>109</v>
      </c>
      <c r="H674" t="s">
        <v>213</v>
      </c>
      <c r="I674" t="s">
        <v>254</v>
      </c>
      <c r="J674">
        <v>1505</v>
      </c>
      <c r="K674">
        <v>82</v>
      </c>
      <c r="L674" t="s">
        <v>27</v>
      </c>
      <c r="M674">
        <v>146</v>
      </c>
      <c r="N674">
        <v>36.4</v>
      </c>
      <c r="O674">
        <v>72.3</v>
      </c>
      <c r="P674">
        <v>6.26</v>
      </c>
      <c r="Q674">
        <v>2.85</v>
      </c>
      <c r="R674" t="s">
        <v>80</v>
      </c>
      <c r="S674" t="s">
        <v>29</v>
      </c>
      <c r="T674" t="s">
        <v>48</v>
      </c>
      <c r="U674" t="str">
        <f t="shared" si="30"/>
        <v>Normal</v>
      </c>
      <c r="V674" t="str">
        <f t="shared" si="31"/>
        <v>Normal</v>
      </c>
      <c r="W674" t="str">
        <f t="shared" si="32"/>
        <v>Normal</v>
      </c>
    </row>
    <row r="675" spans="1:23" x14ac:dyDescent="0.3">
      <c r="A675">
        <v>10562</v>
      </c>
      <c r="B675" s="2">
        <v>45777</v>
      </c>
      <c r="C675" t="s">
        <v>49</v>
      </c>
      <c r="D675" t="s">
        <v>21</v>
      </c>
      <c r="E675" t="s">
        <v>33</v>
      </c>
      <c r="F675" t="s">
        <v>41</v>
      </c>
      <c r="G675" t="s">
        <v>60</v>
      </c>
      <c r="H675" t="s">
        <v>93</v>
      </c>
      <c r="I675" t="s">
        <v>94</v>
      </c>
      <c r="J675">
        <v>1495</v>
      </c>
      <c r="K675">
        <v>17</v>
      </c>
      <c r="L675" t="s">
        <v>71</v>
      </c>
      <c r="M675">
        <v>12</v>
      </c>
      <c r="N675">
        <v>40.799999999999997</v>
      </c>
      <c r="O675">
        <v>72.2</v>
      </c>
      <c r="P675">
        <v>5.67</v>
      </c>
      <c r="Q675">
        <v>1</v>
      </c>
      <c r="R675" t="s">
        <v>58</v>
      </c>
      <c r="S675" t="s">
        <v>47</v>
      </c>
      <c r="T675" t="s">
        <v>30</v>
      </c>
      <c r="U675" t="str">
        <f t="shared" si="30"/>
        <v>Normal</v>
      </c>
      <c r="V675" t="str">
        <f t="shared" si="31"/>
        <v>Normal</v>
      </c>
      <c r="W675" t="str">
        <f t="shared" si="32"/>
        <v>Normal</v>
      </c>
    </row>
    <row r="676" spans="1:23" x14ac:dyDescent="0.3">
      <c r="A676">
        <v>10904</v>
      </c>
      <c r="B676" s="2">
        <v>46022</v>
      </c>
      <c r="C676" t="s">
        <v>31</v>
      </c>
      <c r="D676" t="s">
        <v>32</v>
      </c>
      <c r="E676" t="s">
        <v>33</v>
      </c>
      <c r="F676" t="s">
        <v>41</v>
      </c>
      <c r="G676" t="s">
        <v>50</v>
      </c>
      <c r="H676" t="s">
        <v>169</v>
      </c>
      <c r="I676" t="s">
        <v>187</v>
      </c>
      <c r="J676">
        <v>1520</v>
      </c>
      <c r="K676">
        <v>49</v>
      </c>
      <c r="L676" t="s">
        <v>71</v>
      </c>
      <c r="M676">
        <v>34</v>
      </c>
      <c r="N676">
        <v>39.5</v>
      </c>
      <c r="O676">
        <v>72.2</v>
      </c>
      <c r="P676">
        <v>4.6500000000000004</v>
      </c>
      <c r="Q676">
        <v>4.0199999999999996</v>
      </c>
      <c r="R676" t="s">
        <v>222</v>
      </c>
      <c r="S676" t="s">
        <v>29</v>
      </c>
      <c r="T676" t="s">
        <v>48</v>
      </c>
      <c r="U676" t="str">
        <f t="shared" si="30"/>
        <v>Normal</v>
      </c>
      <c r="V676" t="str">
        <f t="shared" si="31"/>
        <v>Normal</v>
      </c>
      <c r="W676" t="str">
        <f t="shared" si="32"/>
        <v>Normal</v>
      </c>
    </row>
    <row r="677" spans="1:23" x14ac:dyDescent="0.3">
      <c r="A677">
        <v>10725</v>
      </c>
      <c r="B677" s="2">
        <v>45858</v>
      </c>
      <c r="C677" t="s">
        <v>49</v>
      </c>
      <c r="D677" t="s">
        <v>59</v>
      </c>
      <c r="E677" t="s">
        <v>40</v>
      </c>
      <c r="F677" t="s">
        <v>81</v>
      </c>
      <c r="G677" t="s">
        <v>95</v>
      </c>
      <c r="H677" t="s">
        <v>69</v>
      </c>
      <c r="I677" t="s">
        <v>178</v>
      </c>
      <c r="J677">
        <v>1161</v>
      </c>
      <c r="K677">
        <v>114</v>
      </c>
      <c r="L677" t="s">
        <v>37</v>
      </c>
      <c r="M677">
        <v>138</v>
      </c>
      <c r="N677">
        <v>49.6</v>
      </c>
      <c r="O677">
        <v>72.2</v>
      </c>
      <c r="P677">
        <v>4.91</v>
      </c>
      <c r="Q677">
        <v>1.26</v>
      </c>
      <c r="R677" t="s">
        <v>137</v>
      </c>
      <c r="S677" t="s">
        <v>29</v>
      </c>
      <c r="T677" t="s">
        <v>48</v>
      </c>
      <c r="U677" t="str">
        <f t="shared" si="30"/>
        <v>Normal</v>
      </c>
      <c r="V677" t="str">
        <f t="shared" si="31"/>
        <v>Normal</v>
      </c>
      <c r="W677" t="str">
        <f t="shared" si="32"/>
        <v>Normal</v>
      </c>
    </row>
    <row r="678" spans="1:23" x14ac:dyDescent="0.3">
      <c r="A678">
        <v>11170</v>
      </c>
      <c r="B678" s="2">
        <v>45679</v>
      </c>
      <c r="C678" t="s">
        <v>49</v>
      </c>
      <c r="D678" t="s">
        <v>21</v>
      </c>
      <c r="E678" t="s">
        <v>22</v>
      </c>
      <c r="F678" t="s">
        <v>23</v>
      </c>
      <c r="G678" t="s">
        <v>134</v>
      </c>
      <c r="H678" t="s">
        <v>177</v>
      </c>
      <c r="I678" t="s">
        <v>70</v>
      </c>
      <c r="J678">
        <v>1035</v>
      </c>
      <c r="K678">
        <v>19</v>
      </c>
      <c r="L678" t="s">
        <v>37</v>
      </c>
      <c r="M678">
        <v>110</v>
      </c>
      <c r="N678">
        <v>43.8</v>
      </c>
      <c r="O678">
        <v>72.2</v>
      </c>
      <c r="P678">
        <v>4.43</v>
      </c>
      <c r="Q678">
        <v>3.53</v>
      </c>
      <c r="R678" t="s">
        <v>179</v>
      </c>
      <c r="S678" t="s">
        <v>39</v>
      </c>
      <c r="T678" t="s">
        <v>30</v>
      </c>
      <c r="U678" t="str">
        <f t="shared" si="30"/>
        <v>Normal</v>
      </c>
      <c r="V678" t="str">
        <f t="shared" si="31"/>
        <v>Normal</v>
      </c>
      <c r="W678" t="str">
        <f t="shared" si="32"/>
        <v>Normal</v>
      </c>
    </row>
    <row r="679" spans="1:23" x14ac:dyDescent="0.3">
      <c r="A679">
        <v>10718</v>
      </c>
      <c r="B679" s="2">
        <v>45678</v>
      </c>
      <c r="C679" t="s">
        <v>20</v>
      </c>
      <c r="D679" t="s">
        <v>32</v>
      </c>
      <c r="E679" t="s">
        <v>22</v>
      </c>
      <c r="F679" t="s">
        <v>23</v>
      </c>
      <c r="G679" t="s">
        <v>113</v>
      </c>
      <c r="H679" t="s">
        <v>114</v>
      </c>
      <c r="I679" t="s">
        <v>283</v>
      </c>
      <c r="J679">
        <v>1174</v>
      </c>
      <c r="K679">
        <v>5</v>
      </c>
      <c r="L679" t="s">
        <v>27</v>
      </c>
      <c r="M679">
        <v>128</v>
      </c>
      <c r="N679">
        <v>45</v>
      </c>
      <c r="O679">
        <v>72.2</v>
      </c>
      <c r="P679">
        <v>5.47</v>
      </c>
      <c r="Q679">
        <v>1.55</v>
      </c>
      <c r="R679" t="s">
        <v>267</v>
      </c>
      <c r="S679" t="s">
        <v>73</v>
      </c>
      <c r="T679" t="s">
        <v>30</v>
      </c>
      <c r="U679" t="str">
        <f t="shared" si="30"/>
        <v>Normal</v>
      </c>
      <c r="V679" t="str">
        <f t="shared" si="31"/>
        <v>Normal</v>
      </c>
      <c r="W679" t="str">
        <f t="shared" si="32"/>
        <v>Normal</v>
      </c>
    </row>
    <row r="680" spans="1:23" x14ac:dyDescent="0.3">
      <c r="A680">
        <v>10570</v>
      </c>
      <c r="B680" s="2">
        <v>45858</v>
      </c>
      <c r="C680" t="s">
        <v>20</v>
      </c>
      <c r="D680" t="s">
        <v>32</v>
      </c>
      <c r="E680" t="s">
        <v>107</v>
      </c>
      <c r="F680" t="s">
        <v>81</v>
      </c>
      <c r="G680" t="s">
        <v>42</v>
      </c>
      <c r="H680" t="s">
        <v>265</v>
      </c>
      <c r="I680" t="s">
        <v>336</v>
      </c>
      <c r="J680">
        <v>501</v>
      </c>
      <c r="K680">
        <v>4</v>
      </c>
      <c r="L680" t="s">
        <v>71</v>
      </c>
      <c r="M680">
        <v>52</v>
      </c>
      <c r="N680">
        <v>38.299999999999997</v>
      </c>
      <c r="O680">
        <v>72.2</v>
      </c>
      <c r="P680">
        <v>4.46</v>
      </c>
      <c r="Q680">
        <v>4.6500000000000004</v>
      </c>
      <c r="R680" t="s">
        <v>137</v>
      </c>
      <c r="S680" t="s">
        <v>47</v>
      </c>
      <c r="T680" t="s">
        <v>30</v>
      </c>
      <c r="U680" t="str">
        <f t="shared" si="30"/>
        <v>Normal</v>
      </c>
      <c r="V680" t="str">
        <f t="shared" si="31"/>
        <v>Normal</v>
      </c>
      <c r="W680" t="str">
        <f t="shared" si="32"/>
        <v>Normal</v>
      </c>
    </row>
    <row r="681" spans="1:23" x14ac:dyDescent="0.3">
      <c r="A681">
        <v>10973</v>
      </c>
      <c r="B681" s="2">
        <v>45724</v>
      </c>
      <c r="C681" t="s">
        <v>20</v>
      </c>
      <c r="D681" t="s">
        <v>59</v>
      </c>
      <c r="E681" t="s">
        <v>22</v>
      </c>
      <c r="F681" t="s">
        <v>23</v>
      </c>
      <c r="G681" t="s">
        <v>113</v>
      </c>
      <c r="H681" t="s">
        <v>131</v>
      </c>
      <c r="I681" t="s">
        <v>157</v>
      </c>
      <c r="J681">
        <v>765</v>
      </c>
      <c r="K681">
        <v>7</v>
      </c>
      <c r="L681" t="s">
        <v>57</v>
      </c>
      <c r="M681">
        <v>102</v>
      </c>
      <c r="N681">
        <v>51.9</v>
      </c>
      <c r="O681">
        <v>72.2</v>
      </c>
      <c r="P681">
        <v>3.84</v>
      </c>
      <c r="Q681">
        <v>3.2</v>
      </c>
      <c r="R681" t="s">
        <v>222</v>
      </c>
      <c r="S681" t="s">
        <v>39</v>
      </c>
      <c r="T681" t="s">
        <v>30</v>
      </c>
      <c r="U681" t="str">
        <f t="shared" si="30"/>
        <v>Normal</v>
      </c>
      <c r="V681" t="str">
        <f t="shared" si="31"/>
        <v>Normal</v>
      </c>
      <c r="W681" t="str">
        <f t="shared" si="32"/>
        <v>Normal</v>
      </c>
    </row>
    <row r="682" spans="1:23" x14ac:dyDescent="0.3">
      <c r="A682">
        <v>11389</v>
      </c>
      <c r="B682" s="2">
        <v>45797</v>
      </c>
      <c r="C682" t="s">
        <v>49</v>
      </c>
      <c r="D682" t="s">
        <v>59</v>
      </c>
      <c r="E682" t="s">
        <v>107</v>
      </c>
      <c r="F682" t="s">
        <v>41</v>
      </c>
      <c r="G682" t="s">
        <v>42</v>
      </c>
      <c r="H682" t="s">
        <v>180</v>
      </c>
      <c r="I682" t="s">
        <v>44</v>
      </c>
      <c r="J682">
        <v>1567</v>
      </c>
      <c r="K682">
        <v>20</v>
      </c>
      <c r="L682" t="s">
        <v>37</v>
      </c>
      <c r="M682">
        <v>160</v>
      </c>
      <c r="N682">
        <v>45.3</v>
      </c>
      <c r="O682">
        <v>72.2</v>
      </c>
      <c r="P682">
        <v>4.16</v>
      </c>
      <c r="Q682">
        <v>3.84</v>
      </c>
      <c r="R682" t="s">
        <v>179</v>
      </c>
      <c r="S682" t="s">
        <v>47</v>
      </c>
      <c r="T682" t="s">
        <v>30</v>
      </c>
      <c r="U682" t="str">
        <f t="shared" si="30"/>
        <v>Normal</v>
      </c>
      <c r="V682" t="str">
        <f t="shared" si="31"/>
        <v>Normal</v>
      </c>
      <c r="W682" t="str">
        <f t="shared" si="32"/>
        <v>Normal</v>
      </c>
    </row>
    <row r="683" spans="1:23" x14ac:dyDescent="0.3">
      <c r="A683">
        <v>10601</v>
      </c>
      <c r="B683" s="2">
        <v>45927</v>
      </c>
      <c r="C683" t="s">
        <v>49</v>
      </c>
      <c r="D683" t="s">
        <v>64</v>
      </c>
      <c r="E683" t="s">
        <v>107</v>
      </c>
      <c r="F683" t="s">
        <v>41</v>
      </c>
      <c r="G683" t="s">
        <v>42</v>
      </c>
      <c r="H683" t="s">
        <v>82</v>
      </c>
      <c r="I683" t="s">
        <v>228</v>
      </c>
      <c r="J683">
        <v>880</v>
      </c>
      <c r="K683">
        <v>30</v>
      </c>
      <c r="L683" t="s">
        <v>57</v>
      </c>
      <c r="M683">
        <v>110</v>
      </c>
      <c r="N683">
        <v>49.1</v>
      </c>
      <c r="O683">
        <v>72.2</v>
      </c>
      <c r="P683">
        <v>4.51</v>
      </c>
      <c r="Q683">
        <v>4.55</v>
      </c>
      <c r="R683" t="s">
        <v>72</v>
      </c>
      <c r="S683" t="s">
        <v>39</v>
      </c>
      <c r="T683" t="s">
        <v>48</v>
      </c>
      <c r="U683" t="str">
        <f t="shared" si="30"/>
        <v>Normal</v>
      </c>
      <c r="V683" t="str">
        <f t="shared" si="31"/>
        <v>Normal</v>
      </c>
      <c r="W683" t="str">
        <f t="shared" si="32"/>
        <v>Normal</v>
      </c>
    </row>
    <row r="684" spans="1:23" x14ac:dyDescent="0.3">
      <c r="A684">
        <v>10272</v>
      </c>
      <c r="B684" s="2">
        <v>45731</v>
      </c>
      <c r="C684" t="s">
        <v>31</v>
      </c>
      <c r="D684" t="s">
        <v>64</v>
      </c>
      <c r="E684" t="s">
        <v>22</v>
      </c>
      <c r="F684" t="s">
        <v>81</v>
      </c>
      <c r="G684" t="s">
        <v>50</v>
      </c>
      <c r="H684" t="s">
        <v>169</v>
      </c>
      <c r="I684" t="s">
        <v>170</v>
      </c>
      <c r="J684">
        <v>941</v>
      </c>
      <c r="K684">
        <v>7</v>
      </c>
      <c r="L684" t="s">
        <v>68</v>
      </c>
      <c r="M684">
        <v>75</v>
      </c>
      <c r="N684">
        <v>49.4</v>
      </c>
      <c r="O684">
        <v>72.099999999999994</v>
      </c>
      <c r="P684">
        <v>6.91</v>
      </c>
      <c r="Q684">
        <v>1.41</v>
      </c>
      <c r="R684" t="s">
        <v>137</v>
      </c>
      <c r="S684" t="s">
        <v>29</v>
      </c>
      <c r="T684" t="s">
        <v>30</v>
      </c>
      <c r="U684" t="str">
        <f t="shared" si="30"/>
        <v>Normal</v>
      </c>
      <c r="V684" t="str">
        <f t="shared" si="31"/>
        <v>Normal</v>
      </c>
      <c r="W684" t="str">
        <f t="shared" si="32"/>
        <v>Normal</v>
      </c>
    </row>
    <row r="685" spans="1:23" x14ac:dyDescent="0.3">
      <c r="A685">
        <v>11281</v>
      </c>
      <c r="B685" s="2">
        <v>45808</v>
      </c>
      <c r="C685" t="s">
        <v>31</v>
      </c>
      <c r="D685" t="s">
        <v>32</v>
      </c>
      <c r="E685" t="s">
        <v>40</v>
      </c>
      <c r="F685" t="s">
        <v>41</v>
      </c>
      <c r="G685" t="s">
        <v>113</v>
      </c>
      <c r="H685" t="s">
        <v>193</v>
      </c>
      <c r="I685" t="s">
        <v>194</v>
      </c>
      <c r="J685">
        <v>1385</v>
      </c>
      <c r="K685">
        <v>6</v>
      </c>
      <c r="L685" t="s">
        <v>68</v>
      </c>
      <c r="M685">
        <v>161</v>
      </c>
      <c r="N685">
        <v>48.4</v>
      </c>
      <c r="O685">
        <v>72.099999999999994</v>
      </c>
      <c r="P685">
        <v>5.59</v>
      </c>
      <c r="Q685">
        <v>1.84</v>
      </c>
      <c r="R685" t="s">
        <v>195</v>
      </c>
      <c r="S685" t="s">
        <v>73</v>
      </c>
      <c r="T685" t="s">
        <v>30</v>
      </c>
      <c r="U685" t="str">
        <f t="shared" si="30"/>
        <v>Normal</v>
      </c>
      <c r="V685" t="str">
        <f t="shared" si="31"/>
        <v>Normal</v>
      </c>
      <c r="W685" t="str">
        <f t="shared" si="32"/>
        <v>Normal</v>
      </c>
    </row>
    <row r="686" spans="1:23" x14ac:dyDescent="0.3">
      <c r="A686">
        <v>11178</v>
      </c>
      <c r="B686" s="2">
        <v>45946</v>
      </c>
      <c r="C686" t="s">
        <v>49</v>
      </c>
      <c r="D686" t="s">
        <v>21</v>
      </c>
      <c r="E686" t="s">
        <v>40</v>
      </c>
      <c r="F686" t="s">
        <v>81</v>
      </c>
      <c r="G686" t="s">
        <v>34</v>
      </c>
      <c r="H686" t="s">
        <v>120</v>
      </c>
      <c r="I686" t="s">
        <v>210</v>
      </c>
      <c r="J686">
        <v>1250</v>
      </c>
      <c r="K686">
        <v>13</v>
      </c>
      <c r="L686" t="s">
        <v>27</v>
      </c>
      <c r="M686">
        <v>179</v>
      </c>
      <c r="N686">
        <v>47.6</v>
      </c>
      <c r="O686">
        <v>72.099999999999994</v>
      </c>
      <c r="P686">
        <v>6.2</v>
      </c>
      <c r="Q686">
        <v>1.76</v>
      </c>
      <c r="R686" t="s">
        <v>28</v>
      </c>
      <c r="S686" t="s">
        <v>39</v>
      </c>
      <c r="T686" t="s">
        <v>30</v>
      </c>
      <c r="U686" t="str">
        <f t="shared" si="30"/>
        <v>Normal</v>
      </c>
      <c r="V686" t="str">
        <f t="shared" si="31"/>
        <v>Normal</v>
      </c>
      <c r="W686" t="str">
        <f t="shared" si="32"/>
        <v>Normal</v>
      </c>
    </row>
    <row r="687" spans="1:23" x14ac:dyDescent="0.3">
      <c r="A687">
        <v>10330</v>
      </c>
      <c r="B687" s="2">
        <v>45864</v>
      </c>
      <c r="C687" t="s">
        <v>31</v>
      </c>
      <c r="D687" t="s">
        <v>32</v>
      </c>
      <c r="E687" t="s">
        <v>40</v>
      </c>
      <c r="F687" t="s">
        <v>23</v>
      </c>
      <c r="G687" t="s">
        <v>60</v>
      </c>
      <c r="H687" t="s">
        <v>287</v>
      </c>
      <c r="I687" t="s">
        <v>231</v>
      </c>
      <c r="J687">
        <v>1274</v>
      </c>
      <c r="K687">
        <v>18</v>
      </c>
      <c r="L687" t="s">
        <v>71</v>
      </c>
      <c r="M687">
        <v>87</v>
      </c>
      <c r="N687">
        <v>40.299999999999997</v>
      </c>
      <c r="O687">
        <v>72.099999999999994</v>
      </c>
      <c r="P687">
        <v>6.52</v>
      </c>
      <c r="Q687">
        <v>2.15</v>
      </c>
      <c r="R687" t="s">
        <v>155</v>
      </c>
      <c r="S687" t="s">
        <v>73</v>
      </c>
      <c r="T687" t="s">
        <v>30</v>
      </c>
      <c r="U687" t="str">
        <f t="shared" si="30"/>
        <v>Normal</v>
      </c>
      <c r="V687" t="str">
        <f t="shared" si="31"/>
        <v>Normal</v>
      </c>
      <c r="W687" t="str">
        <f t="shared" si="32"/>
        <v>Normal</v>
      </c>
    </row>
    <row r="688" spans="1:23" x14ac:dyDescent="0.3">
      <c r="A688">
        <v>10219</v>
      </c>
      <c r="B688" s="2">
        <v>45847</v>
      </c>
      <c r="C688" t="s">
        <v>20</v>
      </c>
      <c r="D688" t="s">
        <v>59</v>
      </c>
      <c r="E688" t="s">
        <v>107</v>
      </c>
      <c r="F688" t="s">
        <v>41</v>
      </c>
      <c r="G688" t="s">
        <v>42</v>
      </c>
      <c r="H688" t="s">
        <v>85</v>
      </c>
      <c r="I688" t="s">
        <v>217</v>
      </c>
      <c r="J688">
        <v>847</v>
      </c>
      <c r="K688">
        <v>5</v>
      </c>
      <c r="L688" t="s">
        <v>68</v>
      </c>
      <c r="M688">
        <v>140</v>
      </c>
      <c r="N688">
        <v>54.3</v>
      </c>
      <c r="O688">
        <v>72.099999999999994</v>
      </c>
      <c r="P688">
        <v>5.38</v>
      </c>
      <c r="Q688">
        <v>3.56</v>
      </c>
      <c r="R688" t="s">
        <v>227</v>
      </c>
      <c r="S688" t="s">
        <v>39</v>
      </c>
      <c r="T688" t="s">
        <v>30</v>
      </c>
      <c r="U688" t="str">
        <f t="shared" si="30"/>
        <v>Normal</v>
      </c>
      <c r="V688" t="str">
        <f t="shared" si="31"/>
        <v>Normal</v>
      </c>
      <c r="W688" t="str">
        <f t="shared" si="32"/>
        <v>Normal</v>
      </c>
    </row>
    <row r="689" spans="1:23" x14ac:dyDescent="0.3">
      <c r="A689">
        <v>11223</v>
      </c>
      <c r="B689" s="2">
        <v>45925</v>
      </c>
      <c r="C689" t="s">
        <v>49</v>
      </c>
      <c r="D689" t="s">
        <v>64</v>
      </c>
      <c r="E689" t="s">
        <v>33</v>
      </c>
      <c r="F689" t="s">
        <v>41</v>
      </c>
      <c r="G689" t="s">
        <v>109</v>
      </c>
      <c r="H689" t="s">
        <v>265</v>
      </c>
      <c r="I689" t="s">
        <v>365</v>
      </c>
      <c r="J689">
        <v>712</v>
      </c>
      <c r="K689">
        <v>6</v>
      </c>
      <c r="L689" t="s">
        <v>68</v>
      </c>
      <c r="M689">
        <v>17</v>
      </c>
      <c r="N689">
        <v>44.5</v>
      </c>
      <c r="O689">
        <v>72.099999999999994</v>
      </c>
      <c r="P689">
        <v>5.2</v>
      </c>
      <c r="Q689">
        <v>2.91</v>
      </c>
      <c r="R689" t="s">
        <v>92</v>
      </c>
      <c r="S689" t="s">
        <v>73</v>
      </c>
      <c r="T689" t="s">
        <v>30</v>
      </c>
      <c r="U689" t="str">
        <f t="shared" si="30"/>
        <v>Normal</v>
      </c>
      <c r="V689" t="str">
        <f t="shared" si="31"/>
        <v>Normal</v>
      </c>
      <c r="W689" t="str">
        <f t="shared" si="32"/>
        <v>Normal</v>
      </c>
    </row>
    <row r="690" spans="1:23" x14ac:dyDescent="0.3">
      <c r="A690">
        <v>10369</v>
      </c>
      <c r="B690" s="2">
        <v>45772</v>
      </c>
      <c r="C690" t="s">
        <v>49</v>
      </c>
      <c r="D690" t="s">
        <v>59</v>
      </c>
      <c r="E690" t="s">
        <v>33</v>
      </c>
      <c r="F690" t="s">
        <v>41</v>
      </c>
      <c r="G690" t="s">
        <v>89</v>
      </c>
      <c r="H690" t="s">
        <v>99</v>
      </c>
      <c r="I690" t="s">
        <v>146</v>
      </c>
      <c r="J690">
        <v>614</v>
      </c>
      <c r="K690">
        <v>4</v>
      </c>
      <c r="L690" t="s">
        <v>45</v>
      </c>
      <c r="M690">
        <v>105</v>
      </c>
      <c r="N690">
        <v>41.4</v>
      </c>
      <c r="O690">
        <v>72.099999999999994</v>
      </c>
      <c r="P690">
        <v>5.84</v>
      </c>
      <c r="Q690">
        <v>3.87</v>
      </c>
      <c r="R690" t="s">
        <v>140</v>
      </c>
      <c r="S690" t="s">
        <v>73</v>
      </c>
      <c r="T690" t="s">
        <v>30</v>
      </c>
      <c r="U690" t="str">
        <f t="shared" si="30"/>
        <v>Normal</v>
      </c>
      <c r="V690" t="str">
        <f t="shared" si="31"/>
        <v>Normal</v>
      </c>
      <c r="W690" t="str">
        <f t="shared" si="32"/>
        <v>Normal</v>
      </c>
    </row>
    <row r="691" spans="1:23" x14ac:dyDescent="0.3">
      <c r="A691">
        <v>11140</v>
      </c>
      <c r="B691" s="2">
        <v>45997</v>
      </c>
      <c r="C691" t="s">
        <v>31</v>
      </c>
      <c r="D691" t="s">
        <v>64</v>
      </c>
      <c r="E691" t="s">
        <v>22</v>
      </c>
      <c r="F691" t="s">
        <v>81</v>
      </c>
      <c r="G691" t="s">
        <v>113</v>
      </c>
      <c r="H691" t="s">
        <v>180</v>
      </c>
      <c r="I691" t="s">
        <v>163</v>
      </c>
      <c r="J691">
        <v>1110</v>
      </c>
      <c r="K691">
        <v>40</v>
      </c>
      <c r="L691" t="s">
        <v>37</v>
      </c>
      <c r="M691">
        <v>16</v>
      </c>
      <c r="N691">
        <v>44.1</v>
      </c>
      <c r="O691">
        <v>72.099999999999994</v>
      </c>
      <c r="P691">
        <v>4.91</v>
      </c>
      <c r="Q691">
        <v>5.38</v>
      </c>
      <c r="R691" t="s">
        <v>72</v>
      </c>
      <c r="S691" t="s">
        <v>39</v>
      </c>
      <c r="T691" t="s">
        <v>48</v>
      </c>
      <c r="U691" t="str">
        <f t="shared" si="30"/>
        <v>Normal</v>
      </c>
      <c r="V691" t="str">
        <f t="shared" si="31"/>
        <v>Normal</v>
      </c>
      <c r="W691" t="str">
        <f t="shared" si="32"/>
        <v>Normal</v>
      </c>
    </row>
    <row r="692" spans="1:23" x14ac:dyDescent="0.3">
      <c r="A692">
        <v>11467</v>
      </c>
      <c r="B692" s="2">
        <v>45740</v>
      </c>
      <c r="C692" t="s">
        <v>20</v>
      </c>
      <c r="D692" t="s">
        <v>21</v>
      </c>
      <c r="E692" t="s">
        <v>40</v>
      </c>
      <c r="F692" t="s">
        <v>81</v>
      </c>
      <c r="G692" t="s">
        <v>54</v>
      </c>
      <c r="H692" t="s">
        <v>131</v>
      </c>
      <c r="I692" t="s">
        <v>132</v>
      </c>
      <c r="J692">
        <v>866</v>
      </c>
      <c r="K692">
        <v>33</v>
      </c>
      <c r="L692" t="s">
        <v>68</v>
      </c>
      <c r="M692">
        <v>133</v>
      </c>
      <c r="N692">
        <v>57.5</v>
      </c>
      <c r="O692">
        <v>72.099999999999994</v>
      </c>
      <c r="P692">
        <v>6.46</v>
      </c>
      <c r="Q692">
        <v>3.61</v>
      </c>
      <c r="R692" t="s">
        <v>195</v>
      </c>
      <c r="S692" t="s">
        <v>29</v>
      </c>
      <c r="T692" t="s">
        <v>48</v>
      </c>
      <c r="U692" t="str">
        <f t="shared" si="30"/>
        <v>Normal</v>
      </c>
      <c r="V692" t="str">
        <f t="shared" si="31"/>
        <v>Normal</v>
      </c>
      <c r="W692" t="str">
        <f t="shared" si="32"/>
        <v>Normal</v>
      </c>
    </row>
    <row r="693" spans="1:23" x14ac:dyDescent="0.3">
      <c r="A693">
        <v>10351</v>
      </c>
      <c r="B693" s="2">
        <v>45710</v>
      </c>
      <c r="C693" t="s">
        <v>49</v>
      </c>
      <c r="D693" t="s">
        <v>59</v>
      </c>
      <c r="E693" t="s">
        <v>107</v>
      </c>
      <c r="F693" t="s">
        <v>23</v>
      </c>
      <c r="G693" t="s">
        <v>54</v>
      </c>
      <c r="H693" t="s">
        <v>192</v>
      </c>
      <c r="I693" t="s">
        <v>76</v>
      </c>
      <c r="J693">
        <v>1187</v>
      </c>
      <c r="K693">
        <v>8</v>
      </c>
      <c r="L693" t="s">
        <v>57</v>
      </c>
      <c r="M693">
        <v>11</v>
      </c>
      <c r="N693">
        <v>40.799999999999997</v>
      </c>
      <c r="O693">
        <v>72</v>
      </c>
      <c r="P693">
        <v>3.27</v>
      </c>
      <c r="Q693">
        <v>2.83</v>
      </c>
      <c r="R693" t="s">
        <v>164</v>
      </c>
      <c r="S693" t="s">
        <v>39</v>
      </c>
      <c r="T693" t="s">
        <v>30</v>
      </c>
      <c r="U693" t="str">
        <f t="shared" si="30"/>
        <v>Normal</v>
      </c>
      <c r="V693" t="str">
        <f t="shared" si="31"/>
        <v>Normal</v>
      </c>
      <c r="W693" t="str">
        <f t="shared" si="32"/>
        <v>Normal</v>
      </c>
    </row>
    <row r="694" spans="1:23" x14ac:dyDescent="0.3">
      <c r="A694">
        <v>10232</v>
      </c>
      <c r="B694" s="2">
        <v>45735</v>
      </c>
      <c r="C694" t="s">
        <v>49</v>
      </c>
      <c r="D694" t="s">
        <v>64</v>
      </c>
      <c r="E694" t="s">
        <v>40</v>
      </c>
      <c r="F694" t="s">
        <v>81</v>
      </c>
      <c r="G694" t="s">
        <v>54</v>
      </c>
      <c r="H694" t="s">
        <v>278</v>
      </c>
      <c r="I694" t="s">
        <v>188</v>
      </c>
      <c r="J694">
        <v>1027</v>
      </c>
      <c r="K694">
        <v>8</v>
      </c>
      <c r="L694" t="s">
        <v>45</v>
      </c>
      <c r="M694">
        <v>107</v>
      </c>
      <c r="N694">
        <v>36.6</v>
      </c>
      <c r="O694">
        <v>72</v>
      </c>
      <c r="P694">
        <v>5.36</v>
      </c>
      <c r="Q694">
        <v>1.92</v>
      </c>
      <c r="R694" t="s">
        <v>216</v>
      </c>
      <c r="S694" t="s">
        <v>29</v>
      </c>
      <c r="T694" t="s">
        <v>30</v>
      </c>
      <c r="U694" t="str">
        <f t="shared" si="30"/>
        <v>Normal</v>
      </c>
      <c r="V694" t="str">
        <f t="shared" si="31"/>
        <v>Normal</v>
      </c>
      <c r="W694" t="str">
        <f t="shared" si="32"/>
        <v>Normal</v>
      </c>
    </row>
    <row r="695" spans="1:23" x14ac:dyDescent="0.3">
      <c r="A695">
        <v>11252</v>
      </c>
      <c r="B695" s="2">
        <v>45948</v>
      </c>
      <c r="C695" t="s">
        <v>49</v>
      </c>
      <c r="D695" t="s">
        <v>59</v>
      </c>
      <c r="E695" t="s">
        <v>107</v>
      </c>
      <c r="F695" t="s">
        <v>41</v>
      </c>
      <c r="G695" t="s">
        <v>60</v>
      </c>
      <c r="H695" t="s">
        <v>43</v>
      </c>
      <c r="I695" t="s">
        <v>146</v>
      </c>
      <c r="J695">
        <v>717</v>
      </c>
      <c r="K695">
        <v>21</v>
      </c>
      <c r="L695" t="s">
        <v>37</v>
      </c>
      <c r="M695">
        <v>34</v>
      </c>
      <c r="N695">
        <v>34.4</v>
      </c>
      <c r="O695">
        <v>72</v>
      </c>
      <c r="P695">
        <v>5.87</v>
      </c>
      <c r="Q695">
        <v>3.89</v>
      </c>
      <c r="R695" t="s">
        <v>184</v>
      </c>
      <c r="S695" t="s">
        <v>73</v>
      </c>
      <c r="T695" t="s">
        <v>30</v>
      </c>
      <c r="U695" t="str">
        <f t="shared" si="30"/>
        <v>Normal</v>
      </c>
      <c r="V695" t="str">
        <f t="shared" si="31"/>
        <v>Normal</v>
      </c>
      <c r="W695" t="str">
        <f t="shared" si="32"/>
        <v>Normal</v>
      </c>
    </row>
    <row r="696" spans="1:23" x14ac:dyDescent="0.3">
      <c r="A696">
        <v>11342</v>
      </c>
      <c r="B696" s="2">
        <v>45672</v>
      </c>
      <c r="C696" t="s">
        <v>49</v>
      </c>
      <c r="D696" t="s">
        <v>32</v>
      </c>
      <c r="E696" t="s">
        <v>107</v>
      </c>
      <c r="F696" t="s">
        <v>41</v>
      </c>
      <c r="G696" t="s">
        <v>113</v>
      </c>
      <c r="H696" t="s">
        <v>35</v>
      </c>
      <c r="I696" t="s">
        <v>86</v>
      </c>
      <c r="J696">
        <v>496</v>
      </c>
      <c r="K696">
        <v>5</v>
      </c>
      <c r="L696" t="s">
        <v>68</v>
      </c>
      <c r="M696">
        <v>49</v>
      </c>
      <c r="N696">
        <v>33.299999999999997</v>
      </c>
      <c r="O696">
        <v>72</v>
      </c>
      <c r="P696">
        <v>8.52</v>
      </c>
      <c r="Q696">
        <v>1.89</v>
      </c>
      <c r="R696" t="s">
        <v>84</v>
      </c>
      <c r="S696" t="s">
        <v>73</v>
      </c>
      <c r="T696" t="s">
        <v>30</v>
      </c>
      <c r="U696" t="str">
        <f t="shared" si="30"/>
        <v>Normal</v>
      </c>
      <c r="V696" t="str">
        <f t="shared" si="31"/>
        <v>Normal</v>
      </c>
      <c r="W696" t="str">
        <f t="shared" si="32"/>
        <v>Normal</v>
      </c>
    </row>
    <row r="697" spans="1:23" x14ac:dyDescent="0.3">
      <c r="A697">
        <v>11490</v>
      </c>
      <c r="B697" s="2">
        <v>46014</v>
      </c>
      <c r="C697" t="s">
        <v>31</v>
      </c>
      <c r="D697" t="s">
        <v>32</v>
      </c>
      <c r="E697" t="s">
        <v>40</v>
      </c>
      <c r="F697" t="s">
        <v>23</v>
      </c>
      <c r="G697" t="s">
        <v>42</v>
      </c>
      <c r="H697" t="s">
        <v>101</v>
      </c>
      <c r="I697" t="s">
        <v>182</v>
      </c>
      <c r="J697">
        <v>1287</v>
      </c>
      <c r="K697">
        <v>23</v>
      </c>
      <c r="L697" t="s">
        <v>71</v>
      </c>
      <c r="M697">
        <v>23</v>
      </c>
      <c r="N697">
        <v>35.5</v>
      </c>
      <c r="O697">
        <v>72</v>
      </c>
      <c r="P697">
        <v>5.71</v>
      </c>
      <c r="Q697">
        <v>2.61</v>
      </c>
      <c r="R697" t="s">
        <v>111</v>
      </c>
      <c r="S697" t="s">
        <v>73</v>
      </c>
      <c r="T697" t="s">
        <v>30</v>
      </c>
      <c r="U697" t="str">
        <f t="shared" si="30"/>
        <v>Normal</v>
      </c>
      <c r="V697" t="str">
        <f t="shared" si="31"/>
        <v>Normal</v>
      </c>
      <c r="W697" t="str">
        <f t="shared" si="32"/>
        <v>Normal</v>
      </c>
    </row>
    <row r="698" spans="1:23" x14ac:dyDescent="0.3">
      <c r="A698">
        <v>10800</v>
      </c>
      <c r="B698" s="2">
        <v>46000</v>
      </c>
      <c r="C698" t="s">
        <v>31</v>
      </c>
      <c r="D698" t="s">
        <v>32</v>
      </c>
      <c r="E698" t="s">
        <v>40</v>
      </c>
      <c r="F698" t="s">
        <v>23</v>
      </c>
      <c r="G698" t="s">
        <v>95</v>
      </c>
      <c r="H698" t="s">
        <v>51</v>
      </c>
      <c r="I698" t="s">
        <v>238</v>
      </c>
      <c r="J698">
        <v>1160</v>
      </c>
      <c r="K698">
        <v>4</v>
      </c>
      <c r="L698" t="s">
        <v>71</v>
      </c>
      <c r="M698">
        <v>158</v>
      </c>
      <c r="N698">
        <v>22.9</v>
      </c>
      <c r="O698">
        <v>72</v>
      </c>
      <c r="P698">
        <v>4.83</v>
      </c>
      <c r="Q698">
        <v>1.63</v>
      </c>
      <c r="R698" t="s">
        <v>111</v>
      </c>
      <c r="S698" t="s">
        <v>47</v>
      </c>
      <c r="T698" t="s">
        <v>30</v>
      </c>
      <c r="U698" t="str">
        <f t="shared" si="30"/>
        <v>Normal</v>
      </c>
      <c r="V698" t="str">
        <f t="shared" si="31"/>
        <v>Normal</v>
      </c>
      <c r="W698" t="str">
        <f t="shared" si="32"/>
        <v>Normal</v>
      </c>
    </row>
    <row r="699" spans="1:23" x14ac:dyDescent="0.3">
      <c r="A699">
        <v>10978</v>
      </c>
      <c r="B699" s="2">
        <v>45887</v>
      </c>
      <c r="C699" t="s">
        <v>20</v>
      </c>
      <c r="D699" t="s">
        <v>59</v>
      </c>
      <c r="E699" t="s">
        <v>40</v>
      </c>
      <c r="F699" t="s">
        <v>41</v>
      </c>
      <c r="G699" t="s">
        <v>42</v>
      </c>
      <c r="H699" t="s">
        <v>177</v>
      </c>
      <c r="I699" t="s">
        <v>241</v>
      </c>
      <c r="J699">
        <v>692</v>
      </c>
      <c r="K699">
        <v>5</v>
      </c>
      <c r="L699" t="s">
        <v>68</v>
      </c>
      <c r="M699">
        <v>92</v>
      </c>
      <c r="N699">
        <v>36.799999999999997</v>
      </c>
      <c r="O699">
        <v>72</v>
      </c>
      <c r="P699">
        <v>6.6</v>
      </c>
      <c r="Q699">
        <v>1.29</v>
      </c>
      <c r="R699" t="s">
        <v>152</v>
      </c>
      <c r="S699" t="s">
        <v>73</v>
      </c>
      <c r="T699" t="s">
        <v>30</v>
      </c>
      <c r="U699" t="str">
        <f t="shared" si="30"/>
        <v>Normal</v>
      </c>
      <c r="V699" t="str">
        <f t="shared" si="31"/>
        <v>Normal</v>
      </c>
      <c r="W699" t="str">
        <f t="shared" si="32"/>
        <v>Normal</v>
      </c>
    </row>
    <row r="700" spans="1:23" x14ac:dyDescent="0.3">
      <c r="A700">
        <v>11100</v>
      </c>
      <c r="B700" s="2">
        <v>45733</v>
      </c>
      <c r="C700" t="s">
        <v>49</v>
      </c>
      <c r="D700" t="s">
        <v>21</v>
      </c>
      <c r="E700" t="s">
        <v>40</v>
      </c>
      <c r="F700" t="s">
        <v>23</v>
      </c>
      <c r="G700" t="s">
        <v>134</v>
      </c>
      <c r="H700" t="s">
        <v>287</v>
      </c>
      <c r="I700" t="s">
        <v>67</v>
      </c>
      <c r="J700">
        <v>1353</v>
      </c>
      <c r="K700">
        <v>45</v>
      </c>
      <c r="L700" t="s">
        <v>57</v>
      </c>
      <c r="M700">
        <v>109</v>
      </c>
      <c r="N700">
        <v>42.7</v>
      </c>
      <c r="O700">
        <v>72</v>
      </c>
      <c r="P700">
        <v>6.52</v>
      </c>
      <c r="Q700">
        <v>2.2400000000000002</v>
      </c>
      <c r="R700" t="s">
        <v>128</v>
      </c>
      <c r="S700" t="s">
        <v>39</v>
      </c>
      <c r="T700" t="s">
        <v>48</v>
      </c>
      <c r="U700" t="str">
        <f t="shared" si="30"/>
        <v>Normal</v>
      </c>
      <c r="V700" t="str">
        <f t="shared" si="31"/>
        <v>Normal</v>
      </c>
      <c r="W700" t="str">
        <f t="shared" si="32"/>
        <v>Normal</v>
      </c>
    </row>
    <row r="701" spans="1:23" x14ac:dyDescent="0.3">
      <c r="A701">
        <v>10867</v>
      </c>
      <c r="B701" s="2">
        <v>45843</v>
      </c>
      <c r="C701" t="s">
        <v>49</v>
      </c>
      <c r="D701" t="s">
        <v>64</v>
      </c>
      <c r="E701" t="s">
        <v>33</v>
      </c>
      <c r="F701" t="s">
        <v>81</v>
      </c>
      <c r="G701" t="s">
        <v>42</v>
      </c>
      <c r="H701" t="s">
        <v>126</v>
      </c>
      <c r="I701" t="s">
        <v>368</v>
      </c>
      <c r="J701">
        <v>798</v>
      </c>
      <c r="K701">
        <v>42</v>
      </c>
      <c r="L701" t="s">
        <v>45</v>
      </c>
      <c r="M701">
        <v>93</v>
      </c>
      <c r="N701">
        <v>42</v>
      </c>
      <c r="O701">
        <v>72</v>
      </c>
      <c r="P701">
        <v>6</v>
      </c>
      <c r="Q701">
        <v>3.63</v>
      </c>
      <c r="R701" t="s">
        <v>222</v>
      </c>
      <c r="S701" t="s">
        <v>39</v>
      </c>
      <c r="T701" t="s">
        <v>48</v>
      </c>
      <c r="U701" t="str">
        <f t="shared" si="30"/>
        <v>Normal</v>
      </c>
      <c r="V701" t="str">
        <f t="shared" si="31"/>
        <v>Normal</v>
      </c>
      <c r="W701" t="str">
        <f t="shared" si="32"/>
        <v>Normal</v>
      </c>
    </row>
    <row r="702" spans="1:23" x14ac:dyDescent="0.3">
      <c r="A702">
        <v>11383</v>
      </c>
      <c r="B702" s="2">
        <v>45740</v>
      </c>
      <c r="C702" t="s">
        <v>20</v>
      </c>
      <c r="D702" t="s">
        <v>64</v>
      </c>
      <c r="E702" t="s">
        <v>40</v>
      </c>
      <c r="F702" t="s">
        <v>23</v>
      </c>
      <c r="G702" t="s">
        <v>95</v>
      </c>
      <c r="H702" t="s">
        <v>114</v>
      </c>
      <c r="I702" t="s">
        <v>70</v>
      </c>
      <c r="J702">
        <v>1441</v>
      </c>
      <c r="K702">
        <v>39</v>
      </c>
      <c r="L702" t="s">
        <v>57</v>
      </c>
      <c r="M702">
        <v>39</v>
      </c>
      <c r="N702">
        <v>32.5</v>
      </c>
      <c r="O702">
        <v>71.900000000000006</v>
      </c>
      <c r="P702">
        <v>6.2</v>
      </c>
      <c r="Q702">
        <v>2.66</v>
      </c>
      <c r="R702" t="s">
        <v>128</v>
      </c>
      <c r="S702" t="s">
        <v>73</v>
      </c>
      <c r="T702" t="s">
        <v>30</v>
      </c>
      <c r="U702" t="str">
        <f t="shared" si="30"/>
        <v>Normal</v>
      </c>
      <c r="V702" t="str">
        <f t="shared" si="31"/>
        <v>Normal</v>
      </c>
      <c r="W702" t="str">
        <f t="shared" si="32"/>
        <v>Normal</v>
      </c>
    </row>
    <row r="703" spans="1:23" x14ac:dyDescent="0.3">
      <c r="A703">
        <v>11069</v>
      </c>
      <c r="B703" s="2">
        <v>45712</v>
      </c>
      <c r="C703" t="s">
        <v>20</v>
      </c>
      <c r="D703" t="s">
        <v>64</v>
      </c>
      <c r="E703" t="s">
        <v>33</v>
      </c>
      <c r="F703" t="s">
        <v>81</v>
      </c>
      <c r="G703" t="s">
        <v>109</v>
      </c>
      <c r="H703" t="s">
        <v>82</v>
      </c>
      <c r="I703" t="s">
        <v>151</v>
      </c>
      <c r="J703">
        <v>1342</v>
      </c>
      <c r="K703">
        <v>19</v>
      </c>
      <c r="L703" t="s">
        <v>68</v>
      </c>
      <c r="M703">
        <v>34</v>
      </c>
      <c r="N703">
        <v>43.4</v>
      </c>
      <c r="O703">
        <v>71.900000000000006</v>
      </c>
      <c r="P703">
        <v>4.8</v>
      </c>
      <c r="Q703">
        <v>3.02</v>
      </c>
      <c r="R703" t="s">
        <v>80</v>
      </c>
      <c r="S703" t="s">
        <v>39</v>
      </c>
      <c r="T703" t="s">
        <v>30</v>
      </c>
      <c r="U703" t="str">
        <f t="shared" si="30"/>
        <v>Normal</v>
      </c>
      <c r="V703" t="str">
        <f t="shared" si="31"/>
        <v>Normal</v>
      </c>
      <c r="W703" t="str">
        <f t="shared" si="32"/>
        <v>Normal</v>
      </c>
    </row>
    <row r="704" spans="1:23" x14ac:dyDescent="0.3">
      <c r="A704">
        <v>10156</v>
      </c>
      <c r="B704" s="2">
        <v>45845</v>
      </c>
      <c r="C704" t="s">
        <v>20</v>
      </c>
      <c r="D704" t="s">
        <v>32</v>
      </c>
      <c r="E704" t="s">
        <v>40</v>
      </c>
      <c r="F704" t="s">
        <v>41</v>
      </c>
      <c r="G704" t="s">
        <v>42</v>
      </c>
      <c r="H704" t="s">
        <v>93</v>
      </c>
      <c r="I704" t="s">
        <v>145</v>
      </c>
      <c r="J704">
        <v>1312</v>
      </c>
      <c r="K704">
        <v>28</v>
      </c>
      <c r="L704" t="s">
        <v>57</v>
      </c>
      <c r="M704">
        <v>9</v>
      </c>
      <c r="N704">
        <v>31</v>
      </c>
      <c r="O704">
        <v>71.900000000000006</v>
      </c>
      <c r="P704">
        <v>5.12</v>
      </c>
      <c r="Q704">
        <v>2.2000000000000002</v>
      </c>
      <c r="R704" t="s">
        <v>84</v>
      </c>
      <c r="S704" t="s">
        <v>39</v>
      </c>
      <c r="T704" t="s">
        <v>30</v>
      </c>
      <c r="U704" t="str">
        <f t="shared" si="30"/>
        <v>Normal</v>
      </c>
      <c r="V704" t="str">
        <f t="shared" si="31"/>
        <v>Normal</v>
      </c>
      <c r="W704" t="str">
        <f t="shared" si="32"/>
        <v>Normal</v>
      </c>
    </row>
    <row r="705" spans="1:23" x14ac:dyDescent="0.3">
      <c r="A705">
        <v>10862</v>
      </c>
      <c r="B705" s="2">
        <v>45983</v>
      </c>
      <c r="C705" t="s">
        <v>20</v>
      </c>
      <c r="D705" t="s">
        <v>59</v>
      </c>
      <c r="E705" t="s">
        <v>40</v>
      </c>
      <c r="F705" t="s">
        <v>23</v>
      </c>
      <c r="G705" t="s">
        <v>95</v>
      </c>
      <c r="H705" t="s">
        <v>88</v>
      </c>
      <c r="I705" t="s">
        <v>220</v>
      </c>
      <c r="J705">
        <v>1253</v>
      </c>
      <c r="K705">
        <v>5</v>
      </c>
      <c r="L705" t="s">
        <v>37</v>
      </c>
      <c r="M705">
        <v>98</v>
      </c>
      <c r="N705">
        <v>37.9</v>
      </c>
      <c r="O705">
        <v>71.900000000000006</v>
      </c>
      <c r="P705">
        <v>5.98</v>
      </c>
      <c r="Q705">
        <v>3.29</v>
      </c>
      <c r="R705" t="s">
        <v>159</v>
      </c>
      <c r="S705" t="s">
        <v>29</v>
      </c>
      <c r="T705" t="s">
        <v>30</v>
      </c>
      <c r="U705" t="str">
        <f t="shared" si="30"/>
        <v>Normal</v>
      </c>
      <c r="V705" t="str">
        <f t="shared" si="31"/>
        <v>Normal</v>
      </c>
      <c r="W705" t="str">
        <f t="shared" si="32"/>
        <v>Normal</v>
      </c>
    </row>
    <row r="706" spans="1:23" x14ac:dyDescent="0.3">
      <c r="A706">
        <v>10374</v>
      </c>
      <c r="B706" s="2">
        <v>45845</v>
      </c>
      <c r="C706" t="s">
        <v>49</v>
      </c>
      <c r="D706" t="s">
        <v>59</v>
      </c>
      <c r="E706" t="s">
        <v>40</v>
      </c>
      <c r="F706" t="s">
        <v>81</v>
      </c>
      <c r="G706" t="s">
        <v>74</v>
      </c>
      <c r="H706" t="s">
        <v>263</v>
      </c>
      <c r="I706" t="s">
        <v>257</v>
      </c>
      <c r="J706">
        <v>763</v>
      </c>
      <c r="K706">
        <v>2</v>
      </c>
      <c r="L706" t="s">
        <v>37</v>
      </c>
      <c r="M706">
        <v>67</v>
      </c>
      <c r="N706">
        <v>29.9</v>
      </c>
      <c r="O706">
        <v>71.900000000000006</v>
      </c>
      <c r="P706">
        <v>4.53</v>
      </c>
      <c r="Q706">
        <v>3.47</v>
      </c>
      <c r="R706" t="s">
        <v>183</v>
      </c>
      <c r="S706" t="s">
        <v>29</v>
      </c>
      <c r="T706" t="s">
        <v>30</v>
      </c>
      <c r="U706" t="str">
        <f t="shared" ref="U706:U769" si="33">IF(OR(O706&lt;20,O706&gt;100),"Investigate","Normal")</f>
        <v>Normal</v>
      </c>
      <c r="V706" t="str">
        <f t="shared" ref="V706:V769" si="34">IF(OR(P706&lt;2,P706&gt;10),"Investigate","Normal")</f>
        <v>Normal</v>
      </c>
      <c r="W706" t="str">
        <f t="shared" ref="W706:W769" si="35">IF(Q706&gt;10,"Investigate","Normal")</f>
        <v>Normal</v>
      </c>
    </row>
    <row r="707" spans="1:23" x14ac:dyDescent="0.3">
      <c r="A707">
        <v>10365</v>
      </c>
      <c r="B707" s="2">
        <v>45802</v>
      </c>
      <c r="C707" t="s">
        <v>49</v>
      </c>
      <c r="D707" t="s">
        <v>21</v>
      </c>
      <c r="E707" t="s">
        <v>22</v>
      </c>
      <c r="F707" t="s">
        <v>41</v>
      </c>
      <c r="G707" t="s">
        <v>95</v>
      </c>
      <c r="H707" t="s">
        <v>88</v>
      </c>
      <c r="I707" t="s">
        <v>170</v>
      </c>
      <c r="J707">
        <v>716</v>
      </c>
      <c r="K707">
        <v>28</v>
      </c>
      <c r="L707" t="s">
        <v>27</v>
      </c>
      <c r="M707">
        <v>68</v>
      </c>
      <c r="N707">
        <v>46.5</v>
      </c>
      <c r="O707">
        <v>71.900000000000006</v>
      </c>
      <c r="P707">
        <v>4.21</v>
      </c>
      <c r="Q707">
        <v>0.71</v>
      </c>
      <c r="R707" t="s">
        <v>240</v>
      </c>
      <c r="S707" t="s">
        <v>73</v>
      </c>
      <c r="T707" t="s">
        <v>48</v>
      </c>
      <c r="U707" t="str">
        <f t="shared" si="33"/>
        <v>Normal</v>
      </c>
      <c r="V707" t="str">
        <f t="shared" si="34"/>
        <v>Normal</v>
      </c>
      <c r="W707" t="str">
        <f t="shared" si="35"/>
        <v>Normal</v>
      </c>
    </row>
    <row r="708" spans="1:23" x14ac:dyDescent="0.3">
      <c r="A708">
        <v>10029</v>
      </c>
      <c r="B708" s="2">
        <v>45667</v>
      </c>
      <c r="C708" t="s">
        <v>49</v>
      </c>
      <c r="D708" t="s">
        <v>59</v>
      </c>
      <c r="E708" t="s">
        <v>40</v>
      </c>
      <c r="F708" t="s">
        <v>23</v>
      </c>
      <c r="G708" t="s">
        <v>50</v>
      </c>
      <c r="H708" t="s">
        <v>175</v>
      </c>
      <c r="I708" t="s">
        <v>110</v>
      </c>
      <c r="J708">
        <v>1358</v>
      </c>
      <c r="K708">
        <v>48</v>
      </c>
      <c r="L708" t="s">
        <v>45</v>
      </c>
      <c r="M708">
        <v>69</v>
      </c>
      <c r="N708">
        <v>44.4</v>
      </c>
      <c r="O708">
        <v>71.900000000000006</v>
      </c>
      <c r="P708">
        <v>6.3</v>
      </c>
      <c r="Q708">
        <v>2.0499999999999998</v>
      </c>
      <c r="R708" t="s">
        <v>195</v>
      </c>
      <c r="S708" t="s">
        <v>29</v>
      </c>
      <c r="T708" t="s">
        <v>48</v>
      </c>
      <c r="U708" t="str">
        <f t="shared" si="33"/>
        <v>Normal</v>
      </c>
      <c r="V708" t="str">
        <f t="shared" si="34"/>
        <v>Normal</v>
      </c>
      <c r="W708" t="str">
        <f t="shared" si="35"/>
        <v>Normal</v>
      </c>
    </row>
    <row r="709" spans="1:23" x14ac:dyDescent="0.3">
      <c r="A709">
        <v>10321</v>
      </c>
      <c r="B709" s="2">
        <v>45900</v>
      </c>
      <c r="C709" t="s">
        <v>49</v>
      </c>
      <c r="D709" t="s">
        <v>32</v>
      </c>
      <c r="E709" t="s">
        <v>107</v>
      </c>
      <c r="F709" t="s">
        <v>41</v>
      </c>
      <c r="G709" t="s">
        <v>42</v>
      </c>
      <c r="H709" t="s">
        <v>351</v>
      </c>
      <c r="I709" t="s">
        <v>228</v>
      </c>
      <c r="J709">
        <v>898</v>
      </c>
      <c r="K709">
        <v>2</v>
      </c>
      <c r="L709" t="s">
        <v>71</v>
      </c>
      <c r="M709">
        <v>83</v>
      </c>
      <c r="N709">
        <v>48.2</v>
      </c>
      <c r="O709">
        <v>71.900000000000006</v>
      </c>
      <c r="P709">
        <v>5.07</v>
      </c>
      <c r="Q709">
        <v>4.18</v>
      </c>
      <c r="R709" t="s">
        <v>28</v>
      </c>
      <c r="S709" t="s">
        <v>39</v>
      </c>
      <c r="T709" t="s">
        <v>30</v>
      </c>
      <c r="U709" t="str">
        <f t="shared" si="33"/>
        <v>Normal</v>
      </c>
      <c r="V709" t="str">
        <f t="shared" si="34"/>
        <v>Normal</v>
      </c>
      <c r="W709" t="str">
        <f t="shared" si="35"/>
        <v>Normal</v>
      </c>
    </row>
    <row r="710" spans="1:23" x14ac:dyDescent="0.3">
      <c r="A710">
        <v>10246</v>
      </c>
      <c r="B710" s="2">
        <v>45842</v>
      </c>
      <c r="C710" t="s">
        <v>20</v>
      </c>
      <c r="D710" t="s">
        <v>32</v>
      </c>
      <c r="E710" t="s">
        <v>40</v>
      </c>
      <c r="F710" t="s">
        <v>81</v>
      </c>
      <c r="G710" t="s">
        <v>50</v>
      </c>
      <c r="H710" t="s">
        <v>25</v>
      </c>
      <c r="I710" t="s">
        <v>268</v>
      </c>
      <c r="J710">
        <v>1571</v>
      </c>
      <c r="K710">
        <v>19</v>
      </c>
      <c r="L710" t="s">
        <v>45</v>
      </c>
      <c r="M710">
        <v>123</v>
      </c>
      <c r="N710">
        <v>39.1</v>
      </c>
      <c r="O710">
        <v>71.900000000000006</v>
      </c>
      <c r="P710">
        <v>5.55</v>
      </c>
      <c r="Q710">
        <v>3.27</v>
      </c>
      <c r="R710" t="s">
        <v>189</v>
      </c>
      <c r="S710" t="s">
        <v>29</v>
      </c>
      <c r="T710" t="s">
        <v>30</v>
      </c>
      <c r="U710" t="str">
        <f t="shared" si="33"/>
        <v>Normal</v>
      </c>
      <c r="V710" t="str">
        <f t="shared" si="34"/>
        <v>Normal</v>
      </c>
      <c r="W710" t="str">
        <f t="shared" si="35"/>
        <v>Normal</v>
      </c>
    </row>
    <row r="711" spans="1:23" x14ac:dyDescent="0.3">
      <c r="A711">
        <v>11497</v>
      </c>
      <c r="B711" s="2">
        <v>45690</v>
      </c>
      <c r="C711" t="s">
        <v>49</v>
      </c>
      <c r="D711" t="s">
        <v>64</v>
      </c>
      <c r="E711" t="s">
        <v>107</v>
      </c>
      <c r="F711" t="s">
        <v>41</v>
      </c>
      <c r="G711" t="s">
        <v>34</v>
      </c>
      <c r="H711" t="s">
        <v>172</v>
      </c>
      <c r="I711" t="s">
        <v>117</v>
      </c>
      <c r="J711">
        <v>812</v>
      </c>
      <c r="K711">
        <v>9</v>
      </c>
      <c r="L711" t="s">
        <v>68</v>
      </c>
      <c r="M711">
        <v>29</v>
      </c>
      <c r="N711">
        <v>34.4</v>
      </c>
      <c r="O711">
        <v>71.900000000000006</v>
      </c>
      <c r="P711">
        <v>4.99</v>
      </c>
      <c r="Q711">
        <v>2.91</v>
      </c>
      <c r="R711" t="s">
        <v>155</v>
      </c>
      <c r="S711" t="s">
        <v>73</v>
      </c>
      <c r="T711" t="s">
        <v>30</v>
      </c>
      <c r="U711" t="str">
        <f t="shared" si="33"/>
        <v>Normal</v>
      </c>
      <c r="V711" t="str">
        <f t="shared" si="34"/>
        <v>Normal</v>
      </c>
      <c r="W711" t="str">
        <f t="shared" si="35"/>
        <v>Normal</v>
      </c>
    </row>
    <row r="712" spans="1:23" x14ac:dyDescent="0.3">
      <c r="A712">
        <v>11130</v>
      </c>
      <c r="B712" s="2">
        <v>45823</v>
      </c>
      <c r="C712" t="s">
        <v>49</v>
      </c>
      <c r="D712" t="s">
        <v>59</v>
      </c>
      <c r="E712" t="s">
        <v>33</v>
      </c>
      <c r="F712" t="s">
        <v>41</v>
      </c>
      <c r="G712" t="s">
        <v>34</v>
      </c>
      <c r="H712" t="s">
        <v>200</v>
      </c>
      <c r="I712" t="s">
        <v>354</v>
      </c>
      <c r="J712">
        <v>1486</v>
      </c>
      <c r="K712">
        <v>3</v>
      </c>
      <c r="L712" t="s">
        <v>45</v>
      </c>
      <c r="M712">
        <v>139</v>
      </c>
      <c r="N712">
        <v>55.3</v>
      </c>
      <c r="O712">
        <v>71.900000000000006</v>
      </c>
      <c r="P712">
        <v>6.76</v>
      </c>
      <c r="Q712">
        <v>4.4400000000000004</v>
      </c>
      <c r="R712" t="s">
        <v>122</v>
      </c>
      <c r="S712" t="s">
        <v>47</v>
      </c>
      <c r="T712" t="s">
        <v>30</v>
      </c>
      <c r="U712" t="str">
        <f t="shared" si="33"/>
        <v>Normal</v>
      </c>
      <c r="V712" t="str">
        <f t="shared" si="34"/>
        <v>Normal</v>
      </c>
      <c r="W712" t="str">
        <f t="shared" si="35"/>
        <v>Normal</v>
      </c>
    </row>
    <row r="713" spans="1:23" x14ac:dyDescent="0.3">
      <c r="A713">
        <v>11414</v>
      </c>
      <c r="B713" s="2">
        <v>45903</v>
      </c>
      <c r="C713" t="s">
        <v>49</v>
      </c>
      <c r="D713" t="s">
        <v>32</v>
      </c>
      <c r="E713" t="s">
        <v>22</v>
      </c>
      <c r="F713" t="s">
        <v>23</v>
      </c>
      <c r="G713" t="s">
        <v>89</v>
      </c>
      <c r="H713" t="s">
        <v>177</v>
      </c>
      <c r="I713" t="s">
        <v>136</v>
      </c>
      <c r="J713">
        <v>1107</v>
      </c>
      <c r="K713">
        <v>77</v>
      </c>
      <c r="L713" t="s">
        <v>27</v>
      </c>
      <c r="M713">
        <v>99</v>
      </c>
      <c r="N713">
        <v>46.6</v>
      </c>
      <c r="O713">
        <v>71.900000000000006</v>
      </c>
      <c r="P713">
        <v>4.6399999999999997</v>
      </c>
      <c r="Q713">
        <v>2.09</v>
      </c>
      <c r="R713" t="s">
        <v>140</v>
      </c>
      <c r="S713" t="s">
        <v>39</v>
      </c>
      <c r="T713" t="s">
        <v>48</v>
      </c>
      <c r="U713" t="str">
        <f t="shared" si="33"/>
        <v>Normal</v>
      </c>
      <c r="V713" t="str">
        <f t="shared" si="34"/>
        <v>Normal</v>
      </c>
      <c r="W713" t="str">
        <f t="shared" si="35"/>
        <v>Normal</v>
      </c>
    </row>
    <row r="714" spans="1:23" x14ac:dyDescent="0.3">
      <c r="A714">
        <v>10644</v>
      </c>
      <c r="B714" s="2">
        <v>45988</v>
      </c>
      <c r="C714" t="s">
        <v>31</v>
      </c>
      <c r="D714" t="s">
        <v>21</v>
      </c>
      <c r="E714" t="s">
        <v>40</v>
      </c>
      <c r="F714" t="s">
        <v>41</v>
      </c>
      <c r="G714" t="s">
        <v>113</v>
      </c>
      <c r="H714" t="s">
        <v>101</v>
      </c>
      <c r="I714" t="s">
        <v>198</v>
      </c>
      <c r="J714">
        <v>1063</v>
      </c>
      <c r="K714">
        <v>10</v>
      </c>
      <c r="L714" t="s">
        <v>27</v>
      </c>
      <c r="M714">
        <v>88</v>
      </c>
      <c r="N714">
        <v>47</v>
      </c>
      <c r="O714">
        <v>71.8</v>
      </c>
      <c r="P714">
        <v>4.66</v>
      </c>
      <c r="Q714">
        <v>0.97</v>
      </c>
      <c r="R714" t="s">
        <v>128</v>
      </c>
      <c r="S714" t="s">
        <v>39</v>
      </c>
      <c r="T714" t="s">
        <v>30</v>
      </c>
      <c r="U714" t="str">
        <f t="shared" si="33"/>
        <v>Normal</v>
      </c>
      <c r="V714" t="str">
        <f t="shared" si="34"/>
        <v>Normal</v>
      </c>
      <c r="W714" t="str">
        <f t="shared" si="35"/>
        <v>Normal</v>
      </c>
    </row>
    <row r="715" spans="1:23" x14ac:dyDescent="0.3">
      <c r="A715">
        <v>10810</v>
      </c>
      <c r="B715" s="2">
        <v>46014</v>
      </c>
      <c r="C715" t="s">
        <v>31</v>
      </c>
      <c r="D715" t="s">
        <v>21</v>
      </c>
      <c r="E715" t="s">
        <v>33</v>
      </c>
      <c r="F715" t="s">
        <v>41</v>
      </c>
      <c r="G715" t="s">
        <v>50</v>
      </c>
      <c r="H715" t="s">
        <v>114</v>
      </c>
      <c r="I715" t="s">
        <v>313</v>
      </c>
      <c r="J715">
        <v>1114</v>
      </c>
      <c r="K715">
        <v>41</v>
      </c>
      <c r="L715" t="s">
        <v>37</v>
      </c>
      <c r="M715">
        <v>147</v>
      </c>
      <c r="N715">
        <v>45.4</v>
      </c>
      <c r="O715">
        <v>71.8</v>
      </c>
      <c r="P715">
        <v>4.0599999999999996</v>
      </c>
      <c r="Q715">
        <v>1.24</v>
      </c>
      <c r="R715" t="s">
        <v>137</v>
      </c>
      <c r="S715" t="s">
        <v>73</v>
      </c>
      <c r="T715" t="s">
        <v>48</v>
      </c>
      <c r="U715" t="str">
        <f t="shared" si="33"/>
        <v>Normal</v>
      </c>
      <c r="V715" t="str">
        <f t="shared" si="34"/>
        <v>Normal</v>
      </c>
      <c r="W715" t="str">
        <f t="shared" si="35"/>
        <v>Normal</v>
      </c>
    </row>
    <row r="716" spans="1:23" x14ac:dyDescent="0.3">
      <c r="A716">
        <v>10360</v>
      </c>
      <c r="B716" s="2">
        <v>45776</v>
      </c>
      <c r="C716" t="s">
        <v>49</v>
      </c>
      <c r="D716" t="s">
        <v>59</v>
      </c>
      <c r="E716" t="s">
        <v>33</v>
      </c>
      <c r="F716" t="s">
        <v>41</v>
      </c>
      <c r="G716" t="s">
        <v>34</v>
      </c>
      <c r="H716" t="s">
        <v>287</v>
      </c>
      <c r="I716" t="s">
        <v>346</v>
      </c>
      <c r="J716">
        <v>548</v>
      </c>
      <c r="K716">
        <v>39</v>
      </c>
      <c r="L716" t="s">
        <v>27</v>
      </c>
      <c r="M716">
        <v>85</v>
      </c>
      <c r="N716">
        <v>27.5</v>
      </c>
      <c r="O716">
        <v>71.8</v>
      </c>
      <c r="P716">
        <v>6.1</v>
      </c>
      <c r="Q716">
        <v>2.59</v>
      </c>
      <c r="R716" t="s">
        <v>240</v>
      </c>
      <c r="S716" t="s">
        <v>47</v>
      </c>
      <c r="T716" t="s">
        <v>48</v>
      </c>
      <c r="U716" t="str">
        <f t="shared" si="33"/>
        <v>Normal</v>
      </c>
      <c r="V716" t="str">
        <f t="shared" si="34"/>
        <v>Normal</v>
      </c>
      <c r="W716" t="str">
        <f t="shared" si="35"/>
        <v>Normal</v>
      </c>
    </row>
    <row r="717" spans="1:23" x14ac:dyDescent="0.3">
      <c r="A717">
        <v>10700</v>
      </c>
      <c r="B717" s="2">
        <v>45903</v>
      </c>
      <c r="C717" t="s">
        <v>20</v>
      </c>
      <c r="D717" t="s">
        <v>64</v>
      </c>
      <c r="E717" t="s">
        <v>40</v>
      </c>
      <c r="F717" t="s">
        <v>23</v>
      </c>
      <c r="G717" t="s">
        <v>134</v>
      </c>
      <c r="H717" t="s">
        <v>141</v>
      </c>
      <c r="I717" t="s">
        <v>296</v>
      </c>
      <c r="J717">
        <v>536</v>
      </c>
      <c r="K717">
        <v>6</v>
      </c>
      <c r="L717" t="s">
        <v>71</v>
      </c>
      <c r="M717">
        <v>26</v>
      </c>
      <c r="N717">
        <v>41.2</v>
      </c>
      <c r="O717">
        <v>71.8</v>
      </c>
      <c r="P717">
        <v>4.8499999999999996</v>
      </c>
      <c r="Q717">
        <v>2.76</v>
      </c>
      <c r="R717" t="s">
        <v>153</v>
      </c>
      <c r="S717" t="s">
        <v>39</v>
      </c>
      <c r="T717" t="s">
        <v>30</v>
      </c>
      <c r="U717" t="str">
        <f t="shared" si="33"/>
        <v>Normal</v>
      </c>
      <c r="V717" t="str">
        <f t="shared" si="34"/>
        <v>Normal</v>
      </c>
      <c r="W717" t="str">
        <f t="shared" si="35"/>
        <v>Normal</v>
      </c>
    </row>
    <row r="718" spans="1:23" x14ac:dyDescent="0.3">
      <c r="A718">
        <v>11465</v>
      </c>
      <c r="B718" s="2">
        <v>45929</v>
      </c>
      <c r="C718" t="s">
        <v>20</v>
      </c>
      <c r="D718" t="s">
        <v>32</v>
      </c>
      <c r="E718" t="s">
        <v>22</v>
      </c>
      <c r="F718" t="s">
        <v>23</v>
      </c>
      <c r="G718" t="s">
        <v>134</v>
      </c>
      <c r="H718" t="s">
        <v>88</v>
      </c>
      <c r="I718" t="s">
        <v>135</v>
      </c>
      <c r="J718">
        <v>700</v>
      </c>
      <c r="K718">
        <v>6</v>
      </c>
      <c r="L718" t="s">
        <v>27</v>
      </c>
      <c r="M718">
        <v>178</v>
      </c>
      <c r="N718">
        <v>26.5</v>
      </c>
      <c r="O718">
        <v>71.7</v>
      </c>
      <c r="P718">
        <v>4.33</v>
      </c>
      <c r="Q718">
        <v>2.94</v>
      </c>
      <c r="R718" t="s">
        <v>84</v>
      </c>
      <c r="S718" t="s">
        <v>47</v>
      </c>
      <c r="T718" t="s">
        <v>30</v>
      </c>
      <c r="U718" t="str">
        <f t="shared" si="33"/>
        <v>Normal</v>
      </c>
      <c r="V718" t="str">
        <f t="shared" si="34"/>
        <v>Normal</v>
      </c>
      <c r="W718" t="str">
        <f t="shared" si="35"/>
        <v>Normal</v>
      </c>
    </row>
    <row r="719" spans="1:23" x14ac:dyDescent="0.3">
      <c r="A719">
        <v>11007</v>
      </c>
      <c r="B719" s="2">
        <v>46012</v>
      </c>
      <c r="C719" t="s">
        <v>31</v>
      </c>
      <c r="D719" t="s">
        <v>64</v>
      </c>
      <c r="E719" t="s">
        <v>40</v>
      </c>
      <c r="F719" t="s">
        <v>23</v>
      </c>
      <c r="G719" t="s">
        <v>42</v>
      </c>
      <c r="H719" t="s">
        <v>78</v>
      </c>
      <c r="I719" t="s">
        <v>157</v>
      </c>
      <c r="J719">
        <v>1057</v>
      </c>
      <c r="K719">
        <v>14</v>
      </c>
      <c r="L719" t="s">
        <v>45</v>
      </c>
      <c r="M719">
        <v>51</v>
      </c>
      <c r="N719">
        <v>34.200000000000003</v>
      </c>
      <c r="O719">
        <v>71.7</v>
      </c>
      <c r="P719">
        <v>4.8499999999999996</v>
      </c>
      <c r="Q719">
        <v>4.07</v>
      </c>
      <c r="R719" t="s">
        <v>147</v>
      </c>
      <c r="S719" t="s">
        <v>39</v>
      </c>
      <c r="T719" t="s">
        <v>30</v>
      </c>
      <c r="U719" t="str">
        <f t="shared" si="33"/>
        <v>Normal</v>
      </c>
      <c r="V719" t="str">
        <f t="shared" si="34"/>
        <v>Normal</v>
      </c>
      <c r="W719" t="str">
        <f t="shared" si="35"/>
        <v>Normal</v>
      </c>
    </row>
    <row r="720" spans="1:23" x14ac:dyDescent="0.3">
      <c r="A720">
        <v>10116</v>
      </c>
      <c r="B720" s="2">
        <v>45824</v>
      </c>
      <c r="C720" t="s">
        <v>49</v>
      </c>
      <c r="D720" t="s">
        <v>21</v>
      </c>
      <c r="E720" t="s">
        <v>107</v>
      </c>
      <c r="F720" t="s">
        <v>81</v>
      </c>
      <c r="G720" t="s">
        <v>74</v>
      </c>
      <c r="H720" t="s">
        <v>101</v>
      </c>
      <c r="I720" t="s">
        <v>248</v>
      </c>
      <c r="J720">
        <v>471</v>
      </c>
      <c r="K720">
        <v>6</v>
      </c>
      <c r="L720" t="s">
        <v>27</v>
      </c>
      <c r="M720">
        <v>67</v>
      </c>
      <c r="N720">
        <v>27.1</v>
      </c>
      <c r="O720">
        <v>71.7</v>
      </c>
      <c r="P720">
        <v>5.3</v>
      </c>
      <c r="Q720">
        <v>3.97</v>
      </c>
      <c r="R720" t="s">
        <v>63</v>
      </c>
      <c r="S720" t="s">
        <v>29</v>
      </c>
      <c r="T720" t="s">
        <v>30</v>
      </c>
      <c r="U720" t="str">
        <f t="shared" si="33"/>
        <v>Normal</v>
      </c>
      <c r="V720" t="str">
        <f t="shared" si="34"/>
        <v>Normal</v>
      </c>
      <c r="W720" t="str">
        <f t="shared" si="35"/>
        <v>Normal</v>
      </c>
    </row>
    <row r="721" spans="1:23" x14ac:dyDescent="0.3">
      <c r="A721">
        <v>10114</v>
      </c>
      <c r="B721" s="2">
        <v>45822</v>
      </c>
      <c r="C721" t="s">
        <v>49</v>
      </c>
      <c r="D721" t="s">
        <v>64</v>
      </c>
      <c r="E721" t="s">
        <v>33</v>
      </c>
      <c r="F721" t="s">
        <v>23</v>
      </c>
      <c r="G721" t="s">
        <v>50</v>
      </c>
      <c r="H721" t="s">
        <v>93</v>
      </c>
      <c r="I721" t="s">
        <v>102</v>
      </c>
      <c r="J721">
        <v>1393</v>
      </c>
      <c r="K721">
        <v>20</v>
      </c>
      <c r="L721" t="s">
        <v>45</v>
      </c>
      <c r="M721">
        <v>53</v>
      </c>
      <c r="N721">
        <v>45.3</v>
      </c>
      <c r="O721">
        <v>71.7</v>
      </c>
      <c r="P721">
        <v>3.91</v>
      </c>
      <c r="Q721">
        <v>4.08</v>
      </c>
      <c r="R721" t="s">
        <v>232</v>
      </c>
      <c r="S721" t="s">
        <v>73</v>
      </c>
      <c r="T721" t="s">
        <v>30</v>
      </c>
      <c r="U721" t="str">
        <f t="shared" si="33"/>
        <v>Normal</v>
      </c>
      <c r="V721" t="str">
        <f t="shared" si="34"/>
        <v>Normal</v>
      </c>
      <c r="W721" t="str">
        <f t="shared" si="35"/>
        <v>Normal</v>
      </c>
    </row>
    <row r="722" spans="1:23" x14ac:dyDescent="0.3">
      <c r="A722">
        <v>11108</v>
      </c>
      <c r="B722" s="2">
        <v>45760</v>
      </c>
      <c r="C722" t="s">
        <v>31</v>
      </c>
      <c r="D722" t="s">
        <v>32</v>
      </c>
      <c r="E722" t="s">
        <v>22</v>
      </c>
      <c r="F722" t="s">
        <v>23</v>
      </c>
      <c r="G722" t="s">
        <v>24</v>
      </c>
      <c r="H722" t="s">
        <v>424</v>
      </c>
      <c r="I722" t="s">
        <v>366</v>
      </c>
      <c r="J722">
        <v>758</v>
      </c>
      <c r="K722">
        <v>14</v>
      </c>
      <c r="L722" t="s">
        <v>68</v>
      </c>
      <c r="M722">
        <v>180</v>
      </c>
      <c r="N722">
        <v>65.7</v>
      </c>
      <c r="O722">
        <v>71.7</v>
      </c>
      <c r="P722">
        <v>6.09</v>
      </c>
      <c r="Q722">
        <v>3.91</v>
      </c>
      <c r="R722" t="s">
        <v>240</v>
      </c>
      <c r="S722" t="s">
        <v>73</v>
      </c>
      <c r="T722" t="s">
        <v>30</v>
      </c>
      <c r="U722" t="str">
        <f t="shared" si="33"/>
        <v>Normal</v>
      </c>
      <c r="V722" t="str">
        <f t="shared" si="34"/>
        <v>Normal</v>
      </c>
      <c r="W722" t="str">
        <f t="shared" si="35"/>
        <v>Normal</v>
      </c>
    </row>
    <row r="723" spans="1:23" x14ac:dyDescent="0.3">
      <c r="A723">
        <v>11285</v>
      </c>
      <c r="B723" s="2">
        <v>45951</v>
      </c>
      <c r="C723" t="s">
        <v>31</v>
      </c>
      <c r="D723" t="s">
        <v>21</v>
      </c>
      <c r="E723" t="s">
        <v>40</v>
      </c>
      <c r="F723" t="s">
        <v>81</v>
      </c>
      <c r="G723" t="s">
        <v>74</v>
      </c>
      <c r="H723" t="s">
        <v>69</v>
      </c>
      <c r="I723" t="s">
        <v>220</v>
      </c>
      <c r="J723">
        <v>1162</v>
      </c>
      <c r="K723">
        <v>13</v>
      </c>
      <c r="L723" t="s">
        <v>37</v>
      </c>
      <c r="M723">
        <v>47</v>
      </c>
      <c r="N723">
        <v>35.1</v>
      </c>
      <c r="O723">
        <v>71.7</v>
      </c>
      <c r="P723">
        <v>5.48</v>
      </c>
      <c r="Q723">
        <v>3.52</v>
      </c>
      <c r="R723" t="s">
        <v>143</v>
      </c>
      <c r="S723" t="s">
        <v>29</v>
      </c>
      <c r="T723" t="s">
        <v>30</v>
      </c>
      <c r="U723" t="str">
        <f t="shared" si="33"/>
        <v>Normal</v>
      </c>
      <c r="V723" t="str">
        <f t="shared" si="34"/>
        <v>Normal</v>
      </c>
      <c r="W723" t="str">
        <f t="shared" si="35"/>
        <v>Normal</v>
      </c>
    </row>
    <row r="724" spans="1:23" x14ac:dyDescent="0.3">
      <c r="A724">
        <v>10834</v>
      </c>
      <c r="B724" s="2">
        <v>45678</v>
      </c>
      <c r="C724" t="s">
        <v>49</v>
      </c>
      <c r="D724" t="s">
        <v>64</v>
      </c>
      <c r="E724" t="s">
        <v>107</v>
      </c>
      <c r="F724" t="s">
        <v>41</v>
      </c>
      <c r="G724" t="s">
        <v>89</v>
      </c>
      <c r="H724" t="s">
        <v>205</v>
      </c>
      <c r="I724" t="s">
        <v>162</v>
      </c>
      <c r="J724">
        <v>1197</v>
      </c>
      <c r="K724">
        <v>40</v>
      </c>
      <c r="L724" t="s">
        <v>45</v>
      </c>
      <c r="M724">
        <v>24</v>
      </c>
      <c r="N724">
        <v>40.4</v>
      </c>
      <c r="O724">
        <v>71.7</v>
      </c>
      <c r="P724">
        <v>5.71</v>
      </c>
      <c r="Q724">
        <v>4.4800000000000004</v>
      </c>
      <c r="R724" t="s">
        <v>195</v>
      </c>
      <c r="S724" t="s">
        <v>73</v>
      </c>
      <c r="T724" t="s">
        <v>48</v>
      </c>
      <c r="U724" t="str">
        <f t="shared" si="33"/>
        <v>Normal</v>
      </c>
      <c r="V724" t="str">
        <f t="shared" si="34"/>
        <v>Normal</v>
      </c>
      <c r="W724" t="str">
        <f t="shared" si="35"/>
        <v>Normal</v>
      </c>
    </row>
    <row r="725" spans="1:23" x14ac:dyDescent="0.3">
      <c r="A725">
        <v>11474</v>
      </c>
      <c r="B725" s="2">
        <v>45938</v>
      </c>
      <c r="C725" t="s">
        <v>20</v>
      </c>
      <c r="D725" t="s">
        <v>21</v>
      </c>
      <c r="E725" t="s">
        <v>40</v>
      </c>
      <c r="F725" t="s">
        <v>81</v>
      </c>
      <c r="G725" t="s">
        <v>42</v>
      </c>
      <c r="H725" t="s">
        <v>196</v>
      </c>
      <c r="I725" t="s">
        <v>313</v>
      </c>
      <c r="J725">
        <v>1176</v>
      </c>
      <c r="K725">
        <v>9</v>
      </c>
      <c r="L725" t="s">
        <v>37</v>
      </c>
      <c r="M725">
        <v>129</v>
      </c>
      <c r="N725">
        <v>42.8</v>
      </c>
      <c r="O725">
        <v>71.7</v>
      </c>
      <c r="P725">
        <v>5.46</v>
      </c>
      <c r="Q725">
        <v>1.18</v>
      </c>
      <c r="R725" t="s">
        <v>174</v>
      </c>
      <c r="S725" t="s">
        <v>47</v>
      </c>
      <c r="T725" t="s">
        <v>30</v>
      </c>
      <c r="U725" t="str">
        <f t="shared" si="33"/>
        <v>Normal</v>
      </c>
      <c r="V725" t="str">
        <f t="shared" si="34"/>
        <v>Normal</v>
      </c>
      <c r="W725" t="str">
        <f t="shared" si="35"/>
        <v>Normal</v>
      </c>
    </row>
    <row r="726" spans="1:23" x14ac:dyDescent="0.3">
      <c r="A726">
        <v>11364</v>
      </c>
      <c r="B726" s="2">
        <v>45993</v>
      </c>
      <c r="C726" t="s">
        <v>31</v>
      </c>
      <c r="D726" t="s">
        <v>32</v>
      </c>
      <c r="E726" t="s">
        <v>22</v>
      </c>
      <c r="F726" t="s">
        <v>23</v>
      </c>
      <c r="G726" t="s">
        <v>50</v>
      </c>
      <c r="H726" t="s">
        <v>165</v>
      </c>
      <c r="I726" t="s">
        <v>194</v>
      </c>
      <c r="J726">
        <v>1039</v>
      </c>
      <c r="K726">
        <v>9</v>
      </c>
      <c r="L726" t="s">
        <v>68</v>
      </c>
      <c r="M726">
        <v>81</v>
      </c>
      <c r="N726">
        <v>42</v>
      </c>
      <c r="O726">
        <v>71.7</v>
      </c>
      <c r="P726">
        <v>5.08</v>
      </c>
      <c r="Q726">
        <v>2.69</v>
      </c>
      <c r="R726" t="s">
        <v>111</v>
      </c>
      <c r="S726" t="s">
        <v>47</v>
      </c>
      <c r="T726" t="s">
        <v>30</v>
      </c>
      <c r="U726" t="str">
        <f t="shared" si="33"/>
        <v>Normal</v>
      </c>
      <c r="V726" t="str">
        <f t="shared" si="34"/>
        <v>Normal</v>
      </c>
      <c r="W726" t="str">
        <f t="shared" si="35"/>
        <v>Normal</v>
      </c>
    </row>
    <row r="727" spans="1:23" x14ac:dyDescent="0.3">
      <c r="A727">
        <v>10806</v>
      </c>
      <c r="B727" s="2">
        <v>45760</v>
      </c>
      <c r="C727" t="s">
        <v>49</v>
      </c>
      <c r="D727" t="s">
        <v>59</v>
      </c>
      <c r="E727" t="s">
        <v>33</v>
      </c>
      <c r="F727" t="s">
        <v>81</v>
      </c>
      <c r="G727" t="s">
        <v>42</v>
      </c>
      <c r="H727" t="s">
        <v>351</v>
      </c>
      <c r="I727" t="s">
        <v>204</v>
      </c>
      <c r="J727">
        <v>1085</v>
      </c>
      <c r="K727">
        <v>8</v>
      </c>
      <c r="L727" t="s">
        <v>27</v>
      </c>
      <c r="M727">
        <v>152</v>
      </c>
      <c r="N727">
        <v>32.4</v>
      </c>
      <c r="O727">
        <v>71.7</v>
      </c>
      <c r="P727">
        <v>5.71</v>
      </c>
      <c r="Q727">
        <v>4.9800000000000004</v>
      </c>
      <c r="R727" t="s">
        <v>189</v>
      </c>
      <c r="S727" t="s">
        <v>39</v>
      </c>
      <c r="T727" t="s">
        <v>30</v>
      </c>
      <c r="U727" t="str">
        <f t="shared" si="33"/>
        <v>Normal</v>
      </c>
      <c r="V727" t="str">
        <f t="shared" si="34"/>
        <v>Normal</v>
      </c>
      <c r="W727" t="str">
        <f t="shared" si="35"/>
        <v>Normal</v>
      </c>
    </row>
    <row r="728" spans="1:23" x14ac:dyDescent="0.3">
      <c r="A728">
        <v>10077</v>
      </c>
      <c r="B728" s="2">
        <v>45744</v>
      </c>
      <c r="C728" t="s">
        <v>49</v>
      </c>
      <c r="D728" t="s">
        <v>21</v>
      </c>
      <c r="E728" t="s">
        <v>33</v>
      </c>
      <c r="F728" t="s">
        <v>81</v>
      </c>
      <c r="G728" t="s">
        <v>50</v>
      </c>
      <c r="H728" t="s">
        <v>193</v>
      </c>
      <c r="I728" t="s">
        <v>208</v>
      </c>
      <c r="J728">
        <v>979</v>
      </c>
      <c r="K728">
        <v>10</v>
      </c>
      <c r="L728" t="s">
        <v>57</v>
      </c>
      <c r="M728">
        <v>170</v>
      </c>
      <c r="N728">
        <v>30.4</v>
      </c>
      <c r="O728">
        <v>71.599999999999994</v>
      </c>
      <c r="P728">
        <v>5.07</v>
      </c>
      <c r="Q728">
        <v>3.97</v>
      </c>
      <c r="R728" t="s">
        <v>209</v>
      </c>
      <c r="S728" t="s">
        <v>73</v>
      </c>
      <c r="T728" t="s">
        <v>30</v>
      </c>
      <c r="U728" t="str">
        <f t="shared" si="33"/>
        <v>Normal</v>
      </c>
      <c r="V728" t="str">
        <f t="shared" si="34"/>
        <v>Normal</v>
      </c>
      <c r="W728" t="str">
        <f t="shared" si="35"/>
        <v>Normal</v>
      </c>
    </row>
    <row r="729" spans="1:23" x14ac:dyDescent="0.3">
      <c r="A729">
        <v>10980</v>
      </c>
      <c r="B729" s="2">
        <v>45777</v>
      </c>
      <c r="C729" t="s">
        <v>49</v>
      </c>
      <c r="D729" t="s">
        <v>21</v>
      </c>
      <c r="E729" t="s">
        <v>22</v>
      </c>
      <c r="F729" t="s">
        <v>41</v>
      </c>
      <c r="G729" t="s">
        <v>42</v>
      </c>
      <c r="H729" t="s">
        <v>144</v>
      </c>
      <c r="I729" t="s">
        <v>181</v>
      </c>
      <c r="J729">
        <v>1365</v>
      </c>
      <c r="K729">
        <v>116</v>
      </c>
      <c r="L729" t="s">
        <v>45</v>
      </c>
      <c r="M729">
        <v>171</v>
      </c>
      <c r="N729">
        <v>44.1</v>
      </c>
      <c r="O729">
        <v>71.599999999999994</v>
      </c>
      <c r="P729">
        <v>5.31</v>
      </c>
      <c r="Q729">
        <v>1.47</v>
      </c>
      <c r="R729" t="s">
        <v>222</v>
      </c>
      <c r="S729" t="s">
        <v>29</v>
      </c>
      <c r="T729" t="s">
        <v>48</v>
      </c>
      <c r="U729" t="str">
        <f t="shared" si="33"/>
        <v>Normal</v>
      </c>
      <c r="V729" t="str">
        <f t="shared" si="34"/>
        <v>Normal</v>
      </c>
      <c r="W729" t="str">
        <f t="shared" si="35"/>
        <v>Normal</v>
      </c>
    </row>
    <row r="730" spans="1:23" x14ac:dyDescent="0.3">
      <c r="A730">
        <v>10979</v>
      </c>
      <c r="B730" s="2">
        <v>45817</v>
      </c>
      <c r="C730" t="s">
        <v>49</v>
      </c>
      <c r="D730" t="s">
        <v>21</v>
      </c>
      <c r="E730" t="s">
        <v>107</v>
      </c>
      <c r="F730" t="s">
        <v>23</v>
      </c>
      <c r="G730" t="s">
        <v>42</v>
      </c>
      <c r="H730" t="s">
        <v>265</v>
      </c>
      <c r="I730" t="s">
        <v>304</v>
      </c>
      <c r="J730">
        <v>932</v>
      </c>
      <c r="K730">
        <v>5</v>
      </c>
      <c r="L730" t="s">
        <v>27</v>
      </c>
      <c r="M730">
        <v>76</v>
      </c>
      <c r="N730">
        <v>40.6</v>
      </c>
      <c r="O730">
        <v>71.599999999999994</v>
      </c>
      <c r="P730">
        <v>4.8600000000000003</v>
      </c>
      <c r="Q730">
        <v>2.9</v>
      </c>
      <c r="R730" t="s">
        <v>242</v>
      </c>
      <c r="S730" t="s">
        <v>47</v>
      </c>
      <c r="T730" t="s">
        <v>30</v>
      </c>
      <c r="U730" t="str">
        <f t="shared" si="33"/>
        <v>Normal</v>
      </c>
      <c r="V730" t="str">
        <f t="shared" si="34"/>
        <v>Normal</v>
      </c>
      <c r="W730" t="str">
        <f t="shared" si="35"/>
        <v>Normal</v>
      </c>
    </row>
    <row r="731" spans="1:23" x14ac:dyDescent="0.3">
      <c r="A731">
        <v>11354</v>
      </c>
      <c r="B731" s="2">
        <v>45868</v>
      </c>
      <c r="C731" t="s">
        <v>49</v>
      </c>
      <c r="D731" t="s">
        <v>64</v>
      </c>
      <c r="E731" t="s">
        <v>33</v>
      </c>
      <c r="F731" t="s">
        <v>41</v>
      </c>
      <c r="G731" t="s">
        <v>109</v>
      </c>
      <c r="H731" t="s">
        <v>123</v>
      </c>
      <c r="I731" t="s">
        <v>233</v>
      </c>
      <c r="J731">
        <v>1034</v>
      </c>
      <c r="K731">
        <v>39</v>
      </c>
      <c r="L731" t="s">
        <v>45</v>
      </c>
      <c r="M731">
        <v>41</v>
      </c>
      <c r="N731">
        <v>39.700000000000003</v>
      </c>
      <c r="O731">
        <v>71.599999999999994</v>
      </c>
      <c r="P731">
        <v>5.42</v>
      </c>
      <c r="Q731">
        <v>2.82</v>
      </c>
      <c r="R731" t="s">
        <v>80</v>
      </c>
      <c r="S731" t="s">
        <v>47</v>
      </c>
      <c r="T731" t="s">
        <v>48</v>
      </c>
      <c r="U731" t="str">
        <f t="shared" si="33"/>
        <v>Normal</v>
      </c>
      <c r="V731" t="str">
        <f t="shared" si="34"/>
        <v>Normal</v>
      </c>
      <c r="W731" t="str">
        <f t="shared" si="35"/>
        <v>Normal</v>
      </c>
    </row>
    <row r="732" spans="1:23" x14ac:dyDescent="0.3">
      <c r="A732">
        <v>10157</v>
      </c>
      <c r="B732" s="2">
        <v>45743</v>
      </c>
      <c r="C732" t="s">
        <v>49</v>
      </c>
      <c r="D732" t="s">
        <v>59</v>
      </c>
      <c r="E732" t="s">
        <v>33</v>
      </c>
      <c r="F732" t="s">
        <v>41</v>
      </c>
      <c r="G732" t="s">
        <v>95</v>
      </c>
      <c r="H732" t="s">
        <v>55</v>
      </c>
      <c r="I732" t="s">
        <v>26</v>
      </c>
      <c r="J732">
        <v>464</v>
      </c>
      <c r="K732">
        <v>3</v>
      </c>
      <c r="L732" t="s">
        <v>57</v>
      </c>
      <c r="M732">
        <v>97</v>
      </c>
      <c r="N732">
        <v>48.7</v>
      </c>
      <c r="O732">
        <v>71.599999999999994</v>
      </c>
      <c r="P732">
        <v>4.53</v>
      </c>
      <c r="Q732">
        <v>3.24</v>
      </c>
      <c r="R732" t="s">
        <v>280</v>
      </c>
      <c r="S732" t="s">
        <v>73</v>
      </c>
      <c r="T732" t="s">
        <v>30</v>
      </c>
      <c r="U732" t="str">
        <f t="shared" si="33"/>
        <v>Normal</v>
      </c>
      <c r="V732" t="str">
        <f t="shared" si="34"/>
        <v>Normal</v>
      </c>
      <c r="W732" t="str">
        <f t="shared" si="35"/>
        <v>Normal</v>
      </c>
    </row>
    <row r="733" spans="1:23" x14ac:dyDescent="0.3">
      <c r="A733">
        <v>11347</v>
      </c>
      <c r="B733" s="2">
        <v>45938</v>
      </c>
      <c r="C733" t="s">
        <v>49</v>
      </c>
      <c r="D733" t="s">
        <v>59</v>
      </c>
      <c r="E733" t="s">
        <v>22</v>
      </c>
      <c r="F733" t="s">
        <v>81</v>
      </c>
      <c r="G733" t="s">
        <v>109</v>
      </c>
      <c r="H733" t="s">
        <v>88</v>
      </c>
      <c r="I733" t="s">
        <v>270</v>
      </c>
      <c r="J733">
        <v>806</v>
      </c>
      <c r="K733">
        <v>6</v>
      </c>
      <c r="L733" t="s">
        <v>71</v>
      </c>
      <c r="M733">
        <v>120</v>
      </c>
      <c r="N733">
        <v>37.299999999999997</v>
      </c>
      <c r="O733">
        <v>71.599999999999994</v>
      </c>
      <c r="P733">
        <v>6.77</v>
      </c>
      <c r="Q733">
        <v>1.49</v>
      </c>
      <c r="R733" t="s">
        <v>152</v>
      </c>
      <c r="S733" t="s">
        <v>73</v>
      </c>
      <c r="T733" t="s">
        <v>30</v>
      </c>
      <c r="U733" t="str">
        <f t="shared" si="33"/>
        <v>Normal</v>
      </c>
      <c r="V733" t="str">
        <f t="shared" si="34"/>
        <v>Normal</v>
      </c>
      <c r="W733" t="str">
        <f t="shared" si="35"/>
        <v>Normal</v>
      </c>
    </row>
    <row r="734" spans="1:23" x14ac:dyDescent="0.3">
      <c r="A734">
        <v>10847</v>
      </c>
      <c r="B734" s="2">
        <v>45775</v>
      </c>
      <c r="C734" t="s">
        <v>49</v>
      </c>
      <c r="D734" t="s">
        <v>59</v>
      </c>
      <c r="E734" t="s">
        <v>22</v>
      </c>
      <c r="F734" t="s">
        <v>41</v>
      </c>
      <c r="G734" t="s">
        <v>113</v>
      </c>
      <c r="H734" t="s">
        <v>177</v>
      </c>
      <c r="I734" t="s">
        <v>374</v>
      </c>
      <c r="J734">
        <v>1415</v>
      </c>
      <c r="K734">
        <v>11</v>
      </c>
      <c r="L734" t="s">
        <v>57</v>
      </c>
      <c r="M734">
        <v>137</v>
      </c>
      <c r="N734">
        <v>37.200000000000003</v>
      </c>
      <c r="O734">
        <v>71.599999999999994</v>
      </c>
      <c r="P734">
        <v>5.4</v>
      </c>
      <c r="Q734">
        <v>1.35</v>
      </c>
      <c r="R734" t="s">
        <v>143</v>
      </c>
      <c r="S734" t="s">
        <v>29</v>
      </c>
      <c r="T734" t="s">
        <v>30</v>
      </c>
      <c r="U734" t="str">
        <f t="shared" si="33"/>
        <v>Normal</v>
      </c>
      <c r="V734" t="str">
        <f t="shared" si="34"/>
        <v>Normal</v>
      </c>
      <c r="W734" t="str">
        <f t="shared" si="35"/>
        <v>Normal</v>
      </c>
    </row>
    <row r="735" spans="1:23" x14ac:dyDescent="0.3">
      <c r="A735">
        <v>10887</v>
      </c>
      <c r="B735" s="2">
        <v>45753</v>
      </c>
      <c r="C735" t="s">
        <v>20</v>
      </c>
      <c r="D735" t="s">
        <v>32</v>
      </c>
      <c r="E735" t="s">
        <v>107</v>
      </c>
      <c r="F735" t="s">
        <v>23</v>
      </c>
      <c r="G735" t="s">
        <v>95</v>
      </c>
      <c r="H735" t="s">
        <v>35</v>
      </c>
      <c r="I735" t="s">
        <v>332</v>
      </c>
      <c r="J735">
        <v>530</v>
      </c>
      <c r="K735">
        <v>15</v>
      </c>
      <c r="L735" t="s">
        <v>45</v>
      </c>
      <c r="M735">
        <v>152</v>
      </c>
      <c r="N735">
        <v>29.4</v>
      </c>
      <c r="O735">
        <v>71.599999999999994</v>
      </c>
      <c r="P735">
        <v>3.97</v>
      </c>
      <c r="Q735">
        <v>5.2</v>
      </c>
      <c r="R735" t="s">
        <v>147</v>
      </c>
      <c r="S735" t="s">
        <v>39</v>
      </c>
      <c r="T735" t="s">
        <v>30</v>
      </c>
      <c r="U735" t="str">
        <f t="shared" si="33"/>
        <v>Normal</v>
      </c>
      <c r="V735" t="str">
        <f t="shared" si="34"/>
        <v>Normal</v>
      </c>
      <c r="W735" t="str">
        <f t="shared" si="35"/>
        <v>Normal</v>
      </c>
    </row>
    <row r="736" spans="1:23" x14ac:dyDescent="0.3">
      <c r="A736">
        <v>11411</v>
      </c>
      <c r="B736" s="2">
        <v>46005</v>
      </c>
      <c r="C736" t="s">
        <v>31</v>
      </c>
      <c r="D736" t="s">
        <v>32</v>
      </c>
      <c r="E736" t="s">
        <v>33</v>
      </c>
      <c r="F736" t="s">
        <v>41</v>
      </c>
      <c r="G736" t="s">
        <v>89</v>
      </c>
      <c r="H736" t="s">
        <v>69</v>
      </c>
      <c r="I736" t="s">
        <v>110</v>
      </c>
      <c r="J736">
        <v>676</v>
      </c>
      <c r="K736">
        <v>9</v>
      </c>
      <c r="L736" t="s">
        <v>68</v>
      </c>
      <c r="M736">
        <v>63</v>
      </c>
      <c r="N736">
        <v>46.4</v>
      </c>
      <c r="O736">
        <v>71.599999999999994</v>
      </c>
      <c r="P736">
        <v>5.9</v>
      </c>
      <c r="Q736">
        <v>2.4500000000000002</v>
      </c>
      <c r="R736" t="s">
        <v>80</v>
      </c>
      <c r="S736" t="s">
        <v>47</v>
      </c>
      <c r="T736" t="s">
        <v>30</v>
      </c>
      <c r="U736" t="str">
        <f t="shared" si="33"/>
        <v>Normal</v>
      </c>
      <c r="V736" t="str">
        <f t="shared" si="34"/>
        <v>Normal</v>
      </c>
      <c r="W736" t="str">
        <f t="shared" si="35"/>
        <v>Normal</v>
      </c>
    </row>
    <row r="737" spans="1:23" x14ac:dyDescent="0.3">
      <c r="A737">
        <v>11040</v>
      </c>
      <c r="B737" s="2">
        <v>45703</v>
      </c>
      <c r="C737" t="s">
        <v>20</v>
      </c>
      <c r="D737" t="s">
        <v>64</v>
      </c>
      <c r="E737" t="s">
        <v>22</v>
      </c>
      <c r="F737" t="s">
        <v>23</v>
      </c>
      <c r="G737" t="s">
        <v>109</v>
      </c>
      <c r="H737" t="s">
        <v>51</v>
      </c>
      <c r="I737" t="s">
        <v>297</v>
      </c>
      <c r="J737">
        <v>1534</v>
      </c>
      <c r="K737">
        <v>11</v>
      </c>
      <c r="L737" t="s">
        <v>57</v>
      </c>
      <c r="M737">
        <v>66</v>
      </c>
      <c r="N737">
        <v>51.8</v>
      </c>
      <c r="O737">
        <v>71.599999999999994</v>
      </c>
      <c r="P737">
        <v>4.28</v>
      </c>
      <c r="Q737">
        <v>2.57</v>
      </c>
      <c r="R737" t="s">
        <v>87</v>
      </c>
      <c r="S737" t="s">
        <v>73</v>
      </c>
      <c r="T737" t="s">
        <v>30</v>
      </c>
      <c r="U737" t="str">
        <f t="shared" si="33"/>
        <v>Normal</v>
      </c>
      <c r="V737" t="str">
        <f t="shared" si="34"/>
        <v>Normal</v>
      </c>
      <c r="W737" t="str">
        <f t="shared" si="35"/>
        <v>Normal</v>
      </c>
    </row>
    <row r="738" spans="1:23" x14ac:dyDescent="0.3">
      <c r="A738">
        <v>11063</v>
      </c>
      <c r="B738" s="2">
        <v>45887</v>
      </c>
      <c r="C738" t="s">
        <v>49</v>
      </c>
      <c r="D738" t="s">
        <v>59</v>
      </c>
      <c r="E738" t="s">
        <v>40</v>
      </c>
      <c r="F738" t="s">
        <v>23</v>
      </c>
      <c r="G738" t="s">
        <v>42</v>
      </c>
      <c r="H738" t="s">
        <v>263</v>
      </c>
      <c r="I738" t="s">
        <v>328</v>
      </c>
      <c r="J738">
        <v>1126</v>
      </c>
      <c r="K738">
        <v>2</v>
      </c>
      <c r="L738" t="s">
        <v>45</v>
      </c>
      <c r="M738">
        <v>58</v>
      </c>
      <c r="N738">
        <v>42</v>
      </c>
      <c r="O738">
        <v>71.599999999999994</v>
      </c>
      <c r="P738">
        <v>6.3</v>
      </c>
      <c r="Q738">
        <v>4.26</v>
      </c>
      <c r="R738" t="s">
        <v>174</v>
      </c>
      <c r="S738" t="s">
        <v>29</v>
      </c>
      <c r="T738" t="s">
        <v>30</v>
      </c>
      <c r="U738" t="str">
        <f t="shared" si="33"/>
        <v>Normal</v>
      </c>
      <c r="V738" t="str">
        <f t="shared" si="34"/>
        <v>Normal</v>
      </c>
      <c r="W738" t="str">
        <f t="shared" si="35"/>
        <v>Normal</v>
      </c>
    </row>
    <row r="739" spans="1:23" x14ac:dyDescent="0.3">
      <c r="A739">
        <v>10230</v>
      </c>
      <c r="B739" s="2">
        <v>45940</v>
      </c>
      <c r="C739" t="s">
        <v>20</v>
      </c>
      <c r="D739" t="s">
        <v>59</v>
      </c>
      <c r="E739" t="s">
        <v>33</v>
      </c>
      <c r="F739" t="s">
        <v>41</v>
      </c>
      <c r="G739" t="s">
        <v>42</v>
      </c>
      <c r="H739" t="s">
        <v>55</v>
      </c>
      <c r="I739" t="s">
        <v>225</v>
      </c>
      <c r="J739">
        <v>859</v>
      </c>
      <c r="K739">
        <v>5</v>
      </c>
      <c r="L739" t="s">
        <v>71</v>
      </c>
      <c r="M739">
        <v>170</v>
      </c>
      <c r="N739">
        <v>46.8</v>
      </c>
      <c r="O739">
        <v>71.599999999999994</v>
      </c>
      <c r="P739">
        <v>6.13</v>
      </c>
      <c r="Q739">
        <v>1.4</v>
      </c>
      <c r="R739" t="s">
        <v>80</v>
      </c>
      <c r="S739" t="s">
        <v>39</v>
      </c>
      <c r="T739" t="s">
        <v>30</v>
      </c>
      <c r="U739" t="str">
        <f t="shared" si="33"/>
        <v>Normal</v>
      </c>
      <c r="V739" t="str">
        <f t="shared" si="34"/>
        <v>Normal</v>
      </c>
      <c r="W739" t="str">
        <f t="shared" si="35"/>
        <v>Normal</v>
      </c>
    </row>
    <row r="740" spans="1:23" x14ac:dyDescent="0.3">
      <c r="A740">
        <v>10038</v>
      </c>
      <c r="B740" s="2">
        <v>45727</v>
      </c>
      <c r="C740" t="s">
        <v>31</v>
      </c>
      <c r="D740" t="s">
        <v>21</v>
      </c>
      <c r="E740" t="s">
        <v>107</v>
      </c>
      <c r="F740" t="s">
        <v>81</v>
      </c>
      <c r="G740" t="s">
        <v>134</v>
      </c>
      <c r="H740" t="s">
        <v>126</v>
      </c>
      <c r="I740" t="s">
        <v>124</v>
      </c>
      <c r="J740">
        <v>764</v>
      </c>
      <c r="K740">
        <v>11</v>
      </c>
      <c r="L740" t="s">
        <v>57</v>
      </c>
      <c r="M740">
        <v>35</v>
      </c>
      <c r="N740">
        <v>43.9</v>
      </c>
      <c r="O740">
        <v>71.599999999999994</v>
      </c>
      <c r="P740">
        <v>5.01</v>
      </c>
      <c r="Q740">
        <v>1.8</v>
      </c>
      <c r="R740" t="s">
        <v>72</v>
      </c>
      <c r="S740" t="s">
        <v>39</v>
      </c>
      <c r="T740" t="s">
        <v>30</v>
      </c>
      <c r="U740" t="str">
        <f t="shared" si="33"/>
        <v>Normal</v>
      </c>
      <c r="V740" t="str">
        <f t="shared" si="34"/>
        <v>Normal</v>
      </c>
      <c r="W740" t="str">
        <f t="shared" si="35"/>
        <v>Normal</v>
      </c>
    </row>
    <row r="741" spans="1:23" x14ac:dyDescent="0.3">
      <c r="A741">
        <v>10454</v>
      </c>
      <c r="B741" s="2">
        <v>45832</v>
      </c>
      <c r="C741" t="s">
        <v>31</v>
      </c>
      <c r="D741" t="s">
        <v>64</v>
      </c>
      <c r="E741" t="s">
        <v>22</v>
      </c>
      <c r="F741" t="s">
        <v>23</v>
      </c>
      <c r="G741" t="s">
        <v>42</v>
      </c>
      <c r="H741" t="s">
        <v>116</v>
      </c>
      <c r="I741" t="s">
        <v>117</v>
      </c>
      <c r="J741">
        <v>582</v>
      </c>
      <c r="K741">
        <v>5</v>
      </c>
      <c r="L741" t="s">
        <v>57</v>
      </c>
      <c r="M741">
        <v>20</v>
      </c>
      <c r="N741">
        <v>57</v>
      </c>
      <c r="O741">
        <v>71.5</v>
      </c>
      <c r="P741">
        <v>3.61</v>
      </c>
      <c r="Q741">
        <v>1.1499999999999999</v>
      </c>
      <c r="R741" t="s">
        <v>103</v>
      </c>
      <c r="S741" t="s">
        <v>29</v>
      </c>
      <c r="T741" t="s">
        <v>30</v>
      </c>
      <c r="U741" t="str">
        <f t="shared" si="33"/>
        <v>Normal</v>
      </c>
      <c r="V741" t="str">
        <f t="shared" si="34"/>
        <v>Normal</v>
      </c>
      <c r="W741" t="str">
        <f t="shared" si="35"/>
        <v>Normal</v>
      </c>
    </row>
    <row r="742" spans="1:23" x14ac:dyDescent="0.3">
      <c r="A742">
        <v>10307</v>
      </c>
      <c r="B742" s="2">
        <v>45795</v>
      </c>
      <c r="C742" t="s">
        <v>31</v>
      </c>
      <c r="D742" t="s">
        <v>21</v>
      </c>
      <c r="E742" t="s">
        <v>22</v>
      </c>
      <c r="F742" t="s">
        <v>23</v>
      </c>
      <c r="G742" t="s">
        <v>95</v>
      </c>
      <c r="H742" t="s">
        <v>131</v>
      </c>
      <c r="I742" t="s">
        <v>132</v>
      </c>
      <c r="J742">
        <v>958</v>
      </c>
      <c r="K742">
        <v>4</v>
      </c>
      <c r="L742" t="s">
        <v>68</v>
      </c>
      <c r="M742">
        <v>25</v>
      </c>
      <c r="N742">
        <v>44.1</v>
      </c>
      <c r="O742">
        <v>71.5</v>
      </c>
      <c r="P742">
        <v>4.29</v>
      </c>
      <c r="Q742">
        <v>1.82</v>
      </c>
      <c r="R742" t="s">
        <v>133</v>
      </c>
      <c r="S742" t="s">
        <v>73</v>
      </c>
      <c r="T742" t="s">
        <v>30</v>
      </c>
      <c r="U742" t="str">
        <f t="shared" si="33"/>
        <v>Normal</v>
      </c>
      <c r="V742" t="str">
        <f t="shared" si="34"/>
        <v>Normal</v>
      </c>
      <c r="W742" t="str">
        <f t="shared" si="35"/>
        <v>Normal</v>
      </c>
    </row>
    <row r="743" spans="1:23" x14ac:dyDescent="0.3">
      <c r="A743">
        <v>10721</v>
      </c>
      <c r="B743" s="2">
        <v>45724</v>
      </c>
      <c r="C743" t="s">
        <v>31</v>
      </c>
      <c r="D743" t="s">
        <v>59</v>
      </c>
      <c r="E743" t="s">
        <v>33</v>
      </c>
      <c r="F743" t="s">
        <v>81</v>
      </c>
      <c r="G743" t="s">
        <v>54</v>
      </c>
      <c r="H743" t="s">
        <v>101</v>
      </c>
      <c r="I743" t="s">
        <v>117</v>
      </c>
      <c r="J743">
        <v>1408</v>
      </c>
      <c r="K743">
        <v>5</v>
      </c>
      <c r="L743" t="s">
        <v>68</v>
      </c>
      <c r="M743">
        <v>19</v>
      </c>
      <c r="N743">
        <v>43.5</v>
      </c>
      <c r="O743">
        <v>71.5</v>
      </c>
      <c r="P743">
        <v>7.37</v>
      </c>
      <c r="Q743">
        <v>1.0900000000000001</v>
      </c>
      <c r="R743" t="s">
        <v>153</v>
      </c>
      <c r="S743" t="s">
        <v>73</v>
      </c>
      <c r="T743" t="s">
        <v>30</v>
      </c>
      <c r="U743" t="str">
        <f t="shared" si="33"/>
        <v>Normal</v>
      </c>
      <c r="V743" t="str">
        <f t="shared" si="34"/>
        <v>Normal</v>
      </c>
      <c r="W743" t="str">
        <f t="shared" si="35"/>
        <v>Normal</v>
      </c>
    </row>
    <row r="744" spans="1:23" x14ac:dyDescent="0.3">
      <c r="A744">
        <v>11151</v>
      </c>
      <c r="B744" s="2">
        <v>45703</v>
      </c>
      <c r="C744" t="s">
        <v>31</v>
      </c>
      <c r="D744" t="s">
        <v>64</v>
      </c>
      <c r="E744" t="s">
        <v>33</v>
      </c>
      <c r="F744" t="s">
        <v>23</v>
      </c>
      <c r="G744" t="s">
        <v>54</v>
      </c>
      <c r="H744" t="s">
        <v>51</v>
      </c>
      <c r="I744" t="s">
        <v>154</v>
      </c>
      <c r="J744">
        <v>1039</v>
      </c>
      <c r="K744">
        <v>13</v>
      </c>
      <c r="L744" t="s">
        <v>27</v>
      </c>
      <c r="M744">
        <v>74</v>
      </c>
      <c r="N744">
        <v>38.200000000000003</v>
      </c>
      <c r="O744">
        <v>71.5</v>
      </c>
      <c r="P744">
        <v>4.6100000000000003</v>
      </c>
      <c r="Q744">
        <v>2.78</v>
      </c>
      <c r="R744" t="s">
        <v>155</v>
      </c>
      <c r="S744" t="s">
        <v>73</v>
      </c>
      <c r="T744" t="s">
        <v>30</v>
      </c>
      <c r="U744" t="str">
        <f t="shared" si="33"/>
        <v>Normal</v>
      </c>
      <c r="V744" t="str">
        <f t="shared" si="34"/>
        <v>Normal</v>
      </c>
      <c r="W744" t="str">
        <f t="shared" si="35"/>
        <v>Normal</v>
      </c>
    </row>
    <row r="745" spans="1:23" x14ac:dyDescent="0.3">
      <c r="A745">
        <v>10298</v>
      </c>
      <c r="B745" s="2">
        <v>45870</v>
      </c>
      <c r="C745" t="s">
        <v>20</v>
      </c>
      <c r="D745" t="s">
        <v>64</v>
      </c>
      <c r="E745" t="s">
        <v>22</v>
      </c>
      <c r="F745" t="s">
        <v>41</v>
      </c>
      <c r="G745" t="s">
        <v>24</v>
      </c>
      <c r="H745" t="s">
        <v>85</v>
      </c>
      <c r="I745" t="s">
        <v>166</v>
      </c>
      <c r="J745">
        <v>1140</v>
      </c>
      <c r="K745">
        <v>10</v>
      </c>
      <c r="L745" t="s">
        <v>57</v>
      </c>
      <c r="M745">
        <v>44</v>
      </c>
      <c r="N745">
        <v>39.1</v>
      </c>
      <c r="O745">
        <v>71.5</v>
      </c>
      <c r="P745">
        <v>5.52</v>
      </c>
      <c r="Q745">
        <v>3.09</v>
      </c>
      <c r="R745" t="s">
        <v>167</v>
      </c>
      <c r="S745" t="s">
        <v>39</v>
      </c>
      <c r="T745" t="s">
        <v>30</v>
      </c>
      <c r="U745" t="str">
        <f t="shared" si="33"/>
        <v>Normal</v>
      </c>
      <c r="V745" t="str">
        <f t="shared" si="34"/>
        <v>Normal</v>
      </c>
      <c r="W745" t="str">
        <f t="shared" si="35"/>
        <v>Normal</v>
      </c>
    </row>
    <row r="746" spans="1:23" x14ac:dyDescent="0.3">
      <c r="A746">
        <v>11104</v>
      </c>
      <c r="B746" s="2">
        <v>45814</v>
      </c>
      <c r="C746" t="s">
        <v>31</v>
      </c>
      <c r="D746" t="s">
        <v>59</v>
      </c>
      <c r="E746" t="s">
        <v>22</v>
      </c>
      <c r="F746" t="s">
        <v>41</v>
      </c>
      <c r="G746" t="s">
        <v>74</v>
      </c>
      <c r="H746" t="s">
        <v>213</v>
      </c>
      <c r="I746" t="s">
        <v>214</v>
      </c>
      <c r="J746">
        <v>813</v>
      </c>
      <c r="K746">
        <v>6</v>
      </c>
      <c r="L746" t="s">
        <v>68</v>
      </c>
      <c r="M746">
        <v>21</v>
      </c>
      <c r="N746">
        <v>41.7</v>
      </c>
      <c r="O746">
        <v>71.5</v>
      </c>
      <c r="P746">
        <v>6.14</v>
      </c>
      <c r="Q746">
        <v>4.17</v>
      </c>
      <c r="R746" t="s">
        <v>84</v>
      </c>
      <c r="S746" t="s">
        <v>39</v>
      </c>
      <c r="T746" t="s">
        <v>30</v>
      </c>
      <c r="U746" t="str">
        <f t="shared" si="33"/>
        <v>Normal</v>
      </c>
      <c r="V746" t="str">
        <f t="shared" si="34"/>
        <v>Normal</v>
      </c>
      <c r="W746" t="str">
        <f t="shared" si="35"/>
        <v>Normal</v>
      </c>
    </row>
    <row r="747" spans="1:23" x14ac:dyDescent="0.3">
      <c r="A747">
        <v>11066</v>
      </c>
      <c r="B747" s="2">
        <v>45883</v>
      </c>
      <c r="C747" t="s">
        <v>20</v>
      </c>
      <c r="D747" t="s">
        <v>64</v>
      </c>
      <c r="E747" t="s">
        <v>40</v>
      </c>
      <c r="F747" t="s">
        <v>81</v>
      </c>
      <c r="G747" t="s">
        <v>54</v>
      </c>
      <c r="H747" t="s">
        <v>131</v>
      </c>
      <c r="I747" t="s">
        <v>230</v>
      </c>
      <c r="J747">
        <v>462</v>
      </c>
      <c r="K747">
        <v>2</v>
      </c>
      <c r="L747" t="s">
        <v>27</v>
      </c>
      <c r="M747">
        <v>44</v>
      </c>
      <c r="N747">
        <v>38.799999999999997</v>
      </c>
      <c r="O747">
        <v>71.5</v>
      </c>
      <c r="P747">
        <v>5.29</v>
      </c>
      <c r="Q747">
        <v>2.6</v>
      </c>
      <c r="R747" t="s">
        <v>72</v>
      </c>
      <c r="S747" t="s">
        <v>47</v>
      </c>
      <c r="T747" t="s">
        <v>30</v>
      </c>
      <c r="U747" t="str">
        <f t="shared" si="33"/>
        <v>Normal</v>
      </c>
      <c r="V747" t="str">
        <f t="shared" si="34"/>
        <v>Normal</v>
      </c>
      <c r="W747" t="str">
        <f t="shared" si="35"/>
        <v>Normal</v>
      </c>
    </row>
    <row r="748" spans="1:23" x14ac:dyDescent="0.3">
      <c r="A748">
        <v>10844</v>
      </c>
      <c r="B748" s="2">
        <v>45974</v>
      </c>
      <c r="C748" t="s">
        <v>31</v>
      </c>
      <c r="D748" t="s">
        <v>59</v>
      </c>
      <c r="E748" t="s">
        <v>40</v>
      </c>
      <c r="F748" t="s">
        <v>41</v>
      </c>
      <c r="G748" t="s">
        <v>50</v>
      </c>
      <c r="H748" t="s">
        <v>252</v>
      </c>
      <c r="I748" t="s">
        <v>266</v>
      </c>
      <c r="J748">
        <v>610</v>
      </c>
      <c r="K748">
        <v>8</v>
      </c>
      <c r="L748" t="s">
        <v>37</v>
      </c>
      <c r="M748">
        <v>139</v>
      </c>
      <c r="N748">
        <v>41.5</v>
      </c>
      <c r="O748">
        <v>71.5</v>
      </c>
      <c r="P748">
        <v>5.47</v>
      </c>
      <c r="Q748">
        <v>3.3</v>
      </c>
      <c r="R748" t="s">
        <v>105</v>
      </c>
      <c r="S748" t="s">
        <v>39</v>
      </c>
      <c r="T748" t="s">
        <v>30</v>
      </c>
      <c r="U748" t="str">
        <f t="shared" si="33"/>
        <v>Normal</v>
      </c>
      <c r="V748" t="str">
        <f t="shared" si="34"/>
        <v>Normal</v>
      </c>
      <c r="W748" t="str">
        <f t="shared" si="35"/>
        <v>Normal</v>
      </c>
    </row>
    <row r="749" spans="1:23" x14ac:dyDescent="0.3">
      <c r="A749">
        <v>11189</v>
      </c>
      <c r="B749" s="2">
        <v>45873</v>
      </c>
      <c r="C749" t="s">
        <v>20</v>
      </c>
      <c r="D749" t="s">
        <v>59</v>
      </c>
      <c r="E749" t="s">
        <v>22</v>
      </c>
      <c r="F749" t="s">
        <v>23</v>
      </c>
      <c r="G749" t="s">
        <v>50</v>
      </c>
      <c r="H749" t="s">
        <v>141</v>
      </c>
      <c r="I749" t="s">
        <v>136</v>
      </c>
      <c r="J749">
        <v>758</v>
      </c>
      <c r="K749">
        <v>6</v>
      </c>
      <c r="L749" t="s">
        <v>45</v>
      </c>
      <c r="M749">
        <v>19</v>
      </c>
      <c r="N749">
        <v>29.3</v>
      </c>
      <c r="O749">
        <v>71.5</v>
      </c>
      <c r="P749">
        <v>5.18</v>
      </c>
      <c r="Q749">
        <v>1.52</v>
      </c>
      <c r="R749" t="s">
        <v>53</v>
      </c>
      <c r="S749" t="s">
        <v>29</v>
      </c>
      <c r="T749" t="s">
        <v>30</v>
      </c>
      <c r="U749" t="str">
        <f t="shared" si="33"/>
        <v>Normal</v>
      </c>
      <c r="V749" t="str">
        <f t="shared" si="34"/>
        <v>Normal</v>
      </c>
      <c r="W749" t="str">
        <f t="shared" si="35"/>
        <v>Normal</v>
      </c>
    </row>
    <row r="750" spans="1:23" x14ac:dyDescent="0.3">
      <c r="A750">
        <v>10681</v>
      </c>
      <c r="B750" s="2">
        <v>45770</v>
      </c>
      <c r="C750" t="s">
        <v>20</v>
      </c>
      <c r="D750" t="s">
        <v>32</v>
      </c>
      <c r="E750" t="s">
        <v>40</v>
      </c>
      <c r="F750" t="s">
        <v>23</v>
      </c>
      <c r="G750" t="s">
        <v>74</v>
      </c>
      <c r="H750" t="s">
        <v>287</v>
      </c>
      <c r="I750" t="s">
        <v>214</v>
      </c>
      <c r="J750">
        <v>518</v>
      </c>
      <c r="K750">
        <v>20</v>
      </c>
      <c r="L750" t="s">
        <v>57</v>
      </c>
      <c r="M750">
        <v>32</v>
      </c>
      <c r="N750">
        <v>34.4</v>
      </c>
      <c r="O750">
        <v>71.5</v>
      </c>
      <c r="P750">
        <v>6.37</v>
      </c>
      <c r="Q750">
        <v>1.25</v>
      </c>
      <c r="R750" t="s">
        <v>46</v>
      </c>
      <c r="S750" t="s">
        <v>29</v>
      </c>
      <c r="T750" t="s">
        <v>48</v>
      </c>
      <c r="U750" t="str">
        <f t="shared" si="33"/>
        <v>Normal</v>
      </c>
      <c r="V750" t="str">
        <f t="shared" si="34"/>
        <v>Normal</v>
      </c>
      <c r="W750" t="str">
        <f t="shared" si="35"/>
        <v>Normal</v>
      </c>
    </row>
    <row r="751" spans="1:23" x14ac:dyDescent="0.3">
      <c r="A751">
        <v>11197</v>
      </c>
      <c r="B751" s="2">
        <v>45945</v>
      </c>
      <c r="C751" t="s">
        <v>31</v>
      </c>
      <c r="D751" t="s">
        <v>64</v>
      </c>
      <c r="E751" t="s">
        <v>40</v>
      </c>
      <c r="F751" t="s">
        <v>23</v>
      </c>
      <c r="G751" t="s">
        <v>34</v>
      </c>
      <c r="H751" t="s">
        <v>93</v>
      </c>
      <c r="I751" t="s">
        <v>330</v>
      </c>
      <c r="J751">
        <v>1465</v>
      </c>
      <c r="K751">
        <v>37</v>
      </c>
      <c r="L751" t="s">
        <v>45</v>
      </c>
      <c r="M751">
        <v>137</v>
      </c>
      <c r="N751">
        <v>43.5</v>
      </c>
      <c r="O751">
        <v>71.5</v>
      </c>
      <c r="P751">
        <v>6.43</v>
      </c>
      <c r="Q751">
        <v>4.45</v>
      </c>
      <c r="R751" t="s">
        <v>222</v>
      </c>
      <c r="S751" t="s">
        <v>29</v>
      </c>
      <c r="T751" t="s">
        <v>30</v>
      </c>
      <c r="U751" t="str">
        <f t="shared" si="33"/>
        <v>Normal</v>
      </c>
      <c r="V751" t="str">
        <f t="shared" si="34"/>
        <v>Normal</v>
      </c>
      <c r="W751" t="str">
        <f t="shared" si="35"/>
        <v>Normal</v>
      </c>
    </row>
    <row r="752" spans="1:23" x14ac:dyDescent="0.3">
      <c r="A752">
        <v>10437</v>
      </c>
      <c r="B752" s="2">
        <v>45776</v>
      </c>
      <c r="C752" t="s">
        <v>31</v>
      </c>
      <c r="D752" t="s">
        <v>21</v>
      </c>
      <c r="E752" t="s">
        <v>22</v>
      </c>
      <c r="F752" t="s">
        <v>41</v>
      </c>
      <c r="G752" t="s">
        <v>89</v>
      </c>
      <c r="H752" t="s">
        <v>138</v>
      </c>
      <c r="I752" t="s">
        <v>302</v>
      </c>
      <c r="J752">
        <v>623</v>
      </c>
      <c r="K752">
        <v>3</v>
      </c>
      <c r="L752" t="s">
        <v>27</v>
      </c>
      <c r="M752">
        <v>154</v>
      </c>
      <c r="N752">
        <v>36.200000000000003</v>
      </c>
      <c r="O752">
        <v>71.5</v>
      </c>
      <c r="P752">
        <v>5.23</v>
      </c>
      <c r="Q752">
        <v>4.8</v>
      </c>
      <c r="R752" t="s">
        <v>167</v>
      </c>
      <c r="S752" t="s">
        <v>29</v>
      </c>
      <c r="T752" t="s">
        <v>30</v>
      </c>
      <c r="U752" t="str">
        <f t="shared" si="33"/>
        <v>Normal</v>
      </c>
      <c r="V752" t="str">
        <f t="shared" si="34"/>
        <v>Normal</v>
      </c>
      <c r="W752" t="str">
        <f t="shared" si="35"/>
        <v>Normal</v>
      </c>
    </row>
    <row r="753" spans="1:23" x14ac:dyDescent="0.3">
      <c r="A753">
        <v>10259</v>
      </c>
      <c r="B753" s="2">
        <v>45936</v>
      </c>
      <c r="C753" t="s">
        <v>31</v>
      </c>
      <c r="D753" t="s">
        <v>21</v>
      </c>
      <c r="E753" t="s">
        <v>107</v>
      </c>
      <c r="F753" t="s">
        <v>41</v>
      </c>
      <c r="G753" t="s">
        <v>50</v>
      </c>
      <c r="H753" t="s">
        <v>148</v>
      </c>
      <c r="I753" t="s">
        <v>268</v>
      </c>
      <c r="J753">
        <v>1547</v>
      </c>
      <c r="K753">
        <v>21</v>
      </c>
      <c r="L753" t="s">
        <v>68</v>
      </c>
      <c r="M753">
        <v>93</v>
      </c>
      <c r="N753">
        <v>38.9</v>
      </c>
      <c r="O753">
        <v>71.5</v>
      </c>
      <c r="P753">
        <v>5.14</v>
      </c>
      <c r="Q753">
        <v>3.33</v>
      </c>
      <c r="R753" t="s">
        <v>72</v>
      </c>
      <c r="S753" t="s">
        <v>29</v>
      </c>
      <c r="T753" t="s">
        <v>30</v>
      </c>
      <c r="U753" t="str">
        <f t="shared" si="33"/>
        <v>Normal</v>
      </c>
      <c r="V753" t="str">
        <f t="shared" si="34"/>
        <v>Normal</v>
      </c>
      <c r="W753" t="str">
        <f t="shared" si="35"/>
        <v>Normal</v>
      </c>
    </row>
    <row r="754" spans="1:23" x14ac:dyDescent="0.3">
      <c r="A754">
        <v>10672</v>
      </c>
      <c r="B754" s="2">
        <v>45916</v>
      </c>
      <c r="C754" t="s">
        <v>20</v>
      </c>
      <c r="D754" t="s">
        <v>64</v>
      </c>
      <c r="E754" t="s">
        <v>40</v>
      </c>
      <c r="F754" t="s">
        <v>23</v>
      </c>
      <c r="G754" t="s">
        <v>50</v>
      </c>
      <c r="H754" t="s">
        <v>131</v>
      </c>
      <c r="I754" t="s">
        <v>259</v>
      </c>
      <c r="J754">
        <v>521</v>
      </c>
      <c r="K754">
        <v>2</v>
      </c>
      <c r="L754" t="s">
        <v>57</v>
      </c>
      <c r="M754">
        <v>129</v>
      </c>
      <c r="N754">
        <v>45.5</v>
      </c>
      <c r="O754">
        <v>71.5</v>
      </c>
      <c r="P754">
        <v>4.87</v>
      </c>
      <c r="Q754">
        <v>2.71</v>
      </c>
      <c r="R754" t="s">
        <v>92</v>
      </c>
      <c r="S754" t="s">
        <v>47</v>
      </c>
      <c r="T754" t="s">
        <v>30</v>
      </c>
      <c r="U754" t="str">
        <f t="shared" si="33"/>
        <v>Normal</v>
      </c>
      <c r="V754" t="str">
        <f t="shared" si="34"/>
        <v>Normal</v>
      </c>
      <c r="W754" t="str">
        <f t="shared" si="35"/>
        <v>Normal</v>
      </c>
    </row>
    <row r="755" spans="1:23" x14ac:dyDescent="0.3">
      <c r="A755">
        <v>10301</v>
      </c>
      <c r="B755" s="2">
        <v>45676</v>
      </c>
      <c r="C755" t="s">
        <v>20</v>
      </c>
      <c r="D755" t="s">
        <v>64</v>
      </c>
      <c r="E755" t="s">
        <v>40</v>
      </c>
      <c r="F755" t="s">
        <v>81</v>
      </c>
      <c r="G755" t="s">
        <v>74</v>
      </c>
      <c r="H755" t="s">
        <v>116</v>
      </c>
      <c r="I755" t="s">
        <v>375</v>
      </c>
      <c r="J755">
        <v>764</v>
      </c>
      <c r="K755">
        <v>7</v>
      </c>
      <c r="L755" t="s">
        <v>68</v>
      </c>
      <c r="M755">
        <v>43</v>
      </c>
      <c r="N755">
        <v>33.799999999999997</v>
      </c>
      <c r="O755">
        <v>71.5</v>
      </c>
      <c r="P755">
        <v>7.21</v>
      </c>
      <c r="Q755">
        <v>2.76</v>
      </c>
      <c r="R755" t="s">
        <v>53</v>
      </c>
      <c r="S755" t="s">
        <v>424</v>
      </c>
      <c r="T755" t="s">
        <v>30</v>
      </c>
      <c r="U755" t="str">
        <f t="shared" si="33"/>
        <v>Normal</v>
      </c>
      <c r="V755" t="str">
        <f t="shared" si="34"/>
        <v>Normal</v>
      </c>
      <c r="W755" t="str">
        <f t="shared" si="35"/>
        <v>Normal</v>
      </c>
    </row>
    <row r="756" spans="1:23" x14ac:dyDescent="0.3">
      <c r="A756">
        <v>11113</v>
      </c>
      <c r="B756" s="2">
        <v>45868</v>
      </c>
      <c r="C756" t="s">
        <v>31</v>
      </c>
      <c r="D756" t="s">
        <v>32</v>
      </c>
      <c r="E756" t="s">
        <v>40</v>
      </c>
      <c r="F756" t="s">
        <v>81</v>
      </c>
      <c r="G756" t="s">
        <v>74</v>
      </c>
      <c r="H756" t="s">
        <v>213</v>
      </c>
      <c r="I756" t="s">
        <v>354</v>
      </c>
      <c r="J756">
        <v>1573</v>
      </c>
      <c r="K756">
        <v>23</v>
      </c>
      <c r="L756" t="s">
        <v>27</v>
      </c>
      <c r="M756">
        <v>5</v>
      </c>
      <c r="N756">
        <v>46.4</v>
      </c>
      <c r="O756">
        <v>71.5</v>
      </c>
      <c r="P756">
        <v>2.7</v>
      </c>
      <c r="Q756">
        <v>3.9</v>
      </c>
      <c r="R756" t="s">
        <v>216</v>
      </c>
      <c r="S756" t="s">
        <v>39</v>
      </c>
      <c r="T756" t="s">
        <v>30</v>
      </c>
      <c r="U756" t="str">
        <f t="shared" si="33"/>
        <v>Normal</v>
      </c>
      <c r="V756" t="str">
        <f t="shared" si="34"/>
        <v>Normal</v>
      </c>
      <c r="W756" t="str">
        <f t="shared" si="35"/>
        <v>Normal</v>
      </c>
    </row>
    <row r="757" spans="1:23" x14ac:dyDescent="0.3">
      <c r="A757">
        <v>10279</v>
      </c>
      <c r="B757" s="2">
        <v>46020</v>
      </c>
      <c r="C757" t="s">
        <v>20</v>
      </c>
      <c r="D757" t="s">
        <v>32</v>
      </c>
      <c r="E757" t="s">
        <v>33</v>
      </c>
      <c r="F757" t="s">
        <v>23</v>
      </c>
      <c r="G757" t="s">
        <v>34</v>
      </c>
      <c r="H757" t="s">
        <v>120</v>
      </c>
      <c r="I757" t="s">
        <v>275</v>
      </c>
      <c r="J757">
        <v>1259</v>
      </c>
      <c r="K757">
        <v>12</v>
      </c>
      <c r="L757" t="s">
        <v>71</v>
      </c>
      <c r="M757">
        <v>122</v>
      </c>
      <c r="N757">
        <v>51.8</v>
      </c>
      <c r="O757">
        <v>71.5</v>
      </c>
      <c r="P757">
        <v>5.54</v>
      </c>
      <c r="Q757">
        <v>3.22</v>
      </c>
      <c r="R757" t="s">
        <v>38</v>
      </c>
      <c r="S757" t="s">
        <v>73</v>
      </c>
      <c r="T757" t="s">
        <v>30</v>
      </c>
      <c r="U757" t="str">
        <f t="shared" si="33"/>
        <v>Normal</v>
      </c>
      <c r="V757" t="str">
        <f t="shared" si="34"/>
        <v>Normal</v>
      </c>
      <c r="W757" t="str">
        <f t="shared" si="35"/>
        <v>Normal</v>
      </c>
    </row>
    <row r="758" spans="1:23" x14ac:dyDescent="0.3">
      <c r="A758">
        <v>10826</v>
      </c>
      <c r="B758" s="2">
        <v>45817</v>
      </c>
      <c r="C758" t="s">
        <v>20</v>
      </c>
      <c r="D758" t="s">
        <v>64</v>
      </c>
      <c r="E758" t="s">
        <v>22</v>
      </c>
      <c r="F758" t="s">
        <v>41</v>
      </c>
      <c r="G758" t="s">
        <v>50</v>
      </c>
      <c r="H758" t="s">
        <v>116</v>
      </c>
      <c r="I758" t="s">
        <v>330</v>
      </c>
      <c r="J758">
        <v>1263</v>
      </c>
      <c r="K758">
        <v>5</v>
      </c>
      <c r="L758" t="s">
        <v>37</v>
      </c>
      <c r="M758">
        <v>73</v>
      </c>
      <c r="N758">
        <v>39.6</v>
      </c>
      <c r="O758">
        <v>71.5</v>
      </c>
      <c r="P758">
        <v>5.37</v>
      </c>
      <c r="Q758">
        <v>3.8</v>
      </c>
      <c r="R758" t="s">
        <v>105</v>
      </c>
      <c r="S758" t="s">
        <v>29</v>
      </c>
      <c r="T758" t="s">
        <v>30</v>
      </c>
      <c r="U758" t="str">
        <f t="shared" si="33"/>
        <v>Normal</v>
      </c>
      <c r="V758" t="str">
        <f t="shared" si="34"/>
        <v>Normal</v>
      </c>
      <c r="W758" t="str">
        <f t="shared" si="35"/>
        <v>Normal</v>
      </c>
    </row>
    <row r="759" spans="1:23" x14ac:dyDescent="0.3">
      <c r="A759">
        <v>10357</v>
      </c>
      <c r="B759" s="2">
        <v>45834</v>
      </c>
      <c r="C759" t="s">
        <v>20</v>
      </c>
      <c r="D759" t="s">
        <v>64</v>
      </c>
      <c r="E759" t="s">
        <v>40</v>
      </c>
      <c r="F759" t="s">
        <v>23</v>
      </c>
      <c r="G759" t="s">
        <v>34</v>
      </c>
      <c r="H759" t="s">
        <v>75</v>
      </c>
      <c r="I759" t="s">
        <v>173</v>
      </c>
      <c r="J759">
        <v>688</v>
      </c>
      <c r="K759">
        <v>2</v>
      </c>
      <c r="L759" t="s">
        <v>68</v>
      </c>
      <c r="M759">
        <v>60</v>
      </c>
      <c r="N759">
        <v>39</v>
      </c>
      <c r="O759">
        <v>71.5</v>
      </c>
      <c r="P759">
        <v>3.76</v>
      </c>
      <c r="Q759">
        <v>2.44</v>
      </c>
      <c r="R759" t="s">
        <v>130</v>
      </c>
      <c r="S759" t="s">
        <v>73</v>
      </c>
      <c r="T759" t="s">
        <v>30</v>
      </c>
      <c r="U759" t="str">
        <f t="shared" si="33"/>
        <v>Normal</v>
      </c>
      <c r="V759" t="str">
        <f t="shared" si="34"/>
        <v>Normal</v>
      </c>
      <c r="W759" t="str">
        <f t="shared" si="35"/>
        <v>Normal</v>
      </c>
    </row>
    <row r="760" spans="1:23" x14ac:dyDescent="0.3">
      <c r="A760">
        <v>10697</v>
      </c>
      <c r="B760" s="2">
        <v>45872</v>
      </c>
      <c r="C760" t="s">
        <v>49</v>
      </c>
      <c r="D760" t="s">
        <v>59</v>
      </c>
      <c r="E760" t="s">
        <v>40</v>
      </c>
      <c r="F760" t="s">
        <v>41</v>
      </c>
      <c r="G760" t="s">
        <v>50</v>
      </c>
      <c r="H760" t="s">
        <v>138</v>
      </c>
      <c r="I760" t="s">
        <v>345</v>
      </c>
      <c r="J760">
        <v>1434</v>
      </c>
      <c r="K760">
        <v>15</v>
      </c>
      <c r="L760" t="s">
        <v>68</v>
      </c>
      <c r="M760">
        <v>152</v>
      </c>
      <c r="N760">
        <v>40.1</v>
      </c>
      <c r="O760">
        <v>71.5</v>
      </c>
      <c r="P760">
        <v>4.3600000000000003</v>
      </c>
      <c r="Q760">
        <v>1.21</v>
      </c>
      <c r="R760" t="s">
        <v>133</v>
      </c>
      <c r="S760" t="s">
        <v>47</v>
      </c>
      <c r="T760" t="s">
        <v>30</v>
      </c>
      <c r="U760" t="str">
        <f t="shared" si="33"/>
        <v>Normal</v>
      </c>
      <c r="V760" t="str">
        <f t="shared" si="34"/>
        <v>Normal</v>
      </c>
      <c r="W760" t="str">
        <f t="shared" si="35"/>
        <v>Normal</v>
      </c>
    </row>
    <row r="761" spans="1:23" x14ac:dyDescent="0.3">
      <c r="A761">
        <v>11172</v>
      </c>
      <c r="B761" s="2">
        <v>45771</v>
      </c>
      <c r="C761" t="s">
        <v>49</v>
      </c>
      <c r="D761" t="s">
        <v>21</v>
      </c>
      <c r="E761" t="s">
        <v>107</v>
      </c>
      <c r="F761" t="s">
        <v>81</v>
      </c>
      <c r="G761" t="s">
        <v>24</v>
      </c>
      <c r="H761" t="s">
        <v>172</v>
      </c>
      <c r="I761" t="s">
        <v>334</v>
      </c>
      <c r="J761">
        <v>1006</v>
      </c>
      <c r="K761">
        <v>15</v>
      </c>
      <c r="L761" t="s">
        <v>68</v>
      </c>
      <c r="M761">
        <v>161</v>
      </c>
      <c r="N761">
        <v>49</v>
      </c>
      <c r="O761">
        <v>71.5</v>
      </c>
      <c r="P761">
        <v>5.8</v>
      </c>
      <c r="Q761">
        <v>2.06</v>
      </c>
      <c r="R761" t="s">
        <v>240</v>
      </c>
      <c r="S761" t="s">
        <v>39</v>
      </c>
      <c r="T761" t="s">
        <v>30</v>
      </c>
      <c r="U761" t="str">
        <f t="shared" si="33"/>
        <v>Normal</v>
      </c>
      <c r="V761" t="str">
        <f t="shared" si="34"/>
        <v>Normal</v>
      </c>
      <c r="W761" t="str">
        <f t="shared" si="35"/>
        <v>Normal</v>
      </c>
    </row>
    <row r="762" spans="1:23" x14ac:dyDescent="0.3">
      <c r="A762">
        <v>10764</v>
      </c>
      <c r="B762" s="2">
        <v>45890</v>
      </c>
      <c r="C762" t="s">
        <v>20</v>
      </c>
      <c r="D762" t="s">
        <v>32</v>
      </c>
      <c r="E762" t="s">
        <v>33</v>
      </c>
      <c r="F762" t="s">
        <v>81</v>
      </c>
      <c r="G762" t="s">
        <v>74</v>
      </c>
      <c r="H762" t="s">
        <v>424</v>
      </c>
      <c r="I762" t="s">
        <v>52</v>
      </c>
      <c r="J762">
        <v>925</v>
      </c>
      <c r="K762">
        <v>8</v>
      </c>
      <c r="L762" t="s">
        <v>68</v>
      </c>
      <c r="M762">
        <v>139</v>
      </c>
      <c r="N762">
        <v>41.5</v>
      </c>
      <c r="O762">
        <v>71.5</v>
      </c>
      <c r="P762">
        <v>6.2</v>
      </c>
      <c r="Q762">
        <v>4.18</v>
      </c>
      <c r="R762" t="s">
        <v>164</v>
      </c>
      <c r="S762" t="s">
        <v>73</v>
      </c>
      <c r="T762" t="s">
        <v>30</v>
      </c>
      <c r="U762" t="str">
        <f t="shared" si="33"/>
        <v>Normal</v>
      </c>
      <c r="V762" t="str">
        <f t="shared" si="34"/>
        <v>Normal</v>
      </c>
      <c r="W762" t="str">
        <f t="shared" si="35"/>
        <v>Normal</v>
      </c>
    </row>
    <row r="763" spans="1:23" x14ac:dyDescent="0.3">
      <c r="A763">
        <v>10618</v>
      </c>
      <c r="B763" s="2">
        <v>45670</v>
      </c>
      <c r="C763" t="s">
        <v>31</v>
      </c>
      <c r="D763" t="s">
        <v>32</v>
      </c>
      <c r="E763" t="s">
        <v>33</v>
      </c>
      <c r="F763" t="s">
        <v>23</v>
      </c>
      <c r="G763" t="s">
        <v>34</v>
      </c>
      <c r="H763" t="s">
        <v>35</v>
      </c>
      <c r="I763" t="s">
        <v>36</v>
      </c>
      <c r="J763">
        <v>1296</v>
      </c>
      <c r="K763">
        <v>10</v>
      </c>
      <c r="L763" t="s">
        <v>37</v>
      </c>
      <c r="M763">
        <v>89</v>
      </c>
      <c r="N763">
        <v>35.700000000000003</v>
      </c>
      <c r="O763">
        <v>71.400000000000006</v>
      </c>
      <c r="P763">
        <v>5.12</v>
      </c>
      <c r="Q763">
        <v>4.8600000000000003</v>
      </c>
      <c r="R763" t="s">
        <v>38</v>
      </c>
      <c r="S763" t="s">
        <v>39</v>
      </c>
      <c r="T763" t="s">
        <v>30</v>
      </c>
      <c r="U763" t="str">
        <f t="shared" si="33"/>
        <v>Normal</v>
      </c>
      <c r="V763" t="str">
        <f t="shared" si="34"/>
        <v>Normal</v>
      </c>
      <c r="W763" t="str">
        <f t="shared" si="35"/>
        <v>Normal</v>
      </c>
    </row>
    <row r="764" spans="1:23" x14ac:dyDescent="0.3">
      <c r="A764">
        <v>10799</v>
      </c>
      <c r="B764" s="2">
        <v>45676</v>
      </c>
      <c r="C764" t="s">
        <v>49</v>
      </c>
      <c r="D764" t="s">
        <v>32</v>
      </c>
      <c r="E764" t="s">
        <v>33</v>
      </c>
      <c r="F764" t="s">
        <v>81</v>
      </c>
      <c r="G764" t="s">
        <v>60</v>
      </c>
      <c r="H764" t="s">
        <v>61</v>
      </c>
      <c r="I764" t="s">
        <v>136</v>
      </c>
      <c r="J764">
        <v>625</v>
      </c>
      <c r="K764">
        <v>8</v>
      </c>
      <c r="L764" t="s">
        <v>27</v>
      </c>
      <c r="M764">
        <v>62</v>
      </c>
      <c r="N764">
        <v>51.1</v>
      </c>
      <c r="O764">
        <v>71.400000000000006</v>
      </c>
      <c r="P764">
        <v>5.37</v>
      </c>
      <c r="Q764">
        <v>2.69</v>
      </c>
      <c r="R764" t="s">
        <v>137</v>
      </c>
      <c r="S764" t="s">
        <v>47</v>
      </c>
      <c r="T764" t="s">
        <v>30</v>
      </c>
      <c r="U764" t="str">
        <f t="shared" si="33"/>
        <v>Normal</v>
      </c>
      <c r="V764" t="str">
        <f t="shared" si="34"/>
        <v>Normal</v>
      </c>
      <c r="W764" t="str">
        <f t="shared" si="35"/>
        <v>Normal</v>
      </c>
    </row>
    <row r="765" spans="1:23" x14ac:dyDescent="0.3">
      <c r="A765">
        <v>11221</v>
      </c>
      <c r="B765" s="2">
        <v>46012</v>
      </c>
      <c r="C765" t="s">
        <v>20</v>
      </c>
      <c r="D765" t="s">
        <v>59</v>
      </c>
      <c r="E765" t="s">
        <v>22</v>
      </c>
      <c r="F765" t="s">
        <v>41</v>
      </c>
      <c r="G765" t="s">
        <v>34</v>
      </c>
      <c r="H765" t="s">
        <v>148</v>
      </c>
      <c r="I765" t="s">
        <v>314</v>
      </c>
      <c r="J765">
        <v>1097</v>
      </c>
      <c r="K765">
        <v>36</v>
      </c>
      <c r="L765" t="s">
        <v>27</v>
      </c>
      <c r="M765">
        <v>13</v>
      </c>
      <c r="N765">
        <v>39.6</v>
      </c>
      <c r="O765">
        <v>71.400000000000006</v>
      </c>
      <c r="P765">
        <v>5.92</v>
      </c>
      <c r="Q765">
        <v>2.65</v>
      </c>
      <c r="R765" t="s">
        <v>122</v>
      </c>
      <c r="S765" t="s">
        <v>29</v>
      </c>
      <c r="T765" t="s">
        <v>48</v>
      </c>
      <c r="U765" t="str">
        <f t="shared" si="33"/>
        <v>Normal</v>
      </c>
      <c r="V765" t="str">
        <f t="shared" si="34"/>
        <v>Normal</v>
      </c>
      <c r="W765" t="str">
        <f t="shared" si="35"/>
        <v>Normal</v>
      </c>
    </row>
    <row r="766" spans="1:23" x14ac:dyDescent="0.3">
      <c r="A766">
        <v>11388</v>
      </c>
      <c r="B766" s="2">
        <v>46009</v>
      </c>
      <c r="C766" t="s">
        <v>20</v>
      </c>
      <c r="D766" t="s">
        <v>21</v>
      </c>
      <c r="E766" t="s">
        <v>33</v>
      </c>
      <c r="F766" t="s">
        <v>23</v>
      </c>
      <c r="G766" t="s">
        <v>42</v>
      </c>
      <c r="H766" t="s">
        <v>66</v>
      </c>
      <c r="I766" t="s">
        <v>307</v>
      </c>
      <c r="J766">
        <v>882</v>
      </c>
      <c r="K766">
        <v>7</v>
      </c>
      <c r="L766" t="s">
        <v>45</v>
      </c>
      <c r="M766">
        <v>156</v>
      </c>
      <c r="N766">
        <v>36.799999999999997</v>
      </c>
      <c r="O766">
        <v>71.400000000000006</v>
      </c>
      <c r="P766">
        <v>3.99</v>
      </c>
      <c r="Q766">
        <v>4.51</v>
      </c>
      <c r="R766" t="s">
        <v>243</v>
      </c>
      <c r="S766" t="s">
        <v>29</v>
      </c>
      <c r="T766" t="s">
        <v>30</v>
      </c>
      <c r="U766" t="str">
        <f t="shared" si="33"/>
        <v>Normal</v>
      </c>
      <c r="V766" t="str">
        <f t="shared" si="34"/>
        <v>Normal</v>
      </c>
      <c r="W766" t="str">
        <f t="shared" si="35"/>
        <v>Normal</v>
      </c>
    </row>
    <row r="767" spans="1:23" x14ac:dyDescent="0.3">
      <c r="A767">
        <v>10985</v>
      </c>
      <c r="B767" s="2">
        <v>45906</v>
      </c>
      <c r="C767" t="s">
        <v>20</v>
      </c>
      <c r="D767" t="s">
        <v>32</v>
      </c>
      <c r="E767" t="s">
        <v>107</v>
      </c>
      <c r="F767" t="s">
        <v>41</v>
      </c>
      <c r="G767" t="s">
        <v>89</v>
      </c>
      <c r="H767" t="s">
        <v>192</v>
      </c>
      <c r="I767" t="s">
        <v>225</v>
      </c>
      <c r="J767">
        <v>624</v>
      </c>
      <c r="K767">
        <v>52</v>
      </c>
      <c r="L767" t="s">
        <v>37</v>
      </c>
      <c r="M767">
        <v>29</v>
      </c>
      <c r="N767">
        <v>55.6</v>
      </c>
      <c r="O767">
        <v>71.400000000000006</v>
      </c>
      <c r="P767">
        <v>5.14</v>
      </c>
      <c r="Q767">
        <v>2.97</v>
      </c>
      <c r="R767" t="s">
        <v>189</v>
      </c>
      <c r="S767" t="s">
        <v>47</v>
      </c>
      <c r="T767" t="s">
        <v>48</v>
      </c>
      <c r="U767" t="str">
        <f t="shared" si="33"/>
        <v>Normal</v>
      </c>
      <c r="V767" t="str">
        <f t="shared" si="34"/>
        <v>Normal</v>
      </c>
      <c r="W767" t="str">
        <f t="shared" si="35"/>
        <v>Normal</v>
      </c>
    </row>
    <row r="768" spans="1:23" x14ac:dyDescent="0.3">
      <c r="A768">
        <v>10671</v>
      </c>
      <c r="B768" s="2">
        <v>45771</v>
      </c>
      <c r="C768" t="s">
        <v>49</v>
      </c>
      <c r="D768" t="s">
        <v>32</v>
      </c>
      <c r="E768" t="s">
        <v>40</v>
      </c>
      <c r="F768" t="s">
        <v>23</v>
      </c>
      <c r="G768" t="s">
        <v>95</v>
      </c>
      <c r="H768" t="s">
        <v>351</v>
      </c>
      <c r="I768" t="s">
        <v>359</v>
      </c>
      <c r="J768">
        <v>877</v>
      </c>
      <c r="K768">
        <v>15</v>
      </c>
      <c r="L768" t="s">
        <v>45</v>
      </c>
      <c r="M768">
        <v>112</v>
      </c>
      <c r="N768">
        <v>39.4</v>
      </c>
      <c r="O768">
        <v>71.400000000000006</v>
      </c>
      <c r="P768">
        <v>5.96</v>
      </c>
      <c r="Q768">
        <v>3.46</v>
      </c>
      <c r="R768" t="s">
        <v>72</v>
      </c>
      <c r="S768" t="s">
        <v>73</v>
      </c>
      <c r="T768" t="s">
        <v>30</v>
      </c>
      <c r="U768" t="str">
        <f t="shared" si="33"/>
        <v>Normal</v>
      </c>
      <c r="V768" t="str">
        <f t="shared" si="34"/>
        <v>Normal</v>
      </c>
      <c r="W768" t="str">
        <f t="shared" si="35"/>
        <v>Normal</v>
      </c>
    </row>
    <row r="769" spans="1:23" x14ac:dyDescent="0.3">
      <c r="A769">
        <v>11323</v>
      </c>
      <c r="B769" s="2">
        <v>45838</v>
      </c>
      <c r="C769" t="s">
        <v>31</v>
      </c>
      <c r="D769" t="s">
        <v>59</v>
      </c>
      <c r="E769" t="s">
        <v>40</v>
      </c>
      <c r="F769" t="s">
        <v>23</v>
      </c>
      <c r="G769" t="s">
        <v>109</v>
      </c>
      <c r="H769" t="s">
        <v>177</v>
      </c>
      <c r="I769" t="s">
        <v>83</v>
      </c>
      <c r="J769">
        <v>1343</v>
      </c>
      <c r="K769">
        <v>33</v>
      </c>
      <c r="L769" t="s">
        <v>57</v>
      </c>
      <c r="M769">
        <v>16</v>
      </c>
      <c r="N769">
        <v>47</v>
      </c>
      <c r="O769">
        <v>71.400000000000006</v>
      </c>
      <c r="P769">
        <v>5.04</v>
      </c>
      <c r="Q769">
        <v>3.16</v>
      </c>
      <c r="R769" t="s">
        <v>84</v>
      </c>
      <c r="S769" t="s">
        <v>73</v>
      </c>
      <c r="T769" t="s">
        <v>30</v>
      </c>
      <c r="U769" t="str">
        <f t="shared" si="33"/>
        <v>Normal</v>
      </c>
      <c r="V769" t="str">
        <f t="shared" si="34"/>
        <v>Normal</v>
      </c>
      <c r="W769" t="str">
        <f t="shared" si="35"/>
        <v>Normal</v>
      </c>
    </row>
    <row r="770" spans="1:23" x14ac:dyDescent="0.3">
      <c r="A770">
        <v>10005</v>
      </c>
      <c r="B770" s="2">
        <v>45705</v>
      </c>
      <c r="C770" t="s">
        <v>31</v>
      </c>
      <c r="D770" t="s">
        <v>32</v>
      </c>
      <c r="E770" t="s">
        <v>33</v>
      </c>
      <c r="F770" t="s">
        <v>23</v>
      </c>
      <c r="G770" t="s">
        <v>95</v>
      </c>
      <c r="H770" t="s">
        <v>169</v>
      </c>
      <c r="I770" t="s">
        <v>235</v>
      </c>
      <c r="J770">
        <v>680</v>
      </c>
      <c r="K770">
        <v>7</v>
      </c>
      <c r="L770" t="s">
        <v>45</v>
      </c>
      <c r="M770">
        <v>39</v>
      </c>
      <c r="N770">
        <v>34.700000000000003</v>
      </c>
      <c r="O770">
        <v>71.400000000000006</v>
      </c>
      <c r="P770">
        <v>5.98</v>
      </c>
      <c r="Q770">
        <v>3.68</v>
      </c>
      <c r="R770" t="s">
        <v>103</v>
      </c>
      <c r="S770" t="s">
        <v>39</v>
      </c>
      <c r="T770" t="s">
        <v>30</v>
      </c>
      <c r="U770" t="str">
        <f t="shared" ref="U770:U833" si="36">IF(OR(O770&lt;20,O770&gt;100),"Investigate","Normal")</f>
        <v>Normal</v>
      </c>
      <c r="V770" t="str">
        <f t="shared" ref="V770:V833" si="37">IF(OR(P770&lt;2,P770&gt;10),"Investigate","Normal")</f>
        <v>Normal</v>
      </c>
      <c r="W770" t="str">
        <f t="shared" ref="W770:W833" si="38">IF(Q770&gt;10,"Investigate","Normal")</f>
        <v>Normal</v>
      </c>
    </row>
    <row r="771" spans="1:23" x14ac:dyDescent="0.3">
      <c r="A771">
        <v>11270</v>
      </c>
      <c r="B771" s="2">
        <v>46002</v>
      </c>
      <c r="C771" t="s">
        <v>31</v>
      </c>
      <c r="D771" t="s">
        <v>64</v>
      </c>
      <c r="E771" t="s">
        <v>33</v>
      </c>
      <c r="F771" t="s">
        <v>41</v>
      </c>
      <c r="G771" t="s">
        <v>134</v>
      </c>
      <c r="H771" t="s">
        <v>66</v>
      </c>
      <c r="I771" t="s">
        <v>220</v>
      </c>
      <c r="J771">
        <v>474</v>
      </c>
      <c r="K771">
        <v>4</v>
      </c>
      <c r="L771" t="s">
        <v>45</v>
      </c>
      <c r="M771">
        <v>151</v>
      </c>
      <c r="N771">
        <v>39.4</v>
      </c>
      <c r="O771">
        <v>71.400000000000006</v>
      </c>
      <c r="P771">
        <v>5.3</v>
      </c>
      <c r="Q771">
        <v>2.12</v>
      </c>
      <c r="R771" t="s">
        <v>189</v>
      </c>
      <c r="S771" t="s">
        <v>73</v>
      </c>
      <c r="T771" t="s">
        <v>30</v>
      </c>
      <c r="U771" t="str">
        <f t="shared" si="36"/>
        <v>Normal</v>
      </c>
      <c r="V771" t="str">
        <f t="shared" si="37"/>
        <v>Normal</v>
      </c>
      <c r="W771" t="str">
        <f t="shared" si="38"/>
        <v>Normal</v>
      </c>
    </row>
    <row r="772" spans="1:23" x14ac:dyDescent="0.3">
      <c r="A772">
        <v>10808</v>
      </c>
      <c r="B772" s="2">
        <v>45953</v>
      </c>
      <c r="C772" t="s">
        <v>20</v>
      </c>
      <c r="D772" t="s">
        <v>32</v>
      </c>
      <c r="E772" t="s">
        <v>107</v>
      </c>
      <c r="F772" t="s">
        <v>41</v>
      </c>
      <c r="G772" t="s">
        <v>54</v>
      </c>
      <c r="H772" t="s">
        <v>161</v>
      </c>
      <c r="I772" t="s">
        <v>162</v>
      </c>
      <c r="J772">
        <v>1023</v>
      </c>
      <c r="K772">
        <v>3</v>
      </c>
      <c r="L772" t="s">
        <v>37</v>
      </c>
      <c r="M772">
        <v>27</v>
      </c>
      <c r="N772">
        <v>37.299999999999997</v>
      </c>
      <c r="O772">
        <v>71.3</v>
      </c>
      <c r="P772">
        <v>4.53</v>
      </c>
      <c r="Q772">
        <v>2.9</v>
      </c>
      <c r="R772" t="s">
        <v>159</v>
      </c>
      <c r="S772" t="s">
        <v>29</v>
      </c>
      <c r="T772" t="s">
        <v>30</v>
      </c>
      <c r="U772" t="str">
        <f t="shared" si="36"/>
        <v>Normal</v>
      </c>
      <c r="V772" t="str">
        <f t="shared" si="37"/>
        <v>Normal</v>
      </c>
      <c r="W772" t="str">
        <f t="shared" si="38"/>
        <v>Normal</v>
      </c>
    </row>
    <row r="773" spans="1:23" x14ac:dyDescent="0.3">
      <c r="A773">
        <v>10387</v>
      </c>
      <c r="B773" s="2">
        <v>45826</v>
      </c>
      <c r="C773" t="s">
        <v>20</v>
      </c>
      <c r="D773" t="s">
        <v>32</v>
      </c>
      <c r="E773" t="s">
        <v>22</v>
      </c>
      <c r="F773" t="s">
        <v>23</v>
      </c>
      <c r="G773" t="s">
        <v>42</v>
      </c>
      <c r="H773" t="s">
        <v>123</v>
      </c>
      <c r="I773" t="s">
        <v>251</v>
      </c>
      <c r="J773">
        <v>1520</v>
      </c>
      <c r="K773">
        <v>114</v>
      </c>
      <c r="L773" t="s">
        <v>71</v>
      </c>
      <c r="M773">
        <v>45</v>
      </c>
      <c r="N773">
        <v>32.700000000000003</v>
      </c>
      <c r="O773">
        <v>71.3</v>
      </c>
      <c r="P773">
        <v>6.71</v>
      </c>
      <c r="Q773">
        <v>2.65</v>
      </c>
      <c r="R773" t="s">
        <v>159</v>
      </c>
      <c r="S773" t="s">
        <v>73</v>
      </c>
      <c r="T773" t="s">
        <v>48</v>
      </c>
      <c r="U773" t="str">
        <f t="shared" si="36"/>
        <v>Normal</v>
      </c>
      <c r="V773" t="str">
        <f t="shared" si="37"/>
        <v>Normal</v>
      </c>
      <c r="W773" t="str">
        <f t="shared" si="38"/>
        <v>Normal</v>
      </c>
    </row>
    <row r="774" spans="1:23" x14ac:dyDescent="0.3">
      <c r="A774">
        <v>11420</v>
      </c>
      <c r="B774" s="2">
        <v>46019</v>
      </c>
      <c r="C774" t="s">
        <v>20</v>
      </c>
      <c r="D774" t="s">
        <v>21</v>
      </c>
      <c r="E774" t="s">
        <v>107</v>
      </c>
      <c r="F774" t="s">
        <v>41</v>
      </c>
      <c r="G774" t="s">
        <v>54</v>
      </c>
      <c r="H774" t="s">
        <v>101</v>
      </c>
      <c r="I774" t="s">
        <v>368</v>
      </c>
      <c r="J774">
        <v>837</v>
      </c>
      <c r="K774">
        <v>13</v>
      </c>
      <c r="L774" t="s">
        <v>68</v>
      </c>
      <c r="M774">
        <v>179</v>
      </c>
      <c r="N774">
        <v>48.5</v>
      </c>
      <c r="O774">
        <v>71.3</v>
      </c>
      <c r="P774">
        <v>5.77</v>
      </c>
      <c r="Q774">
        <v>1.89</v>
      </c>
      <c r="R774" t="s">
        <v>186</v>
      </c>
      <c r="S774" t="s">
        <v>73</v>
      </c>
      <c r="T774" t="s">
        <v>30</v>
      </c>
      <c r="U774" t="str">
        <f t="shared" si="36"/>
        <v>Normal</v>
      </c>
      <c r="V774" t="str">
        <f t="shared" si="37"/>
        <v>Normal</v>
      </c>
      <c r="W774" t="str">
        <f t="shared" si="38"/>
        <v>Normal</v>
      </c>
    </row>
    <row r="775" spans="1:23" x14ac:dyDescent="0.3">
      <c r="A775">
        <v>11343</v>
      </c>
      <c r="B775" s="2">
        <v>45851</v>
      </c>
      <c r="C775" t="s">
        <v>31</v>
      </c>
      <c r="D775" t="s">
        <v>64</v>
      </c>
      <c r="E775" t="s">
        <v>33</v>
      </c>
      <c r="F775" t="s">
        <v>81</v>
      </c>
      <c r="G775" t="s">
        <v>60</v>
      </c>
      <c r="H775" t="s">
        <v>55</v>
      </c>
      <c r="I775" t="s">
        <v>171</v>
      </c>
      <c r="J775">
        <v>622</v>
      </c>
      <c r="K775">
        <v>4</v>
      </c>
      <c r="L775" t="s">
        <v>37</v>
      </c>
      <c r="M775">
        <v>25</v>
      </c>
      <c r="N775">
        <v>41.8</v>
      </c>
      <c r="O775">
        <v>71.3</v>
      </c>
      <c r="P775">
        <v>3.7</v>
      </c>
      <c r="Q775">
        <v>4.47</v>
      </c>
      <c r="R775" t="s">
        <v>84</v>
      </c>
      <c r="S775" t="s">
        <v>73</v>
      </c>
      <c r="T775" t="s">
        <v>30</v>
      </c>
      <c r="U775" t="str">
        <f t="shared" si="36"/>
        <v>Normal</v>
      </c>
      <c r="V775" t="str">
        <f t="shared" si="37"/>
        <v>Normal</v>
      </c>
      <c r="W775" t="str">
        <f t="shared" si="38"/>
        <v>Normal</v>
      </c>
    </row>
    <row r="776" spans="1:23" x14ac:dyDescent="0.3">
      <c r="A776">
        <v>11159</v>
      </c>
      <c r="B776" s="2">
        <v>45666</v>
      </c>
      <c r="C776" t="s">
        <v>31</v>
      </c>
      <c r="D776" t="s">
        <v>64</v>
      </c>
      <c r="E776" t="s">
        <v>22</v>
      </c>
      <c r="F776" t="s">
        <v>41</v>
      </c>
      <c r="G776" t="s">
        <v>113</v>
      </c>
      <c r="H776" t="s">
        <v>126</v>
      </c>
      <c r="I776" t="s">
        <v>372</v>
      </c>
      <c r="J776">
        <v>1243</v>
      </c>
      <c r="K776">
        <v>21</v>
      </c>
      <c r="L776" t="s">
        <v>68</v>
      </c>
      <c r="M776">
        <v>145</v>
      </c>
      <c r="N776">
        <v>44.5</v>
      </c>
      <c r="O776">
        <v>71.3</v>
      </c>
      <c r="P776">
        <v>5.91</v>
      </c>
      <c r="Q776">
        <v>2.4</v>
      </c>
      <c r="R776" t="s">
        <v>143</v>
      </c>
      <c r="S776" t="s">
        <v>39</v>
      </c>
      <c r="T776" t="s">
        <v>30</v>
      </c>
      <c r="U776" t="str">
        <f t="shared" si="36"/>
        <v>Normal</v>
      </c>
      <c r="V776" t="str">
        <f t="shared" si="37"/>
        <v>Normal</v>
      </c>
      <c r="W776" t="str">
        <f t="shared" si="38"/>
        <v>Normal</v>
      </c>
    </row>
    <row r="777" spans="1:23" x14ac:dyDescent="0.3">
      <c r="A777">
        <v>11124</v>
      </c>
      <c r="B777" s="2">
        <v>45935</v>
      </c>
      <c r="C777" t="s">
        <v>20</v>
      </c>
      <c r="D777" t="s">
        <v>32</v>
      </c>
      <c r="E777" t="s">
        <v>40</v>
      </c>
      <c r="F777" t="s">
        <v>81</v>
      </c>
      <c r="G777" t="s">
        <v>113</v>
      </c>
      <c r="H777" t="s">
        <v>144</v>
      </c>
      <c r="I777" t="s">
        <v>94</v>
      </c>
      <c r="J777">
        <v>1447</v>
      </c>
      <c r="K777">
        <v>22</v>
      </c>
      <c r="L777" t="s">
        <v>71</v>
      </c>
      <c r="M777">
        <v>101</v>
      </c>
      <c r="N777">
        <v>38.9</v>
      </c>
      <c r="O777">
        <v>71.3</v>
      </c>
      <c r="P777">
        <v>4.88</v>
      </c>
      <c r="Q777">
        <v>1.9</v>
      </c>
      <c r="R777" t="s">
        <v>232</v>
      </c>
      <c r="S777" t="s">
        <v>39</v>
      </c>
      <c r="T777" t="s">
        <v>30</v>
      </c>
      <c r="U777" t="str">
        <f t="shared" si="36"/>
        <v>Normal</v>
      </c>
      <c r="V777" t="str">
        <f t="shared" si="37"/>
        <v>Normal</v>
      </c>
      <c r="W777" t="str">
        <f t="shared" si="38"/>
        <v>Normal</v>
      </c>
    </row>
    <row r="778" spans="1:23" x14ac:dyDescent="0.3">
      <c r="A778">
        <v>11134</v>
      </c>
      <c r="B778" s="2">
        <v>45955</v>
      </c>
      <c r="C778" t="s">
        <v>20</v>
      </c>
      <c r="D778" t="s">
        <v>64</v>
      </c>
      <c r="E778" t="s">
        <v>22</v>
      </c>
      <c r="F778" t="s">
        <v>23</v>
      </c>
      <c r="G778" t="s">
        <v>50</v>
      </c>
      <c r="H778" t="s">
        <v>116</v>
      </c>
      <c r="I778" t="s">
        <v>359</v>
      </c>
      <c r="J778">
        <v>1341</v>
      </c>
      <c r="K778">
        <v>50</v>
      </c>
      <c r="L778" t="s">
        <v>71</v>
      </c>
      <c r="M778">
        <v>132</v>
      </c>
      <c r="N778">
        <v>31.2</v>
      </c>
      <c r="O778">
        <v>71.2</v>
      </c>
      <c r="P778">
        <v>6.07</v>
      </c>
      <c r="Q778">
        <v>2.5099999999999998</v>
      </c>
      <c r="R778" t="s">
        <v>183</v>
      </c>
      <c r="S778" t="s">
        <v>29</v>
      </c>
      <c r="T778" t="s">
        <v>48</v>
      </c>
      <c r="U778" t="str">
        <f t="shared" si="36"/>
        <v>Normal</v>
      </c>
      <c r="V778" t="str">
        <f t="shared" si="37"/>
        <v>Normal</v>
      </c>
      <c r="W778" t="str">
        <f t="shared" si="38"/>
        <v>Normal</v>
      </c>
    </row>
    <row r="779" spans="1:23" x14ac:dyDescent="0.3">
      <c r="A779">
        <v>10291</v>
      </c>
      <c r="B779" s="2">
        <v>45998</v>
      </c>
      <c r="C779" t="s">
        <v>49</v>
      </c>
      <c r="D779" t="s">
        <v>64</v>
      </c>
      <c r="E779" t="s">
        <v>107</v>
      </c>
      <c r="F779" t="s">
        <v>23</v>
      </c>
      <c r="G779" t="s">
        <v>60</v>
      </c>
      <c r="H779" t="s">
        <v>193</v>
      </c>
      <c r="I779" t="s">
        <v>181</v>
      </c>
      <c r="J779">
        <v>1104</v>
      </c>
      <c r="K779">
        <v>5</v>
      </c>
      <c r="L779" t="s">
        <v>68</v>
      </c>
      <c r="M779">
        <v>89</v>
      </c>
      <c r="N779">
        <v>33.799999999999997</v>
      </c>
      <c r="O779">
        <v>71.2</v>
      </c>
      <c r="P779">
        <v>4.97</v>
      </c>
      <c r="Q779">
        <v>2.4</v>
      </c>
      <c r="R779" t="s">
        <v>63</v>
      </c>
      <c r="S779" t="s">
        <v>47</v>
      </c>
      <c r="T779" t="s">
        <v>30</v>
      </c>
      <c r="U779" t="str">
        <f t="shared" si="36"/>
        <v>Normal</v>
      </c>
      <c r="V779" t="str">
        <f t="shared" si="37"/>
        <v>Normal</v>
      </c>
      <c r="W779" t="str">
        <f t="shared" si="38"/>
        <v>Normal</v>
      </c>
    </row>
    <row r="780" spans="1:23" x14ac:dyDescent="0.3">
      <c r="A780">
        <v>10394</v>
      </c>
      <c r="B780" s="2">
        <v>45985</v>
      </c>
      <c r="C780" t="s">
        <v>20</v>
      </c>
      <c r="D780" t="s">
        <v>59</v>
      </c>
      <c r="E780" t="s">
        <v>22</v>
      </c>
      <c r="F780" t="s">
        <v>81</v>
      </c>
      <c r="G780" t="s">
        <v>50</v>
      </c>
      <c r="H780" t="s">
        <v>131</v>
      </c>
      <c r="I780" t="s">
        <v>281</v>
      </c>
      <c r="J780">
        <v>1434</v>
      </c>
      <c r="K780">
        <v>9</v>
      </c>
      <c r="L780" t="s">
        <v>45</v>
      </c>
      <c r="M780">
        <v>65</v>
      </c>
      <c r="N780">
        <v>33.5</v>
      </c>
      <c r="O780">
        <v>71.2</v>
      </c>
      <c r="P780">
        <v>4.57</v>
      </c>
      <c r="Q780">
        <v>1.94</v>
      </c>
      <c r="R780" t="s">
        <v>84</v>
      </c>
      <c r="S780" t="s">
        <v>29</v>
      </c>
      <c r="T780" t="s">
        <v>30</v>
      </c>
      <c r="U780" t="str">
        <f t="shared" si="36"/>
        <v>Normal</v>
      </c>
      <c r="V780" t="str">
        <f t="shared" si="37"/>
        <v>Normal</v>
      </c>
      <c r="W780" t="str">
        <f t="shared" si="38"/>
        <v>Normal</v>
      </c>
    </row>
    <row r="781" spans="1:23" x14ac:dyDescent="0.3">
      <c r="A781">
        <v>11394</v>
      </c>
      <c r="B781" s="2">
        <v>45832</v>
      </c>
      <c r="C781" t="s">
        <v>31</v>
      </c>
      <c r="D781" t="s">
        <v>64</v>
      </c>
      <c r="E781" t="s">
        <v>40</v>
      </c>
      <c r="F781" t="s">
        <v>41</v>
      </c>
      <c r="G781" t="s">
        <v>42</v>
      </c>
      <c r="H781" t="s">
        <v>51</v>
      </c>
      <c r="I781" t="s">
        <v>299</v>
      </c>
      <c r="J781">
        <v>913</v>
      </c>
      <c r="K781">
        <v>6</v>
      </c>
      <c r="L781" t="s">
        <v>27</v>
      </c>
      <c r="M781">
        <v>8</v>
      </c>
      <c r="N781">
        <v>37.6</v>
      </c>
      <c r="O781">
        <v>71.2</v>
      </c>
      <c r="P781">
        <v>5.2</v>
      </c>
      <c r="Q781">
        <v>3.07</v>
      </c>
      <c r="R781" t="s">
        <v>189</v>
      </c>
      <c r="S781" t="s">
        <v>39</v>
      </c>
      <c r="T781" t="s">
        <v>30</v>
      </c>
      <c r="U781" t="str">
        <f t="shared" si="36"/>
        <v>Normal</v>
      </c>
      <c r="V781" t="str">
        <f t="shared" si="37"/>
        <v>Normal</v>
      </c>
      <c r="W781" t="str">
        <f t="shared" si="38"/>
        <v>Normal</v>
      </c>
    </row>
    <row r="782" spans="1:23" x14ac:dyDescent="0.3">
      <c r="A782">
        <v>10223</v>
      </c>
      <c r="B782" s="2">
        <v>45923</v>
      </c>
      <c r="C782" t="s">
        <v>31</v>
      </c>
      <c r="D782" t="s">
        <v>32</v>
      </c>
      <c r="E782" t="s">
        <v>40</v>
      </c>
      <c r="F782" t="s">
        <v>81</v>
      </c>
      <c r="G782" t="s">
        <v>74</v>
      </c>
      <c r="H782" t="s">
        <v>90</v>
      </c>
      <c r="I782" t="s">
        <v>393</v>
      </c>
      <c r="J782">
        <v>1055</v>
      </c>
      <c r="K782">
        <v>3</v>
      </c>
      <c r="L782" t="s">
        <v>37</v>
      </c>
      <c r="M782">
        <v>130</v>
      </c>
      <c r="N782">
        <v>37.799999999999997</v>
      </c>
      <c r="O782">
        <v>71.2</v>
      </c>
      <c r="P782">
        <v>5.27</v>
      </c>
      <c r="Q782">
        <v>2.23</v>
      </c>
      <c r="R782" t="s">
        <v>184</v>
      </c>
      <c r="S782" t="s">
        <v>39</v>
      </c>
      <c r="T782" t="s">
        <v>30</v>
      </c>
      <c r="U782" t="str">
        <f t="shared" si="36"/>
        <v>Normal</v>
      </c>
      <c r="V782" t="str">
        <f t="shared" si="37"/>
        <v>Normal</v>
      </c>
      <c r="W782" t="str">
        <f t="shared" si="38"/>
        <v>Normal</v>
      </c>
    </row>
    <row r="783" spans="1:23" x14ac:dyDescent="0.3">
      <c r="A783">
        <v>11187</v>
      </c>
      <c r="B783" s="2">
        <v>45685</v>
      </c>
      <c r="C783" t="s">
        <v>49</v>
      </c>
      <c r="D783" t="s">
        <v>32</v>
      </c>
      <c r="E783" t="s">
        <v>22</v>
      </c>
      <c r="F783" t="s">
        <v>23</v>
      </c>
      <c r="G783" t="s">
        <v>113</v>
      </c>
      <c r="H783" t="s">
        <v>278</v>
      </c>
      <c r="I783" t="s">
        <v>337</v>
      </c>
      <c r="J783">
        <v>776</v>
      </c>
      <c r="K783">
        <v>16</v>
      </c>
      <c r="L783" t="s">
        <v>71</v>
      </c>
      <c r="M783">
        <v>131</v>
      </c>
      <c r="N783">
        <v>44.9</v>
      </c>
      <c r="O783">
        <v>71.2</v>
      </c>
      <c r="P783">
        <v>4.51</v>
      </c>
      <c r="Q783">
        <v>1.45</v>
      </c>
      <c r="R783" t="s">
        <v>77</v>
      </c>
      <c r="S783" t="s">
        <v>39</v>
      </c>
      <c r="T783" t="s">
        <v>30</v>
      </c>
      <c r="U783" t="str">
        <f t="shared" si="36"/>
        <v>Normal</v>
      </c>
      <c r="V783" t="str">
        <f t="shared" si="37"/>
        <v>Normal</v>
      </c>
      <c r="W783" t="str">
        <f t="shared" si="38"/>
        <v>Normal</v>
      </c>
    </row>
    <row r="784" spans="1:23" x14ac:dyDescent="0.3">
      <c r="A784">
        <v>10065</v>
      </c>
      <c r="B784" s="2">
        <v>45926</v>
      </c>
      <c r="C784" t="s">
        <v>31</v>
      </c>
      <c r="D784" t="s">
        <v>64</v>
      </c>
      <c r="E784" t="s">
        <v>22</v>
      </c>
      <c r="F784" t="s">
        <v>81</v>
      </c>
      <c r="G784" t="s">
        <v>34</v>
      </c>
      <c r="H784" t="s">
        <v>287</v>
      </c>
      <c r="I784" t="s">
        <v>44</v>
      </c>
      <c r="J784">
        <v>665</v>
      </c>
      <c r="K784">
        <v>21</v>
      </c>
      <c r="L784" t="s">
        <v>45</v>
      </c>
      <c r="M784">
        <v>11</v>
      </c>
      <c r="N784">
        <v>49.3</v>
      </c>
      <c r="O784">
        <v>71.2</v>
      </c>
      <c r="P784">
        <v>5.38</v>
      </c>
      <c r="Q784">
        <v>2.63</v>
      </c>
      <c r="R784" t="s">
        <v>184</v>
      </c>
      <c r="S784" t="s">
        <v>47</v>
      </c>
      <c r="T784" t="s">
        <v>48</v>
      </c>
      <c r="U784" t="str">
        <f t="shared" si="36"/>
        <v>Normal</v>
      </c>
      <c r="V784" t="str">
        <f t="shared" si="37"/>
        <v>Normal</v>
      </c>
      <c r="W784" t="str">
        <f t="shared" si="38"/>
        <v>Normal</v>
      </c>
    </row>
    <row r="785" spans="1:23" x14ac:dyDescent="0.3">
      <c r="A785">
        <v>10402</v>
      </c>
      <c r="B785" s="2">
        <v>46020</v>
      </c>
      <c r="C785" t="s">
        <v>49</v>
      </c>
      <c r="D785" t="s">
        <v>32</v>
      </c>
      <c r="E785" t="s">
        <v>33</v>
      </c>
      <c r="F785" t="s">
        <v>41</v>
      </c>
      <c r="G785" t="s">
        <v>74</v>
      </c>
      <c r="H785" t="s">
        <v>55</v>
      </c>
      <c r="I785" t="s">
        <v>171</v>
      </c>
      <c r="J785">
        <v>891</v>
      </c>
      <c r="K785">
        <v>3</v>
      </c>
      <c r="L785" t="s">
        <v>37</v>
      </c>
      <c r="M785">
        <v>155</v>
      </c>
      <c r="N785">
        <v>54</v>
      </c>
      <c r="O785">
        <v>71.2</v>
      </c>
      <c r="P785">
        <v>5.46</v>
      </c>
      <c r="Q785">
        <v>3.85</v>
      </c>
      <c r="R785" t="s">
        <v>267</v>
      </c>
      <c r="S785" t="s">
        <v>73</v>
      </c>
      <c r="T785" t="s">
        <v>30</v>
      </c>
      <c r="U785" t="str">
        <f t="shared" si="36"/>
        <v>Normal</v>
      </c>
      <c r="V785" t="str">
        <f t="shared" si="37"/>
        <v>Normal</v>
      </c>
      <c r="W785" t="str">
        <f t="shared" si="38"/>
        <v>Normal</v>
      </c>
    </row>
    <row r="786" spans="1:23" x14ac:dyDescent="0.3">
      <c r="A786">
        <v>11092</v>
      </c>
      <c r="B786" s="2">
        <v>45723</v>
      </c>
      <c r="C786" t="s">
        <v>20</v>
      </c>
      <c r="D786" t="s">
        <v>59</v>
      </c>
      <c r="E786" t="s">
        <v>40</v>
      </c>
      <c r="F786" t="s">
        <v>41</v>
      </c>
      <c r="G786" t="s">
        <v>95</v>
      </c>
      <c r="H786" t="s">
        <v>101</v>
      </c>
      <c r="I786" t="s">
        <v>102</v>
      </c>
      <c r="J786">
        <v>1509</v>
      </c>
      <c r="K786">
        <v>11</v>
      </c>
      <c r="L786" t="s">
        <v>71</v>
      </c>
      <c r="M786">
        <v>131</v>
      </c>
      <c r="N786">
        <v>40.700000000000003</v>
      </c>
      <c r="O786">
        <v>71.099999999999994</v>
      </c>
      <c r="P786">
        <v>4.99</v>
      </c>
      <c r="Q786">
        <v>2.0699999999999998</v>
      </c>
      <c r="R786" t="s">
        <v>103</v>
      </c>
      <c r="S786" t="s">
        <v>39</v>
      </c>
      <c r="T786" t="s">
        <v>30</v>
      </c>
      <c r="U786" t="str">
        <f t="shared" si="36"/>
        <v>Normal</v>
      </c>
      <c r="V786" t="str">
        <f t="shared" si="37"/>
        <v>Normal</v>
      </c>
      <c r="W786" t="str">
        <f t="shared" si="38"/>
        <v>Normal</v>
      </c>
    </row>
    <row r="787" spans="1:23" x14ac:dyDescent="0.3">
      <c r="A787">
        <v>10211</v>
      </c>
      <c r="B787" s="2">
        <v>45868</v>
      </c>
      <c r="C787" t="s">
        <v>31</v>
      </c>
      <c r="D787" t="s">
        <v>21</v>
      </c>
      <c r="E787" t="s">
        <v>22</v>
      </c>
      <c r="F787" t="s">
        <v>23</v>
      </c>
      <c r="G787" t="s">
        <v>113</v>
      </c>
      <c r="H787" t="s">
        <v>144</v>
      </c>
      <c r="I787" t="s">
        <v>322</v>
      </c>
      <c r="J787">
        <v>1369</v>
      </c>
      <c r="K787">
        <v>43</v>
      </c>
      <c r="L787" t="s">
        <v>37</v>
      </c>
      <c r="M787">
        <v>19</v>
      </c>
      <c r="N787">
        <v>49.7</v>
      </c>
      <c r="O787">
        <v>71.099999999999994</v>
      </c>
      <c r="P787">
        <v>5.87</v>
      </c>
      <c r="Q787">
        <v>1.73</v>
      </c>
      <c r="R787" t="s">
        <v>174</v>
      </c>
      <c r="S787" t="s">
        <v>39</v>
      </c>
      <c r="T787" t="s">
        <v>48</v>
      </c>
      <c r="U787" t="str">
        <f t="shared" si="36"/>
        <v>Normal</v>
      </c>
      <c r="V787" t="str">
        <f t="shared" si="37"/>
        <v>Normal</v>
      </c>
      <c r="W787" t="str">
        <f t="shared" si="38"/>
        <v>Normal</v>
      </c>
    </row>
    <row r="788" spans="1:23" x14ac:dyDescent="0.3">
      <c r="A788">
        <v>10612</v>
      </c>
      <c r="B788" s="2">
        <v>46014</v>
      </c>
      <c r="C788" t="s">
        <v>20</v>
      </c>
      <c r="D788" t="s">
        <v>32</v>
      </c>
      <c r="E788" t="s">
        <v>40</v>
      </c>
      <c r="F788" t="s">
        <v>23</v>
      </c>
      <c r="G788" t="s">
        <v>54</v>
      </c>
      <c r="H788" t="s">
        <v>123</v>
      </c>
      <c r="I788" t="s">
        <v>347</v>
      </c>
      <c r="J788">
        <v>629</v>
      </c>
      <c r="K788">
        <v>7</v>
      </c>
      <c r="L788" t="s">
        <v>27</v>
      </c>
      <c r="M788">
        <v>119</v>
      </c>
      <c r="N788">
        <v>59.2</v>
      </c>
      <c r="O788">
        <v>71.099999999999994</v>
      </c>
      <c r="P788">
        <v>5.96</v>
      </c>
      <c r="Q788">
        <v>1.71</v>
      </c>
      <c r="R788" t="s">
        <v>153</v>
      </c>
      <c r="S788" t="s">
        <v>29</v>
      </c>
      <c r="T788" t="s">
        <v>30</v>
      </c>
      <c r="U788" t="str">
        <f t="shared" si="36"/>
        <v>Normal</v>
      </c>
      <c r="V788" t="str">
        <f t="shared" si="37"/>
        <v>Normal</v>
      </c>
      <c r="W788" t="str">
        <f t="shared" si="38"/>
        <v>Normal</v>
      </c>
    </row>
    <row r="789" spans="1:23" x14ac:dyDescent="0.3">
      <c r="A789">
        <v>10596</v>
      </c>
      <c r="B789" s="2">
        <v>45871</v>
      </c>
      <c r="C789" t="s">
        <v>49</v>
      </c>
      <c r="D789" t="s">
        <v>21</v>
      </c>
      <c r="E789" t="s">
        <v>107</v>
      </c>
      <c r="F789" t="s">
        <v>41</v>
      </c>
      <c r="G789" t="s">
        <v>109</v>
      </c>
      <c r="H789" t="s">
        <v>144</v>
      </c>
      <c r="I789" t="s">
        <v>298</v>
      </c>
      <c r="J789">
        <v>1563</v>
      </c>
      <c r="K789">
        <v>16</v>
      </c>
      <c r="L789" t="s">
        <v>57</v>
      </c>
      <c r="M789">
        <v>6</v>
      </c>
      <c r="N789">
        <v>44.8</v>
      </c>
      <c r="O789">
        <v>71.099999999999994</v>
      </c>
      <c r="P789">
        <v>6.46</v>
      </c>
      <c r="Q789">
        <v>2.42</v>
      </c>
      <c r="R789" t="s">
        <v>232</v>
      </c>
      <c r="S789" t="s">
        <v>47</v>
      </c>
      <c r="T789" t="s">
        <v>30</v>
      </c>
      <c r="U789" t="str">
        <f t="shared" si="36"/>
        <v>Normal</v>
      </c>
      <c r="V789" t="str">
        <f t="shared" si="37"/>
        <v>Normal</v>
      </c>
      <c r="W789" t="str">
        <f t="shared" si="38"/>
        <v>Normal</v>
      </c>
    </row>
    <row r="790" spans="1:23" x14ac:dyDescent="0.3">
      <c r="A790">
        <v>10981</v>
      </c>
      <c r="B790" s="2">
        <v>45767</v>
      </c>
      <c r="C790" t="s">
        <v>49</v>
      </c>
      <c r="D790" t="s">
        <v>21</v>
      </c>
      <c r="E790" t="s">
        <v>40</v>
      </c>
      <c r="F790" t="s">
        <v>23</v>
      </c>
      <c r="G790" t="s">
        <v>24</v>
      </c>
      <c r="H790" t="s">
        <v>278</v>
      </c>
      <c r="I790" t="s">
        <v>212</v>
      </c>
      <c r="J790">
        <v>824</v>
      </c>
      <c r="K790">
        <v>43</v>
      </c>
      <c r="L790" t="s">
        <v>57</v>
      </c>
      <c r="M790">
        <v>172</v>
      </c>
      <c r="N790">
        <v>44.9</v>
      </c>
      <c r="O790">
        <v>71.099999999999994</v>
      </c>
      <c r="P790">
        <v>5.0599999999999996</v>
      </c>
      <c r="Q790">
        <v>2.66</v>
      </c>
      <c r="R790" t="s">
        <v>243</v>
      </c>
      <c r="S790" t="s">
        <v>47</v>
      </c>
      <c r="T790" t="s">
        <v>48</v>
      </c>
      <c r="U790" t="str">
        <f t="shared" si="36"/>
        <v>Normal</v>
      </c>
      <c r="V790" t="str">
        <f t="shared" si="37"/>
        <v>Normal</v>
      </c>
      <c r="W790" t="str">
        <f t="shared" si="38"/>
        <v>Normal</v>
      </c>
    </row>
    <row r="791" spans="1:23" x14ac:dyDescent="0.3">
      <c r="A791">
        <v>10364</v>
      </c>
      <c r="B791" s="2">
        <v>45846</v>
      </c>
      <c r="C791" t="s">
        <v>31</v>
      </c>
      <c r="D791" t="s">
        <v>32</v>
      </c>
      <c r="E791" t="s">
        <v>33</v>
      </c>
      <c r="F791" t="s">
        <v>41</v>
      </c>
      <c r="G791" t="s">
        <v>89</v>
      </c>
      <c r="H791" t="s">
        <v>169</v>
      </c>
      <c r="I791" t="s">
        <v>335</v>
      </c>
      <c r="J791">
        <v>1339</v>
      </c>
      <c r="K791">
        <v>10</v>
      </c>
      <c r="L791" t="s">
        <v>45</v>
      </c>
      <c r="M791">
        <v>112</v>
      </c>
      <c r="N791">
        <v>55.3</v>
      </c>
      <c r="O791">
        <v>71</v>
      </c>
      <c r="P791">
        <v>4.88</v>
      </c>
      <c r="Q791">
        <v>3.87</v>
      </c>
      <c r="R791" t="s">
        <v>240</v>
      </c>
      <c r="S791" t="s">
        <v>47</v>
      </c>
      <c r="T791" t="s">
        <v>30</v>
      </c>
      <c r="U791" t="str">
        <f t="shared" si="36"/>
        <v>Normal</v>
      </c>
      <c r="V791" t="str">
        <f t="shared" si="37"/>
        <v>Normal</v>
      </c>
      <c r="W791" t="str">
        <f t="shared" si="38"/>
        <v>Normal</v>
      </c>
    </row>
    <row r="792" spans="1:23" x14ac:dyDescent="0.3">
      <c r="A792">
        <v>10055</v>
      </c>
      <c r="B792" s="2">
        <v>45821</v>
      </c>
      <c r="C792" t="s">
        <v>20</v>
      </c>
      <c r="D792" t="s">
        <v>32</v>
      </c>
      <c r="E792" t="s">
        <v>40</v>
      </c>
      <c r="F792" t="s">
        <v>41</v>
      </c>
      <c r="G792" t="s">
        <v>74</v>
      </c>
      <c r="H792" t="s">
        <v>172</v>
      </c>
      <c r="I792" t="s">
        <v>281</v>
      </c>
      <c r="J792">
        <v>1268</v>
      </c>
      <c r="K792">
        <v>43</v>
      </c>
      <c r="L792" t="s">
        <v>71</v>
      </c>
      <c r="M792">
        <v>115</v>
      </c>
      <c r="N792">
        <v>29.7</v>
      </c>
      <c r="O792">
        <v>71</v>
      </c>
      <c r="P792">
        <v>4.21</v>
      </c>
      <c r="Q792">
        <v>2.96</v>
      </c>
      <c r="R792" t="s">
        <v>242</v>
      </c>
      <c r="S792" t="s">
        <v>73</v>
      </c>
      <c r="T792" t="s">
        <v>48</v>
      </c>
      <c r="U792" t="str">
        <f t="shared" si="36"/>
        <v>Normal</v>
      </c>
      <c r="V792" t="str">
        <f t="shared" si="37"/>
        <v>Normal</v>
      </c>
      <c r="W792" t="str">
        <f t="shared" si="38"/>
        <v>Normal</v>
      </c>
    </row>
    <row r="793" spans="1:23" x14ac:dyDescent="0.3">
      <c r="A793">
        <v>11222</v>
      </c>
      <c r="B793" s="2">
        <v>45898</v>
      </c>
      <c r="C793" t="s">
        <v>20</v>
      </c>
      <c r="D793" t="s">
        <v>59</v>
      </c>
      <c r="E793" t="s">
        <v>22</v>
      </c>
      <c r="F793" t="s">
        <v>41</v>
      </c>
      <c r="G793" t="s">
        <v>24</v>
      </c>
      <c r="H793" t="s">
        <v>165</v>
      </c>
      <c r="I793" t="s">
        <v>276</v>
      </c>
      <c r="J793">
        <v>962</v>
      </c>
      <c r="K793">
        <v>14</v>
      </c>
      <c r="L793" t="s">
        <v>68</v>
      </c>
      <c r="M793">
        <v>67</v>
      </c>
      <c r="N793">
        <v>45</v>
      </c>
      <c r="O793">
        <v>71</v>
      </c>
      <c r="P793">
        <v>5.66</v>
      </c>
      <c r="Q793">
        <v>0.18</v>
      </c>
      <c r="R793" t="s">
        <v>159</v>
      </c>
      <c r="S793" t="s">
        <v>47</v>
      </c>
      <c r="T793" t="s">
        <v>30</v>
      </c>
      <c r="U793" t="str">
        <f t="shared" si="36"/>
        <v>Normal</v>
      </c>
      <c r="V793" t="str">
        <f t="shared" si="37"/>
        <v>Normal</v>
      </c>
      <c r="W793" t="str">
        <f t="shared" si="38"/>
        <v>Normal</v>
      </c>
    </row>
    <row r="794" spans="1:23" x14ac:dyDescent="0.3">
      <c r="A794">
        <v>10855</v>
      </c>
      <c r="B794" s="2">
        <v>45710</v>
      </c>
      <c r="C794" t="s">
        <v>20</v>
      </c>
      <c r="D794" t="s">
        <v>32</v>
      </c>
      <c r="E794" t="s">
        <v>33</v>
      </c>
      <c r="F794" t="s">
        <v>81</v>
      </c>
      <c r="G794" t="s">
        <v>89</v>
      </c>
      <c r="H794" t="s">
        <v>141</v>
      </c>
      <c r="I794" t="s">
        <v>163</v>
      </c>
      <c r="J794">
        <v>457</v>
      </c>
      <c r="K794">
        <v>4</v>
      </c>
      <c r="L794" t="s">
        <v>27</v>
      </c>
      <c r="M794">
        <v>18</v>
      </c>
      <c r="N794">
        <v>37.1</v>
      </c>
      <c r="O794">
        <v>71</v>
      </c>
      <c r="P794">
        <v>4.4000000000000004</v>
      </c>
      <c r="Q794">
        <v>2.36</v>
      </c>
      <c r="R794" t="s">
        <v>130</v>
      </c>
      <c r="S794" t="s">
        <v>29</v>
      </c>
      <c r="T794" t="s">
        <v>30</v>
      </c>
      <c r="U794" t="str">
        <f t="shared" si="36"/>
        <v>Normal</v>
      </c>
      <c r="V794" t="str">
        <f t="shared" si="37"/>
        <v>Normal</v>
      </c>
      <c r="W794" t="str">
        <f t="shared" si="38"/>
        <v>Normal</v>
      </c>
    </row>
    <row r="795" spans="1:23" x14ac:dyDescent="0.3">
      <c r="A795">
        <v>10966</v>
      </c>
      <c r="B795" s="2">
        <v>45894</v>
      </c>
      <c r="C795" t="s">
        <v>31</v>
      </c>
      <c r="D795" t="s">
        <v>59</v>
      </c>
      <c r="E795" t="s">
        <v>40</v>
      </c>
      <c r="F795" t="s">
        <v>23</v>
      </c>
      <c r="G795" t="s">
        <v>109</v>
      </c>
      <c r="H795" t="s">
        <v>223</v>
      </c>
      <c r="I795" t="s">
        <v>266</v>
      </c>
      <c r="J795">
        <v>1397</v>
      </c>
      <c r="K795">
        <v>49</v>
      </c>
      <c r="L795" t="s">
        <v>45</v>
      </c>
      <c r="M795">
        <v>136</v>
      </c>
      <c r="N795">
        <v>34.799999999999997</v>
      </c>
      <c r="O795">
        <v>70.900000000000006</v>
      </c>
      <c r="P795">
        <v>4.42</v>
      </c>
      <c r="Q795">
        <v>2.44</v>
      </c>
      <c r="R795" t="s">
        <v>267</v>
      </c>
      <c r="S795" t="s">
        <v>39</v>
      </c>
      <c r="T795" t="s">
        <v>48</v>
      </c>
      <c r="U795" t="str">
        <f t="shared" si="36"/>
        <v>Normal</v>
      </c>
      <c r="V795" t="str">
        <f t="shared" si="37"/>
        <v>Normal</v>
      </c>
      <c r="W795" t="str">
        <f t="shared" si="38"/>
        <v>Normal</v>
      </c>
    </row>
    <row r="796" spans="1:23" x14ac:dyDescent="0.3">
      <c r="A796">
        <v>10044</v>
      </c>
      <c r="B796" s="2">
        <v>46022</v>
      </c>
      <c r="C796" t="s">
        <v>31</v>
      </c>
      <c r="D796" t="s">
        <v>64</v>
      </c>
      <c r="E796" t="s">
        <v>107</v>
      </c>
      <c r="F796" t="s">
        <v>23</v>
      </c>
      <c r="G796" t="s">
        <v>34</v>
      </c>
      <c r="H796" t="s">
        <v>265</v>
      </c>
      <c r="I796" t="s">
        <v>198</v>
      </c>
      <c r="J796">
        <v>966</v>
      </c>
      <c r="K796">
        <v>13</v>
      </c>
      <c r="L796" t="s">
        <v>68</v>
      </c>
      <c r="M796">
        <v>134</v>
      </c>
      <c r="N796">
        <v>42.2</v>
      </c>
      <c r="O796">
        <v>70.900000000000006</v>
      </c>
      <c r="P796">
        <v>6.56</v>
      </c>
      <c r="Q796">
        <v>3.37</v>
      </c>
      <c r="R796" t="s">
        <v>140</v>
      </c>
      <c r="S796" t="s">
        <v>73</v>
      </c>
      <c r="T796" t="s">
        <v>30</v>
      </c>
      <c r="U796" t="str">
        <f t="shared" si="36"/>
        <v>Normal</v>
      </c>
      <c r="V796" t="str">
        <f t="shared" si="37"/>
        <v>Normal</v>
      </c>
      <c r="W796" t="str">
        <f t="shared" si="38"/>
        <v>Normal</v>
      </c>
    </row>
    <row r="797" spans="1:23" x14ac:dyDescent="0.3">
      <c r="A797">
        <v>11402</v>
      </c>
      <c r="B797" s="2">
        <v>45906</v>
      </c>
      <c r="C797" t="s">
        <v>20</v>
      </c>
      <c r="D797" t="s">
        <v>59</v>
      </c>
      <c r="E797" t="s">
        <v>22</v>
      </c>
      <c r="F797" t="s">
        <v>41</v>
      </c>
      <c r="G797" t="s">
        <v>113</v>
      </c>
      <c r="H797" t="s">
        <v>78</v>
      </c>
      <c r="I797" t="s">
        <v>248</v>
      </c>
      <c r="J797">
        <v>1599</v>
      </c>
      <c r="K797">
        <v>18</v>
      </c>
      <c r="L797" t="s">
        <v>71</v>
      </c>
      <c r="M797">
        <v>72</v>
      </c>
      <c r="N797">
        <v>41.2</v>
      </c>
      <c r="O797">
        <v>70.900000000000006</v>
      </c>
      <c r="P797">
        <v>3.56</v>
      </c>
      <c r="Q797">
        <v>3.96</v>
      </c>
      <c r="R797" t="s">
        <v>243</v>
      </c>
      <c r="S797" t="s">
        <v>29</v>
      </c>
      <c r="T797" t="s">
        <v>30</v>
      </c>
      <c r="U797" t="str">
        <f t="shared" si="36"/>
        <v>Normal</v>
      </c>
      <c r="V797" t="str">
        <f t="shared" si="37"/>
        <v>Normal</v>
      </c>
      <c r="W797" t="str">
        <f t="shared" si="38"/>
        <v>Normal</v>
      </c>
    </row>
    <row r="798" spans="1:23" x14ac:dyDescent="0.3">
      <c r="A798">
        <v>11212</v>
      </c>
      <c r="B798" s="2">
        <v>45932</v>
      </c>
      <c r="C798" t="s">
        <v>31</v>
      </c>
      <c r="D798" t="s">
        <v>32</v>
      </c>
      <c r="E798" t="s">
        <v>22</v>
      </c>
      <c r="F798" t="s">
        <v>41</v>
      </c>
      <c r="G798" t="s">
        <v>54</v>
      </c>
      <c r="H798" t="s">
        <v>205</v>
      </c>
      <c r="I798" t="s">
        <v>260</v>
      </c>
      <c r="J798">
        <v>968</v>
      </c>
      <c r="K798">
        <v>6</v>
      </c>
      <c r="L798" t="s">
        <v>45</v>
      </c>
      <c r="M798">
        <v>165</v>
      </c>
      <c r="N798">
        <v>49.5</v>
      </c>
      <c r="O798">
        <v>70.900000000000006</v>
      </c>
      <c r="P798">
        <v>5.73</v>
      </c>
      <c r="Q798">
        <v>2.1</v>
      </c>
      <c r="R798" t="s">
        <v>92</v>
      </c>
      <c r="S798" t="s">
        <v>47</v>
      </c>
      <c r="T798" t="s">
        <v>30</v>
      </c>
      <c r="U798" t="str">
        <f t="shared" si="36"/>
        <v>Normal</v>
      </c>
      <c r="V798" t="str">
        <f t="shared" si="37"/>
        <v>Normal</v>
      </c>
      <c r="W798" t="str">
        <f t="shared" si="38"/>
        <v>Normal</v>
      </c>
    </row>
    <row r="799" spans="1:23" x14ac:dyDescent="0.3">
      <c r="A799">
        <v>10174</v>
      </c>
      <c r="B799" s="2">
        <v>45736</v>
      </c>
      <c r="C799" t="s">
        <v>31</v>
      </c>
      <c r="D799" t="s">
        <v>59</v>
      </c>
      <c r="E799" t="s">
        <v>40</v>
      </c>
      <c r="F799" t="s">
        <v>81</v>
      </c>
      <c r="G799" t="s">
        <v>113</v>
      </c>
      <c r="H799" t="s">
        <v>96</v>
      </c>
      <c r="I799" t="s">
        <v>384</v>
      </c>
      <c r="J799">
        <v>957</v>
      </c>
      <c r="K799">
        <v>2</v>
      </c>
      <c r="L799" t="s">
        <v>27</v>
      </c>
      <c r="M799">
        <v>102</v>
      </c>
      <c r="N799">
        <v>38.5</v>
      </c>
      <c r="O799">
        <v>70.900000000000006</v>
      </c>
      <c r="P799">
        <v>4.09</v>
      </c>
      <c r="Q799">
        <v>4.49</v>
      </c>
      <c r="R799" t="s">
        <v>267</v>
      </c>
      <c r="S799" t="s">
        <v>73</v>
      </c>
      <c r="T799" t="s">
        <v>30</v>
      </c>
      <c r="U799" t="str">
        <f t="shared" si="36"/>
        <v>Normal</v>
      </c>
      <c r="V799" t="str">
        <f t="shared" si="37"/>
        <v>Normal</v>
      </c>
      <c r="W799" t="str">
        <f t="shared" si="38"/>
        <v>Normal</v>
      </c>
    </row>
    <row r="800" spans="1:23" x14ac:dyDescent="0.3">
      <c r="A800">
        <v>10144</v>
      </c>
      <c r="B800" s="2">
        <v>45947</v>
      </c>
      <c r="C800" t="s">
        <v>49</v>
      </c>
      <c r="D800" t="s">
        <v>59</v>
      </c>
      <c r="E800" t="s">
        <v>107</v>
      </c>
      <c r="F800" t="s">
        <v>41</v>
      </c>
      <c r="G800" t="s">
        <v>74</v>
      </c>
      <c r="H800" t="s">
        <v>351</v>
      </c>
      <c r="I800" t="s">
        <v>248</v>
      </c>
      <c r="J800">
        <v>637</v>
      </c>
      <c r="K800">
        <v>7</v>
      </c>
      <c r="L800" t="s">
        <v>45</v>
      </c>
      <c r="M800">
        <v>76</v>
      </c>
      <c r="N800">
        <v>42.7</v>
      </c>
      <c r="O800">
        <v>70.900000000000006</v>
      </c>
      <c r="P800">
        <v>5.22</v>
      </c>
      <c r="Q800">
        <v>3.47</v>
      </c>
      <c r="R800" t="s">
        <v>227</v>
      </c>
      <c r="S800" t="s">
        <v>29</v>
      </c>
      <c r="T800" t="s">
        <v>30</v>
      </c>
      <c r="U800" t="str">
        <f t="shared" si="36"/>
        <v>Normal</v>
      </c>
      <c r="V800" t="str">
        <f t="shared" si="37"/>
        <v>Normal</v>
      </c>
      <c r="W800" t="str">
        <f t="shared" si="38"/>
        <v>Normal</v>
      </c>
    </row>
    <row r="801" spans="1:23" x14ac:dyDescent="0.3">
      <c r="A801">
        <v>11282</v>
      </c>
      <c r="B801" s="2">
        <v>45853</v>
      </c>
      <c r="C801" t="s">
        <v>20</v>
      </c>
      <c r="D801" t="s">
        <v>59</v>
      </c>
      <c r="E801" t="s">
        <v>40</v>
      </c>
      <c r="F801" t="s">
        <v>23</v>
      </c>
      <c r="G801" t="s">
        <v>74</v>
      </c>
      <c r="H801" t="s">
        <v>223</v>
      </c>
      <c r="I801" t="s">
        <v>149</v>
      </c>
      <c r="J801">
        <v>1490</v>
      </c>
      <c r="K801">
        <v>22</v>
      </c>
      <c r="L801" t="s">
        <v>45</v>
      </c>
      <c r="M801">
        <v>123</v>
      </c>
      <c r="N801">
        <v>32.299999999999997</v>
      </c>
      <c r="O801">
        <v>70.8</v>
      </c>
      <c r="P801">
        <v>4.8499999999999996</v>
      </c>
      <c r="Q801">
        <v>2.25</v>
      </c>
      <c r="R801" t="s">
        <v>128</v>
      </c>
      <c r="S801" t="s">
        <v>47</v>
      </c>
      <c r="T801" t="s">
        <v>30</v>
      </c>
      <c r="U801" t="str">
        <f t="shared" si="36"/>
        <v>Normal</v>
      </c>
      <c r="V801" t="str">
        <f t="shared" si="37"/>
        <v>Normal</v>
      </c>
      <c r="W801" t="str">
        <f t="shared" si="38"/>
        <v>Normal</v>
      </c>
    </row>
    <row r="802" spans="1:23" x14ac:dyDescent="0.3">
      <c r="A802">
        <v>11479</v>
      </c>
      <c r="B802" s="2">
        <v>45931</v>
      </c>
      <c r="C802" t="s">
        <v>49</v>
      </c>
      <c r="D802" t="s">
        <v>64</v>
      </c>
      <c r="E802" t="s">
        <v>22</v>
      </c>
      <c r="F802" t="s">
        <v>23</v>
      </c>
      <c r="G802" t="s">
        <v>134</v>
      </c>
      <c r="H802" t="s">
        <v>51</v>
      </c>
      <c r="I802" t="s">
        <v>331</v>
      </c>
      <c r="J802">
        <v>1408</v>
      </c>
      <c r="K802">
        <v>56</v>
      </c>
      <c r="L802" t="s">
        <v>57</v>
      </c>
      <c r="M802">
        <v>64</v>
      </c>
      <c r="N802">
        <v>51.8</v>
      </c>
      <c r="O802">
        <v>70.8</v>
      </c>
      <c r="P802">
        <v>6.11</v>
      </c>
      <c r="Q802">
        <v>3.22</v>
      </c>
      <c r="R802" t="s">
        <v>245</v>
      </c>
      <c r="S802" t="s">
        <v>29</v>
      </c>
      <c r="T802" t="s">
        <v>48</v>
      </c>
      <c r="U802" t="str">
        <f t="shared" si="36"/>
        <v>Normal</v>
      </c>
      <c r="V802" t="str">
        <f t="shared" si="37"/>
        <v>Normal</v>
      </c>
      <c r="W802" t="str">
        <f t="shared" si="38"/>
        <v>Normal</v>
      </c>
    </row>
    <row r="803" spans="1:23" x14ac:dyDescent="0.3">
      <c r="A803">
        <v>10197</v>
      </c>
      <c r="B803" s="2">
        <v>45683</v>
      </c>
      <c r="C803" t="s">
        <v>31</v>
      </c>
      <c r="D803" t="s">
        <v>21</v>
      </c>
      <c r="E803" t="s">
        <v>107</v>
      </c>
      <c r="F803" t="s">
        <v>23</v>
      </c>
      <c r="G803" t="s">
        <v>74</v>
      </c>
      <c r="H803" t="s">
        <v>278</v>
      </c>
      <c r="I803" t="s">
        <v>214</v>
      </c>
      <c r="J803">
        <v>539</v>
      </c>
      <c r="K803">
        <v>4</v>
      </c>
      <c r="L803" t="s">
        <v>68</v>
      </c>
      <c r="M803">
        <v>33</v>
      </c>
      <c r="N803">
        <v>36.299999999999997</v>
      </c>
      <c r="O803">
        <v>70.8</v>
      </c>
      <c r="P803">
        <v>5.95</v>
      </c>
      <c r="Q803">
        <v>3.09</v>
      </c>
      <c r="R803" t="s">
        <v>227</v>
      </c>
      <c r="S803" t="s">
        <v>29</v>
      </c>
      <c r="T803" t="s">
        <v>30</v>
      </c>
      <c r="U803" t="str">
        <f t="shared" si="36"/>
        <v>Normal</v>
      </c>
      <c r="V803" t="str">
        <f t="shared" si="37"/>
        <v>Normal</v>
      </c>
      <c r="W803" t="str">
        <f t="shared" si="38"/>
        <v>Normal</v>
      </c>
    </row>
    <row r="804" spans="1:23" x14ac:dyDescent="0.3">
      <c r="A804">
        <v>11294</v>
      </c>
      <c r="B804" s="2">
        <v>45889</v>
      </c>
      <c r="C804" t="s">
        <v>31</v>
      </c>
      <c r="D804" t="s">
        <v>64</v>
      </c>
      <c r="E804" t="s">
        <v>40</v>
      </c>
      <c r="F804" t="s">
        <v>23</v>
      </c>
      <c r="G804" t="s">
        <v>24</v>
      </c>
      <c r="H804" t="s">
        <v>200</v>
      </c>
      <c r="I804" t="s">
        <v>324</v>
      </c>
      <c r="J804">
        <v>618</v>
      </c>
      <c r="K804">
        <v>2</v>
      </c>
      <c r="L804" t="s">
        <v>27</v>
      </c>
      <c r="M804">
        <v>123</v>
      </c>
      <c r="N804">
        <v>50</v>
      </c>
      <c r="O804">
        <v>70.8</v>
      </c>
      <c r="P804">
        <v>4.6100000000000003</v>
      </c>
      <c r="Q804">
        <v>2.34</v>
      </c>
      <c r="R804" t="s">
        <v>155</v>
      </c>
      <c r="S804" t="s">
        <v>29</v>
      </c>
      <c r="T804" t="s">
        <v>30</v>
      </c>
      <c r="U804" t="str">
        <f t="shared" si="36"/>
        <v>Normal</v>
      </c>
      <c r="V804" t="str">
        <f t="shared" si="37"/>
        <v>Normal</v>
      </c>
      <c r="W804" t="str">
        <f t="shared" si="38"/>
        <v>Normal</v>
      </c>
    </row>
    <row r="805" spans="1:23" x14ac:dyDescent="0.3">
      <c r="A805">
        <v>10239</v>
      </c>
      <c r="B805" s="2">
        <v>45811</v>
      </c>
      <c r="C805" t="s">
        <v>49</v>
      </c>
      <c r="D805" t="s">
        <v>59</v>
      </c>
      <c r="E805" t="s">
        <v>107</v>
      </c>
      <c r="F805" t="s">
        <v>23</v>
      </c>
      <c r="G805" t="s">
        <v>109</v>
      </c>
      <c r="H805" t="s">
        <v>193</v>
      </c>
      <c r="I805" t="s">
        <v>226</v>
      </c>
      <c r="J805">
        <v>501</v>
      </c>
      <c r="K805">
        <v>6</v>
      </c>
      <c r="L805" t="s">
        <v>45</v>
      </c>
      <c r="M805">
        <v>57</v>
      </c>
      <c r="N805">
        <v>39.4</v>
      </c>
      <c r="O805">
        <v>70.8</v>
      </c>
      <c r="P805">
        <v>5.81</v>
      </c>
      <c r="Q805">
        <v>3.91</v>
      </c>
      <c r="R805" t="s">
        <v>63</v>
      </c>
      <c r="S805" t="s">
        <v>39</v>
      </c>
      <c r="T805" t="s">
        <v>30</v>
      </c>
      <c r="U805" t="str">
        <f t="shared" si="36"/>
        <v>Normal</v>
      </c>
      <c r="V805" t="str">
        <f t="shared" si="37"/>
        <v>Normal</v>
      </c>
      <c r="W805" t="str">
        <f t="shared" si="38"/>
        <v>Normal</v>
      </c>
    </row>
    <row r="806" spans="1:23" x14ac:dyDescent="0.3">
      <c r="A806">
        <v>10919</v>
      </c>
      <c r="B806" s="2">
        <v>45902</v>
      </c>
      <c r="C806" t="s">
        <v>20</v>
      </c>
      <c r="D806" t="s">
        <v>32</v>
      </c>
      <c r="E806" t="s">
        <v>33</v>
      </c>
      <c r="F806" t="s">
        <v>23</v>
      </c>
      <c r="G806" t="s">
        <v>95</v>
      </c>
      <c r="H806" t="s">
        <v>175</v>
      </c>
      <c r="I806" t="s">
        <v>225</v>
      </c>
      <c r="J806">
        <v>893</v>
      </c>
      <c r="K806">
        <v>5</v>
      </c>
      <c r="L806" t="s">
        <v>37</v>
      </c>
      <c r="M806">
        <v>76</v>
      </c>
      <c r="N806">
        <v>45.8</v>
      </c>
      <c r="O806">
        <v>70.8</v>
      </c>
      <c r="P806">
        <v>4.8</v>
      </c>
      <c r="Q806">
        <v>1.42</v>
      </c>
      <c r="R806" t="s">
        <v>125</v>
      </c>
      <c r="S806" t="s">
        <v>73</v>
      </c>
      <c r="T806" t="s">
        <v>30</v>
      </c>
      <c r="U806" t="str">
        <f t="shared" si="36"/>
        <v>Normal</v>
      </c>
      <c r="V806" t="str">
        <f t="shared" si="37"/>
        <v>Normal</v>
      </c>
      <c r="W806" t="str">
        <f t="shared" si="38"/>
        <v>Normal</v>
      </c>
    </row>
    <row r="807" spans="1:23" x14ac:dyDescent="0.3">
      <c r="A807">
        <v>11455</v>
      </c>
      <c r="B807" s="2">
        <v>45703</v>
      </c>
      <c r="C807" t="s">
        <v>49</v>
      </c>
      <c r="D807" t="s">
        <v>64</v>
      </c>
      <c r="E807" t="s">
        <v>107</v>
      </c>
      <c r="F807" t="s">
        <v>81</v>
      </c>
      <c r="G807" t="s">
        <v>50</v>
      </c>
      <c r="H807" t="s">
        <v>263</v>
      </c>
      <c r="I807" t="s">
        <v>273</v>
      </c>
      <c r="J807">
        <v>1439</v>
      </c>
      <c r="K807">
        <v>39</v>
      </c>
      <c r="L807" t="s">
        <v>68</v>
      </c>
      <c r="M807">
        <v>93</v>
      </c>
      <c r="N807">
        <v>47.8</v>
      </c>
      <c r="O807">
        <v>70.7</v>
      </c>
      <c r="P807">
        <v>4.95</v>
      </c>
      <c r="Q807">
        <v>2.57</v>
      </c>
      <c r="R807" t="s">
        <v>209</v>
      </c>
      <c r="S807" t="s">
        <v>29</v>
      </c>
      <c r="T807" t="s">
        <v>30</v>
      </c>
      <c r="U807" t="str">
        <f t="shared" si="36"/>
        <v>Normal</v>
      </c>
      <c r="V807" t="str">
        <f t="shared" si="37"/>
        <v>Normal</v>
      </c>
      <c r="W807" t="str">
        <f t="shared" si="38"/>
        <v>Normal</v>
      </c>
    </row>
    <row r="808" spans="1:23" x14ac:dyDescent="0.3">
      <c r="A808">
        <v>10048</v>
      </c>
      <c r="B808" s="2">
        <v>45813</v>
      </c>
      <c r="C808" t="s">
        <v>49</v>
      </c>
      <c r="D808" t="s">
        <v>64</v>
      </c>
      <c r="E808" t="s">
        <v>22</v>
      </c>
      <c r="F808" t="s">
        <v>23</v>
      </c>
      <c r="G808" t="s">
        <v>34</v>
      </c>
      <c r="H808" t="s">
        <v>161</v>
      </c>
      <c r="I808" t="s">
        <v>269</v>
      </c>
      <c r="J808">
        <v>1159</v>
      </c>
      <c r="K808">
        <v>3</v>
      </c>
      <c r="L808" t="s">
        <v>37</v>
      </c>
      <c r="M808">
        <v>152</v>
      </c>
      <c r="N808">
        <v>36.4</v>
      </c>
      <c r="O808">
        <v>70.7</v>
      </c>
      <c r="P808">
        <v>5.2</v>
      </c>
      <c r="Q808">
        <v>2.97</v>
      </c>
      <c r="R808" t="s">
        <v>38</v>
      </c>
      <c r="S808" t="s">
        <v>47</v>
      </c>
      <c r="T808" t="s">
        <v>30</v>
      </c>
      <c r="U808" t="str">
        <f t="shared" si="36"/>
        <v>Normal</v>
      </c>
      <c r="V808" t="str">
        <f t="shared" si="37"/>
        <v>Normal</v>
      </c>
      <c r="W808" t="str">
        <f t="shared" si="38"/>
        <v>Normal</v>
      </c>
    </row>
    <row r="809" spans="1:23" x14ac:dyDescent="0.3">
      <c r="A809">
        <v>10001</v>
      </c>
      <c r="B809" s="2">
        <v>45872</v>
      </c>
      <c r="C809" t="s">
        <v>31</v>
      </c>
      <c r="D809" t="s">
        <v>32</v>
      </c>
      <c r="E809" t="s">
        <v>107</v>
      </c>
      <c r="F809" t="s">
        <v>23</v>
      </c>
      <c r="G809" t="s">
        <v>134</v>
      </c>
      <c r="H809" t="s">
        <v>424</v>
      </c>
      <c r="I809" t="s">
        <v>124</v>
      </c>
      <c r="J809">
        <v>1576</v>
      </c>
      <c r="K809">
        <v>19</v>
      </c>
      <c r="L809" t="s">
        <v>37</v>
      </c>
      <c r="M809">
        <v>154</v>
      </c>
      <c r="N809">
        <v>42.6</v>
      </c>
      <c r="O809">
        <v>70.7</v>
      </c>
      <c r="P809">
        <v>5.22</v>
      </c>
      <c r="Q809">
        <v>2.33</v>
      </c>
      <c r="R809" t="s">
        <v>80</v>
      </c>
      <c r="S809" t="s">
        <v>47</v>
      </c>
      <c r="T809" t="s">
        <v>30</v>
      </c>
      <c r="U809" t="str">
        <f t="shared" si="36"/>
        <v>Normal</v>
      </c>
      <c r="V809" t="str">
        <f t="shared" si="37"/>
        <v>Normal</v>
      </c>
      <c r="W809" t="str">
        <f t="shared" si="38"/>
        <v>Normal</v>
      </c>
    </row>
    <row r="810" spans="1:23" x14ac:dyDescent="0.3">
      <c r="A810">
        <v>10484</v>
      </c>
      <c r="B810" s="2">
        <v>45985</v>
      </c>
      <c r="C810" t="s">
        <v>20</v>
      </c>
      <c r="D810" t="s">
        <v>21</v>
      </c>
      <c r="E810" t="s">
        <v>33</v>
      </c>
      <c r="F810" t="s">
        <v>41</v>
      </c>
      <c r="G810" t="s">
        <v>24</v>
      </c>
      <c r="H810" t="s">
        <v>101</v>
      </c>
      <c r="I810" t="s">
        <v>244</v>
      </c>
      <c r="J810">
        <v>1538</v>
      </c>
      <c r="K810">
        <v>39</v>
      </c>
      <c r="L810" t="s">
        <v>37</v>
      </c>
      <c r="M810">
        <v>109</v>
      </c>
      <c r="N810">
        <v>47.8</v>
      </c>
      <c r="O810">
        <v>70.7</v>
      </c>
      <c r="P810">
        <v>6.16</v>
      </c>
      <c r="Q810">
        <v>2.81</v>
      </c>
      <c r="R810" t="s">
        <v>147</v>
      </c>
      <c r="S810" t="s">
        <v>47</v>
      </c>
      <c r="T810" t="s">
        <v>30</v>
      </c>
      <c r="U810" t="str">
        <f t="shared" si="36"/>
        <v>Normal</v>
      </c>
      <c r="V810" t="str">
        <f t="shared" si="37"/>
        <v>Normal</v>
      </c>
      <c r="W810" t="str">
        <f t="shared" si="38"/>
        <v>Normal</v>
      </c>
    </row>
    <row r="811" spans="1:23" x14ac:dyDescent="0.3">
      <c r="A811">
        <v>10396</v>
      </c>
      <c r="B811" s="2">
        <v>45866</v>
      </c>
      <c r="C811" t="s">
        <v>49</v>
      </c>
      <c r="D811" t="s">
        <v>21</v>
      </c>
      <c r="E811" t="s">
        <v>22</v>
      </c>
      <c r="F811" t="s">
        <v>23</v>
      </c>
      <c r="G811" t="s">
        <v>95</v>
      </c>
      <c r="H811" t="s">
        <v>126</v>
      </c>
      <c r="I811" t="s">
        <v>355</v>
      </c>
      <c r="J811">
        <v>728</v>
      </c>
      <c r="K811">
        <v>2</v>
      </c>
      <c r="L811" t="s">
        <v>68</v>
      </c>
      <c r="M811">
        <v>172</v>
      </c>
      <c r="N811">
        <v>36.9</v>
      </c>
      <c r="O811">
        <v>70.7</v>
      </c>
      <c r="P811">
        <v>5.78</v>
      </c>
      <c r="Q811">
        <v>4.3899999999999997</v>
      </c>
      <c r="R811" t="s">
        <v>119</v>
      </c>
      <c r="S811" t="s">
        <v>47</v>
      </c>
      <c r="T811" t="s">
        <v>30</v>
      </c>
      <c r="U811" t="str">
        <f t="shared" si="36"/>
        <v>Normal</v>
      </c>
      <c r="V811" t="str">
        <f t="shared" si="37"/>
        <v>Normal</v>
      </c>
      <c r="W811" t="str">
        <f t="shared" si="38"/>
        <v>Normal</v>
      </c>
    </row>
    <row r="812" spans="1:23" x14ac:dyDescent="0.3">
      <c r="A812">
        <v>10996</v>
      </c>
      <c r="B812" s="2">
        <v>45749</v>
      </c>
      <c r="C812" t="s">
        <v>49</v>
      </c>
      <c r="D812" t="s">
        <v>21</v>
      </c>
      <c r="E812" t="s">
        <v>22</v>
      </c>
      <c r="F812" t="s">
        <v>41</v>
      </c>
      <c r="G812" t="s">
        <v>54</v>
      </c>
      <c r="H812" t="s">
        <v>99</v>
      </c>
      <c r="I812" t="s">
        <v>173</v>
      </c>
      <c r="J812">
        <v>1466</v>
      </c>
      <c r="K812">
        <v>18</v>
      </c>
      <c r="L812" t="s">
        <v>27</v>
      </c>
      <c r="M812">
        <v>179</v>
      </c>
      <c r="N812">
        <v>42.7</v>
      </c>
      <c r="O812">
        <v>70.7</v>
      </c>
      <c r="P812">
        <v>3.85</v>
      </c>
      <c r="Q812">
        <v>1.63</v>
      </c>
      <c r="R812" t="s">
        <v>152</v>
      </c>
      <c r="S812" t="s">
        <v>29</v>
      </c>
      <c r="T812" t="s">
        <v>30</v>
      </c>
      <c r="U812" t="str">
        <f t="shared" si="36"/>
        <v>Normal</v>
      </c>
      <c r="V812" t="str">
        <f t="shared" si="37"/>
        <v>Normal</v>
      </c>
      <c r="W812" t="str">
        <f t="shared" si="38"/>
        <v>Normal</v>
      </c>
    </row>
    <row r="813" spans="1:23" x14ac:dyDescent="0.3">
      <c r="A813">
        <v>10482</v>
      </c>
      <c r="B813" s="2">
        <v>45912</v>
      </c>
      <c r="C813" t="s">
        <v>49</v>
      </c>
      <c r="D813" t="s">
        <v>59</v>
      </c>
      <c r="E813" t="s">
        <v>40</v>
      </c>
      <c r="F813" t="s">
        <v>81</v>
      </c>
      <c r="G813" t="s">
        <v>74</v>
      </c>
      <c r="H813" t="s">
        <v>69</v>
      </c>
      <c r="I813" t="s">
        <v>276</v>
      </c>
      <c r="J813">
        <v>646</v>
      </c>
      <c r="K813">
        <v>4</v>
      </c>
      <c r="L813" t="s">
        <v>57</v>
      </c>
      <c r="M813">
        <v>112</v>
      </c>
      <c r="N813">
        <v>38.5</v>
      </c>
      <c r="O813">
        <v>70.599999999999994</v>
      </c>
      <c r="P813">
        <v>5.92</v>
      </c>
      <c r="Q813">
        <v>1.96</v>
      </c>
      <c r="R813" t="s">
        <v>53</v>
      </c>
      <c r="S813" t="s">
        <v>47</v>
      </c>
      <c r="T813" t="s">
        <v>30</v>
      </c>
      <c r="U813" t="str">
        <f t="shared" si="36"/>
        <v>Normal</v>
      </c>
      <c r="V813" t="str">
        <f t="shared" si="37"/>
        <v>Normal</v>
      </c>
      <c r="W813" t="str">
        <f t="shared" si="38"/>
        <v>Normal</v>
      </c>
    </row>
    <row r="814" spans="1:23" x14ac:dyDescent="0.3">
      <c r="A814">
        <v>10890</v>
      </c>
      <c r="B814" s="2">
        <v>45890</v>
      </c>
      <c r="C814" t="s">
        <v>31</v>
      </c>
      <c r="D814" t="s">
        <v>32</v>
      </c>
      <c r="E814" t="s">
        <v>33</v>
      </c>
      <c r="F814" t="s">
        <v>23</v>
      </c>
      <c r="G814" t="s">
        <v>89</v>
      </c>
      <c r="H814" t="s">
        <v>35</v>
      </c>
      <c r="I814" t="s">
        <v>315</v>
      </c>
      <c r="J814">
        <v>1264</v>
      </c>
      <c r="K814">
        <v>17</v>
      </c>
      <c r="L814" t="s">
        <v>27</v>
      </c>
      <c r="M814">
        <v>82</v>
      </c>
      <c r="N814">
        <v>23.7</v>
      </c>
      <c r="O814">
        <v>70.599999999999994</v>
      </c>
      <c r="P814">
        <v>5.2</v>
      </c>
      <c r="Q814">
        <v>1.18</v>
      </c>
      <c r="R814" t="s">
        <v>147</v>
      </c>
      <c r="S814" t="s">
        <v>39</v>
      </c>
      <c r="T814" t="s">
        <v>30</v>
      </c>
      <c r="U814" t="str">
        <f t="shared" si="36"/>
        <v>Normal</v>
      </c>
      <c r="V814" t="str">
        <f t="shared" si="37"/>
        <v>Normal</v>
      </c>
      <c r="W814" t="str">
        <f t="shared" si="38"/>
        <v>Normal</v>
      </c>
    </row>
    <row r="815" spans="1:23" x14ac:dyDescent="0.3">
      <c r="A815">
        <v>10372</v>
      </c>
      <c r="B815" s="2">
        <v>45813</v>
      </c>
      <c r="C815" t="s">
        <v>20</v>
      </c>
      <c r="D815" t="s">
        <v>32</v>
      </c>
      <c r="E815" t="s">
        <v>22</v>
      </c>
      <c r="F815" t="s">
        <v>41</v>
      </c>
      <c r="G815" t="s">
        <v>109</v>
      </c>
      <c r="H815" t="s">
        <v>78</v>
      </c>
      <c r="I815" t="s">
        <v>225</v>
      </c>
      <c r="J815">
        <v>1200</v>
      </c>
      <c r="K815">
        <v>32</v>
      </c>
      <c r="L815" t="s">
        <v>68</v>
      </c>
      <c r="M815">
        <v>125</v>
      </c>
      <c r="N815">
        <v>30.2</v>
      </c>
      <c r="O815">
        <v>70.599999999999994</v>
      </c>
      <c r="P815">
        <v>4.6900000000000004</v>
      </c>
      <c r="Q815">
        <v>3.44</v>
      </c>
      <c r="R815" t="s">
        <v>140</v>
      </c>
      <c r="S815" t="s">
        <v>29</v>
      </c>
      <c r="T815" t="s">
        <v>30</v>
      </c>
      <c r="U815" t="str">
        <f t="shared" si="36"/>
        <v>Normal</v>
      </c>
      <c r="V815" t="str">
        <f t="shared" si="37"/>
        <v>Normal</v>
      </c>
      <c r="W815" t="str">
        <f t="shared" si="38"/>
        <v>Normal</v>
      </c>
    </row>
    <row r="816" spans="1:23" x14ac:dyDescent="0.3">
      <c r="A816">
        <v>10059</v>
      </c>
      <c r="B816" s="2">
        <v>45765</v>
      </c>
      <c r="C816" t="s">
        <v>49</v>
      </c>
      <c r="D816" t="s">
        <v>59</v>
      </c>
      <c r="E816" t="s">
        <v>40</v>
      </c>
      <c r="F816" t="s">
        <v>41</v>
      </c>
      <c r="G816" t="s">
        <v>42</v>
      </c>
      <c r="H816" t="s">
        <v>55</v>
      </c>
      <c r="I816" t="s">
        <v>197</v>
      </c>
      <c r="J816">
        <v>946</v>
      </c>
      <c r="K816">
        <v>9</v>
      </c>
      <c r="L816" t="s">
        <v>27</v>
      </c>
      <c r="M816">
        <v>145</v>
      </c>
      <c r="N816">
        <v>46.5</v>
      </c>
      <c r="O816">
        <v>70.599999999999994</v>
      </c>
      <c r="P816">
        <v>5.18</v>
      </c>
      <c r="Q816">
        <v>2.19</v>
      </c>
      <c r="R816" t="s">
        <v>227</v>
      </c>
      <c r="S816" t="s">
        <v>47</v>
      </c>
      <c r="T816" t="s">
        <v>30</v>
      </c>
      <c r="U816" t="str">
        <f t="shared" si="36"/>
        <v>Normal</v>
      </c>
      <c r="V816" t="str">
        <f t="shared" si="37"/>
        <v>Normal</v>
      </c>
      <c r="W816" t="str">
        <f t="shared" si="38"/>
        <v>Normal</v>
      </c>
    </row>
    <row r="817" spans="1:23" x14ac:dyDescent="0.3">
      <c r="A817">
        <v>10355</v>
      </c>
      <c r="B817" s="2">
        <v>45967</v>
      </c>
      <c r="C817" t="s">
        <v>49</v>
      </c>
      <c r="D817" t="s">
        <v>64</v>
      </c>
      <c r="E817" t="s">
        <v>40</v>
      </c>
      <c r="F817" t="s">
        <v>23</v>
      </c>
      <c r="G817" t="s">
        <v>50</v>
      </c>
      <c r="H817" t="s">
        <v>215</v>
      </c>
      <c r="I817" t="s">
        <v>333</v>
      </c>
      <c r="J817">
        <v>747</v>
      </c>
      <c r="K817">
        <v>47</v>
      </c>
      <c r="L817" t="s">
        <v>27</v>
      </c>
      <c r="M817">
        <v>50</v>
      </c>
      <c r="N817">
        <v>42.3</v>
      </c>
      <c r="O817">
        <v>70.599999999999994</v>
      </c>
      <c r="P817">
        <v>5.39</v>
      </c>
      <c r="Q817">
        <v>1.47</v>
      </c>
      <c r="R817" t="s">
        <v>159</v>
      </c>
      <c r="S817" t="s">
        <v>39</v>
      </c>
      <c r="T817" t="s">
        <v>48</v>
      </c>
      <c r="U817" t="str">
        <f t="shared" si="36"/>
        <v>Normal</v>
      </c>
      <c r="V817" t="str">
        <f t="shared" si="37"/>
        <v>Normal</v>
      </c>
      <c r="W817" t="str">
        <f t="shared" si="38"/>
        <v>Normal</v>
      </c>
    </row>
    <row r="818" spans="1:23" x14ac:dyDescent="0.3">
      <c r="A818">
        <v>10580</v>
      </c>
      <c r="B818" s="2">
        <v>45938</v>
      </c>
      <c r="C818" t="s">
        <v>49</v>
      </c>
      <c r="D818" t="s">
        <v>59</v>
      </c>
      <c r="E818" t="s">
        <v>33</v>
      </c>
      <c r="F818" t="s">
        <v>81</v>
      </c>
      <c r="G818" t="s">
        <v>50</v>
      </c>
      <c r="H818" t="s">
        <v>55</v>
      </c>
      <c r="I818" t="s">
        <v>354</v>
      </c>
      <c r="J818">
        <v>927</v>
      </c>
      <c r="K818">
        <v>9</v>
      </c>
      <c r="L818" t="s">
        <v>68</v>
      </c>
      <c r="M818">
        <v>170</v>
      </c>
      <c r="N818">
        <v>50.9</v>
      </c>
      <c r="O818">
        <v>70.599999999999994</v>
      </c>
      <c r="P818">
        <v>7.77</v>
      </c>
      <c r="Q818">
        <v>1.91</v>
      </c>
      <c r="R818" t="s">
        <v>38</v>
      </c>
      <c r="S818" t="s">
        <v>39</v>
      </c>
      <c r="T818" t="s">
        <v>30</v>
      </c>
      <c r="U818" t="str">
        <f t="shared" si="36"/>
        <v>Normal</v>
      </c>
      <c r="V818" t="str">
        <f t="shared" si="37"/>
        <v>Normal</v>
      </c>
      <c r="W818" t="str">
        <f t="shared" si="38"/>
        <v>Normal</v>
      </c>
    </row>
    <row r="819" spans="1:23" x14ac:dyDescent="0.3">
      <c r="A819">
        <v>10949</v>
      </c>
      <c r="B819" s="2">
        <v>45857</v>
      </c>
      <c r="C819" t="s">
        <v>31</v>
      </c>
      <c r="D819" t="s">
        <v>32</v>
      </c>
      <c r="E819" t="s">
        <v>22</v>
      </c>
      <c r="F819" t="s">
        <v>23</v>
      </c>
      <c r="G819" t="s">
        <v>24</v>
      </c>
      <c r="H819" t="s">
        <v>35</v>
      </c>
      <c r="I819" t="s">
        <v>151</v>
      </c>
      <c r="J819">
        <v>841</v>
      </c>
      <c r="K819">
        <v>20</v>
      </c>
      <c r="L819" t="s">
        <v>27</v>
      </c>
      <c r="M819">
        <v>49</v>
      </c>
      <c r="N819">
        <v>38.1</v>
      </c>
      <c r="O819">
        <v>70.599999999999994</v>
      </c>
      <c r="P819">
        <v>5.31</v>
      </c>
      <c r="Q819">
        <v>3.2</v>
      </c>
      <c r="R819" t="s">
        <v>140</v>
      </c>
      <c r="S819" t="s">
        <v>47</v>
      </c>
      <c r="T819" t="s">
        <v>30</v>
      </c>
      <c r="U819" t="str">
        <f t="shared" si="36"/>
        <v>Normal</v>
      </c>
      <c r="V819" t="str">
        <f t="shared" si="37"/>
        <v>Normal</v>
      </c>
      <c r="W819" t="str">
        <f t="shared" si="38"/>
        <v>Normal</v>
      </c>
    </row>
    <row r="820" spans="1:23" x14ac:dyDescent="0.3">
      <c r="A820">
        <v>11355</v>
      </c>
      <c r="B820" s="2">
        <v>45965</v>
      </c>
      <c r="C820" t="s">
        <v>31</v>
      </c>
      <c r="D820" t="s">
        <v>59</v>
      </c>
      <c r="E820" t="s">
        <v>22</v>
      </c>
      <c r="F820" t="s">
        <v>41</v>
      </c>
      <c r="G820" t="s">
        <v>24</v>
      </c>
      <c r="H820" t="s">
        <v>213</v>
      </c>
      <c r="I820" t="s">
        <v>313</v>
      </c>
      <c r="J820">
        <v>1367</v>
      </c>
      <c r="K820">
        <v>12</v>
      </c>
      <c r="L820" t="s">
        <v>71</v>
      </c>
      <c r="M820">
        <v>148</v>
      </c>
      <c r="N820">
        <v>48.7</v>
      </c>
      <c r="O820">
        <v>70.599999999999994</v>
      </c>
      <c r="P820">
        <v>5.44</v>
      </c>
      <c r="Q820">
        <v>0.56000000000000005</v>
      </c>
      <c r="R820" t="s">
        <v>28</v>
      </c>
      <c r="S820" t="s">
        <v>73</v>
      </c>
      <c r="T820" t="s">
        <v>30</v>
      </c>
      <c r="U820" t="str">
        <f t="shared" si="36"/>
        <v>Normal</v>
      </c>
      <c r="V820" t="str">
        <f t="shared" si="37"/>
        <v>Normal</v>
      </c>
      <c r="W820" t="str">
        <f t="shared" si="38"/>
        <v>Normal</v>
      </c>
    </row>
    <row r="821" spans="1:23" x14ac:dyDescent="0.3">
      <c r="A821">
        <v>11149</v>
      </c>
      <c r="B821" s="2">
        <v>45836</v>
      </c>
      <c r="C821" t="s">
        <v>20</v>
      </c>
      <c r="D821" t="s">
        <v>59</v>
      </c>
      <c r="E821" t="s">
        <v>33</v>
      </c>
      <c r="F821" t="s">
        <v>41</v>
      </c>
      <c r="G821" t="s">
        <v>24</v>
      </c>
      <c r="H821" t="s">
        <v>205</v>
      </c>
      <c r="I821" t="s">
        <v>380</v>
      </c>
      <c r="J821">
        <v>466</v>
      </c>
      <c r="K821">
        <v>6</v>
      </c>
      <c r="L821" t="s">
        <v>45</v>
      </c>
      <c r="M821">
        <v>86</v>
      </c>
      <c r="N821">
        <v>38.1</v>
      </c>
      <c r="O821">
        <v>70.599999999999994</v>
      </c>
      <c r="P821">
        <v>5.59</v>
      </c>
      <c r="Q821">
        <v>2.4700000000000002</v>
      </c>
      <c r="R821" t="s">
        <v>159</v>
      </c>
      <c r="S821" t="s">
        <v>73</v>
      </c>
      <c r="T821" t="s">
        <v>30</v>
      </c>
      <c r="U821" t="str">
        <f t="shared" si="36"/>
        <v>Normal</v>
      </c>
      <c r="V821" t="str">
        <f t="shared" si="37"/>
        <v>Normal</v>
      </c>
      <c r="W821" t="str">
        <f t="shared" si="38"/>
        <v>Normal</v>
      </c>
    </row>
    <row r="822" spans="1:23" x14ac:dyDescent="0.3">
      <c r="A822">
        <v>11291</v>
      </c>
      <c r="B822" s="2">
        <v>45894</v>
      </c>
      <c r="C822" t="s">
        <v>31</v>
      </c>
      <c r="D822" t="s">
        <v>59</v>
      </c>
      <c r="E822" t="s">
        <v>40</v>
      </c>
      <c r="F822" t="s">
        <v>81</v>
      </c>
      <c r="G822" t="s">
        <v>95</v>
      </c>
      <c r="H822" t="s">
        <v>351</v>
      </c>
      <c r="I822" t="s">
        <v>358</v>
      </c>
      <c r="J822">
        <v>1291</v>
      </c>
      <c r="K822">
        <v>44</v>
      </c>
      <c r="L822" t="s">
        <v>57</v>
      </c>
      <c r="M822">
        <v>17</v>
      </c>
      <c r="N822">
        <v>45.4</v>
      </c>
      <c r="O822">
        <v>70.599999999999994</v>
      </c>
      <c r="P822">
        <v>4.8</v>
      </c>
      <c r="Q822">
        <v>3.63</v>
      </c>
      <c r="R822" t="s">
        <v>105</v>
      </c>
      <c r="S822" t="s">
        <v>47</v>
      </c>
      <c r="T822" t="s">
        <v>48</v>
      </c>
      <c r="U822" t="str">
        <f t="shared" si="36"/>
        <v>Normal</v>
      </c>
      <c r="V822" t="str">
        <f t="shared" si="37"/>
        <v>Normal</v>
      </c>
      <c r="W822" t="str">
        <f t="shared" si="38"/>
        <v>Normal</v>
      </c>
    </row>
    <row r="823" spans="1:23" x14ac:dyDescent="0.3">
      <c r="A823">
        <v>10780</v>
      </c>
      <c r="B823" s="2">
        <v>45706</v>
      </c>
      <c r="C823" t="s">
        <v>31</v>
      </c>
      <c r="D823" t="s">
        <v>64</v>
      </c>
      <c r="E823" t="s">
        <v>22</v>
      </c>
      <c r="F823" t="s">
        <v>41</v>
      </c>
      <c r="G823" t="s">
        <v>89</v>
      </c>
      <c r="H823" t="s">
        <v>223</v>
      </c>
      <c r="I823" t="s">
        <v>173</v>
      </c>
      <c r="J823">
        <v>1219</v>
      </c>
      <c r="K823">
        <v>6</v>
      </c>
      <c r="L823" t="s">
        <v>68</v>
      </c>
      <c r="M823">
        <v>116</v>
      </c>
      <c r="N823">
        <v>40.299999999999997</v>
      </c>
      <c r="O823">
        <v>70.599999999999994</v>
      </c>
      <c r="P823">
        <v>6.19</v>
      </c>
      <c r="Q823">
        <v>1.93</v>
      </c>
      <c r="R823" t="s">
        <v>179</v>
      </c>
      <c r="S823" t="s">
        <v>29</v>
      </c>
      <c r="T823" t="s">
        <v>30</v>
      </c>
      <c r="U823" t="str">
        <f t="shared" si="36"/>
        <v>Normal</v>
      </c>
      <c r="V823" t="str">
        <f t="shared" si="37"/>
        <v>Normal</v>
      </c>
      <c r="W823" t="str">
        <f t="shared" si="38"/>
        <v>Normal</v>
      </c>
    </row>
    <row r="824" spans="1:23" x14ac:dyDescent="0.3">
      <c r="A824">
        <v>11338</v>
      </c>
      <c r="B824" s="2">
        <v>45700</v>
      </c>
      <c r="C824" t="s">
        <v>31</v>
      </c>
      <c r="D824" t="s">
        <v>64</v>
      </c>
      <c r="E824" t="s">
        <v>107</v>
      </c>
      <c r="F824" t="s">
        <v>23</v>
      </c>
      <c r="G824" t="s">
        <v>50</v>
      </c>
      <c r="H824" t="s">
        <v>114</v>
      </c>
      <c r="I824" t="s">
        <v>135</v>
      </c>
      <c r="J824">
        <v>1051</v>
      </c>
      <c r="K824">
        <v>11</v>
      </c>
      <c r="L824" t="s">
        <v>37</v>
      </c>
      <c r="M824">
        <v>52</v>
      </c>
      <c r="N824">
        <v>48.2</v>
      </c>
      <c r="O824">
        <v>70.599999999999994</v>
      </c>
      <c r="P824">
        <v>4.79</v>
      </c>
      <c r="Q824">
        <v>3.84</v>
      </c>
      <c r="R824" t="s">
        <v>186</v>
      </c>
      <c r="S824" t="s">
        <v>47</v>
      </c>
      <c r="T824" t="s">
        <v>30</v>
      </c>
      <c r="U824" t="str">
        <f t="shared" si="36"/>
        <v>Normal</v>
      </c>
      <c r="V824" t="str">
        <f t="shared" si="37"/>
        <v>Normal</v>
      </c>
      <c r="W824" t="str">
        <f t="shared" si="38"/>
        <v>Normal</v>
      </c>
    </row>
    <row r="825" spans="1:23" x14ac:dyDescent="0.3">
      <c r="A825">
        <v>11280</v>
      </c>
      <c r="B825" s="2">
        <v>45727</v>
      </c>
      <c r="C825" t="s">
        <v>31</v>
      </c>
      <c r="D825" t="s">
        <v>32</v>
      </c>
      <c r="E825" t="s">
        <v>107</v>
      </c>
      <c r="F825" t="s">
        <v>41</v>
      </c>
      <c r="G825" t="s">
        <v>109</v>
      </c>
      <c r="H825" t="s">
        <v>123</v>
      </c>
      <c r="I825" t="s">
        <v>168</v>
      </c>
      <c r="J825">
        <v>894</v>
      </c>
      <c r="K825">
        <v>13</v>
      </c>
      <c r="L825" t="s">
        <v>68</v>
      </c>
      <c r="M825">
        <v>162</v>
      </c>
      <c r="N825">
        <v>42.9</v>
      </c>
      <c r="O825">
        <v>70.5</v>
      </c>
      <c r="P825">
        <v>6.1</v>
      </c>
      <c r="Q825">
        <v>2.63</v>
      </c>
      <c r="R825" t="s">
        <v>53</v>
      </c>
      <c r="S825" t="s">
        <v>39</v>
      </c>
      <c r="T825" t="s">
        <v>30</v>
      </c>
      <c r="U825" t="str">
        <f t="shared" si="36"/>
        <v>Normal</v>
      </c>
      <c r="V825" t="str">
        <f t="shared" si="37"/>
        <v>Normal</v>
      </c>
      <c r="W825" t="str">
        <f t="shared" si="38"/>
        <v>Normal</v>
      </c>
    </row>
    <row r="826" spans="1:23" x14ac:dyDescent="0.3">
      <c r="A826">
        <v>11102</v>
      </c>
      <c r="B826" s="2">
        <v>46008</v>
      </c>
      <c r="C826" t="s">
        <v>31</v>
      </c>
      <c r="D826" t="s">
        <v>32</v>
      </c>
      <c r="E826" t="s">
        <v>107</v>
      </c>
      <c r="F826" t="s">
        <v>23</v>
      </c>
      <c r="G826" t="s">
        <v>60</v>
      </c>
      <c r="H826" t="s">
        <v>144</v>
      </c>
      <c r="I826" t="s">
        <v>97</v>
      </c>
      <c r="J826">
        <v>618</v>
      </c>
      <c r="K826">
        <v>3</v>
      </c>
      <c r="L826" t="s">
        <v>71</v>
      </c>
      <c r="M826">
        <v>32</v>
      </c>
      <c r="N826">
        <v>35.799999999999997</v>
      </c>
      <c r="O826">
        <v>70.5</v>
      </c>
      <c r="P826">
        <v>5.21</v>
      </c>
      <c r="Q826">
        <v>3.77</v>
      </c>
      <c r="R826" t="s">
        <v>195</v>
      </c>
      <c r="S826" t="s">
        <v>39</v>
      </c>
      <c r="T826" t="s">
        <v>30</v>
      </c>
      <c r="U826" t="str">
        <f t="shared" si="36"/>
        <v>Normal</v>
      </c>
      <c r="V826" t="str">
        <f t="shared" si="37"/>
        <v>Normal</v>
      </c>
      <c r="W826" t="str">
        <f t="shared" si="38"/>
        <v>Normal</v>
      </c>
    </row>
    <row r="827" spans="1:23" x14ac:dyDescent="0.3">
      <c r="A827">
        <v>10166</v>
      </c>
      <c r="B827" s="2">
        <v>45930</v>
      </c>
      <c r="C827" t="s">
        <v>31</v>
      </c>
      <c r="D827" t="s">
        <v>64</v>
      </c>
      <c r="E827" t="s">
        <v>40</v>
      </c>
      <c r="F827" t="s">
        <v>41</v>
      </c>
      <c r="G827" t="s">
        <v>74</v>
      </c>
      <c r="H827" t="s">
        <v>35</v>
      </c>
      <c r="I827" t="s">
        <v>301</v>
      </c>
      <c r="J827">
        <v>611</v>
      </c>
      <c r="K827">
        <v>7</v>
      </c>
      <c r="L827" t="s">
        <v>45</v>
      </c>
      <c r="M827">
        <v>55</v>
      </c>
      <c r="N827">
        <v>46.2</v>
      </c>
      <c r="O827">
        <v>70.5</v>
      </c>
      <c r="P827">
        <v>5.63</v>
      </c>
      <c r="Q827">
        <v>3.78</v>
      </c>
      <c r="R827" t="s">
        <v>202</v>
      </c>
      <c r="S827" t="s">
        <v>39</v>
      </c>
      <c r="T827" t="s">
        <v>30</v>
      </c>
      <c r="U827" t="str">
        <f t="shared" si="36"/>
        <v>Normal</v>
      </c>
      <c r="V827" t="str">
        <f t="shared" si="37"/>
        <v>Normal</v>
      </c>
      <c r="W827" t="str">
        <f t="shared" si="38"/>
        <v>Normal</v>
      </c>
    </row>
    <row r="828" spans="1:23" x14ac:dyDescent="0.3">
      <c r="A828">
        <v>11122</v>
      </c>
      <c r="B828" s="2">
        <v>45783</v>
      </c>
      <c r="C828" t="s">
        <v>31</v>
      </c>
      <c r="D828" t="s">
        <v>21</v>
      </c>
      <c r="E828" t="s">
        <v>33</v>
      </c>
      <c r="F828" t="s">
        <v>81</v>
      </c>
      <c r="G828" t="s">
        <v>134</v>
      </c>
      <c r="H828" t="s">
        <v>141</v>
      </c>
      <c r="I828" t="s">
        <v>275</v>
      </c>
      <c r="J828">
        <v>1227</v>
      </c>
      <c r="K828">
        <v>4</v>
      </c>
      <c r="L828" t="s">
        <v>68</v>
      </c>
      <c r="M828">
        <v>53</v>
      </c>
      <c r="N828">
        <v>39.799999999999997</v>
      </c>
      <c r="O828">
        <v>70.5</v>
      </c>
      <c r="P828">
        <v>5.97</v>
      </c>
      <c r="Q828">
        <v>2.64</v>
      </c>
      <c r="R828" t="s">
        <v>133</v>
      </c>
      <c r="S828" t="s">
        <v>29</v>
      </c>
      <c r="T828" t="s">
        <v>30</v>
      </c>
      <c r="U828" t="str">
        <f t="shared" si="36"/>
        <v>Normal</v>
      </c>
      <c r="V828" t="str">
        <f t="shared" si="37"/>
        <v>Normal</v>
      </c>
      <c r="W828" t="str">
        <f t="shared" si="38"/>
        <v>Normal</v>
      </c>
    </row>
    <row r="829" spans="1:23" x14ac:dyDescent="0.3">
      <c r="A829">
        <v>10170</v>
      </c>
      <c r="B829" s="2">
        <v>45669</v>
      </c>
      <c r="C829" t="s">
        <v>49</v>
      </c>
      <c r="D829" t="s">
        <v>64</v>
      </c>
      <c r="E829" t="s">
        <v>40</v>
      </c>
      <c r="F829" t="s">
        <v>23</v>
      </c>
      <c r="G829" t="s">
        <v>54</v>
      </c>
      <c r="H829" t="s">
        <v>51</v>
      </c>
      <c r="I829" t="s">
        <v>118</v>
      </c>
      <c r="J829">
        <v>1464</v>
      </c>
      <c r="K829">
        <v>20</v>
      </c>
      <c r="L829" t="s">
        <v>45</v>
      </c>
      <c r="M829">
        <v>101</v>
      </c>
      <c r="N829">
        <v>49.1</v>
      </c>
      <c r="O829">
        <v>70.5</v>
      </c>
      <c r="P829">
        <v>4.05</v>
      </c>
      <c r="Q829">
        <v>3.46</v>
      </c>
      <c r="R829" t="s">
        <v>111</v>
      </c>
      <c r="S829" t="s">
        <v>29</v>
      </c>
      <c r="T829" t="s">
        <v>30</v>
      </c>
      <c r="U829" t="str">
        <f t="shared" si="36"/>
        <v>Normal</v>
      </c>
      <c r="V829" t="str">
        <f t="shared" si="37"/>
        <v>Normal</v>
      </c>
      <c r="W829" t="str">
        <f t="shared" si="38"/>
        <v>Normal</v>
      </c>
    </row>
    <row r="830" spans="1:23" x14ac:dyDescent="0.3">
      <c r="A830">
        <v>10791</v>
      </c>
      <c r="B830" s="2">
        <v>45956</v>
      </c>
      <c r="C830" t="s">
        <v>20</v>
      </c>
      <c r="D830" t="s">
        <v>21</v>
      </c>
      <c r="E830" t="s">
        <v>107</v>
      </c>
      <c r="F830" t="s">
        <v>41</v>
      </c>
      <c r="G830" t="s">
        <v>89</v>
      </c>
      <c r="H830" t="s">
        <v>96</v>
      </c>
      <c r="I830" t="s">
        <v>336</v>
      </c>
      <c r="J830">
        <v>839</v>
      </c>
      <c r="K830">
        <v>2</v>
      </c>
      <c r="L830" t="s">
        <v>27</v>
      </c>
      <c r="M830">
        <v>49</v>
      </c>
      <c r="N830">
        <v>38.200000000000003</v>
      </c>
      <c r="O830">
        <v>70.5</v>
      </c>
      <c r="P830">
        <v>4.2699999999999996</v>
      </c>
      <c r="Q830">
        <v>4.42</v>
      </c>
      <c r="R830" t="s">
        <v>159</v>
      </c>
      <c r="S830" t="s">
        <v>39</v>
      </c>
      <c r="T830" t="s">
        <v>30</v>
      </c>
      <c r="U830" t="str">
        <f t="shared" si="36"/>
        <v>Normal</v>
      </c>
      <c r="V830" t="str">
        <f t="shared" si="37"/>
        <v>Normal</v>
      </c>
      <c r="W830" t="str">
        <f t="shared" si="38"/>
        <v>Normal</v>
      </c>
    </row>
    <row r="831" spans="1:23" x14ac:dyDescent="0.3">
      <c r="A831">
        <v>11356</v>
      </c>
      <c r="B831" s="2">
        <v>45771</v>
      </c>
      <c r="C831" t="s">
        <v>49</v>
      </c>
      <c r="D831" t="s">
        <v>21</v>
      </c>
      <c r="E831" t="s">
        <v>22</v>
      </c>
      <c r="F831" t="s">
        <v>23</v>
      </c>
      <c r="G831" t="s">
        <v>24</v>
      </c>
      <c r="H831" t="s">
        <v>193</v>
      </c>
      <c r="I831" t="s">
        <v>208</v>
      </c>
      <c r="J831">
        <v>1031</v>
      </c>
      <c r="K831">
        <v>12</v>
      </c>
      <c r="L831" t="s">
        <v>37</v>
      </c>
      <c r="M831">
        <v>45</v>
      </c>
      <c r="N831">
        <v>42.9</v>
      </c>
      <c r="O831">
        <v>70.5</v>
      </c>
      <c r="P831">
        <v>5.68</v>
      </c>
      <c r="Q831">
        <v>1.89</v>
      </c>
      <c r="R831" t="s">
        <v>133</v>
      </c>
      <c r="S831" t="s">
        <v>73</v>
      </c>
      <c r="T831" t="s">
        <v>30</v>
      </c>
      <c r="U831" t="str">
        <f t="shared" si="36"/>
        <v>Normal</v>
      </c>
      <c r="V831" t="str">
        <f t="shared" si="37"/>
        <v>Normal</v>
      </c>
      <c r="W831" t="str">
        <f t="shared" si="38"/>
        <v>Normal</v>
      </c>
    </row>
    <row r="832" spans="1:23" x14ac:dyDescent="0.3">
      <c r="A832">
        <v>10958</v>
      </c>
      <c r="B832" s="2">
        <v>45746</v>
      </c>
      <c r="C832" t="s">
        <v>49</v>
      </c>
      <c r="D832" t="s">
        <v>21</v>
      </c>
      <c r="E832" t="s">
        <v>40</v>
      </c>
      <c r="F832" t="s">
        <v>23</v>
      </c>
      <c r="G832" t="s">
        <v>134</v>
      </c>
      <c r="H832" t="s">
        <v>169</v>
      </c>
      <c r="I832" t="s">
        <v>231</v>
      </c>
      <c r="J832">
        <v>479</v>
      </c>
      <c r="K832">
        <v>2</v>
      </c>
      <c r="L832" t="s">
        <v>45</v>
      </c>
      <c r="M832">
        <v>125</v>
      </c>
      <c r="N832">
        <v>42.2</v>
      </c>
      <c r="O832">
        <v>70.5</v>
      </c>
      <c r="P832">
        <v>5.5</v>
      </c>
      <c r="Q832">
        <v>3.2</v>
      </c>
      <c r="R832" t="s">
        <v>167</v>
      </c>
      <c r="S832" t="s">
        <v>47</v>
      </c>
      <c r="T832" t="s">
        <v>30</v>
      </c>
      <c r="U832" t="str">
        <f t="shared" si="36"/>
        <v>Normal</v>
      </c>
      <c r="V832" t="str">
        <f t="shared" si="37"/>
        <v>Normal</v>
      </c>
      <c r="W832" t="str">
        <f t="shared" si="38"/>
        <v>Normal</v>
      </c>
    </row>
    <row r="833" spans="1:23" x14ac:dyDescent="0.3">
      <c r="A833">
        <v>10931</v>
      </c>
      <c r="B833" s="2">
        <v>45833</v>
      </c>
      <c r="C833" t="s">
        <v>31</v>
      </c>
      <c r="D833" t="s">
        <v>32</v>
      </c>
      <c r="E833" t="s">
        <v>33</v>
      </c>
      <c r="F833" t="s">
        <v>23</v>
      </c>
      <c r="G833" t="s">
        <v>89</v>
      </c>
      <c r="H833" t="s">
        <v>99</v>
      </c>
      <c r="I833" t="s">
        <v>204</v>
      </c>
      <c r="J833">
        <v>1187</v>
      </c>
      <c r="K833">
        <v>7</v>
      </c>
      <c r="L833" t="s">
        <v>57</v>
      </c>
      <c r="M833">
        <v>168</v>
      </c>
      <c r="N833">
        <v>50</v>
      </c>
      <c r="O833">
        <v>70.400000000000006</v>
      </c>
      <c r="P833">
        <v>6.38</v>
      </c>
      <c r="Q833">
        <v>4.25</v>
      </c>
      <c r="R833" t="s">
        <v>77</v>
      </c>
      <c r="S833" t="s">
        <v>73</v>
      </c>
      <c r="T833" t="s">
        <v>30</v>
      </c>
      <c r="U833" t="str">
        <f t="shared" si="36"/>
        <v>Normal</v>
      </c>
      <c r="V833" t="str">
        <f t="shared" si="37"/>
        <v>Normal</v>
      </c>
      <c r="W833" t="str">
        <f t="shared" si="38"/>
        <v>Normal</v>
      </c>
    </row>
    <row r="834" spans="1:23" x14ac:dyDescent="0.3">
      <c r="A834">
        <v>11173</v>
      </c>
      <c r="B834" s="2">
        <v>45694</v>
      </c>
      <c r="C834" t="s">
        <v>49</v>
      </c>
      <c r="D834" t="s">
        <v>21</v>
      </c>
      <c r="E834" t="s">
        <v>22</v>
      </c>
      <c r="F834" t="s">
        <v>23</v>
      </c>
      <c r="G834" t="s">
        <v>54</v>
      </c>
      <c r="H834" t="s">
        <v>161</v>
      </c>
      <c r="I834" t="s">
        <v>257</v>
      </c>
      <c r="J834">
        <v>1382</v>
      </c>
      <c r="K834">
        <v>13</v>
      </c>
      <c r="L834" t="s">
        <v>71</v>
      </c>
      <c r="M834">
        <v>84</v>
      </c>
      <c r="N834">
        <v>49.3</v>
      </c>
      <c r="O834">
        <v>70.400000000000006</v>
      </c>
      <c r="P834">
        <v>5.05</v>
      </c>
      <c r="Q834">
        <v>2.12</v>
      </c>
      <c r="R834" t="s">
        <v>202</v>
      </c>
      <c r="S834" t="s">
        <v>73</v>
      </c>
      <c r="T834" t="s">
        <v>30</v>
      </c>
      <c r="U834" t="str">
        <f t="shared" ref="U834:U897" si="39">IF(OR(O834&lt;20,O834&gt;100),"Investigate","Normal")</f>
        <v>Normal</v>
      </c>
      <c r="V834" t="str">
        <f t="shared" ref="V834:V897" si="40">IF(OR(P834&lt;2,P834&gt;10),"Investigate","Normal")</f>
        <v>Normal</v>
      </c>
      <c r="W834" t="str">
        <f t="shared" ref="W834:W897" si="41">IF(Q834&gt;10,"Investigate","Normal")</f>
        <v>Normal</v>
      </c>
    </row>
    <row r="835" spans="1:23" x14ac:dyDescent="0.3">
      <c r="A835">
        <v>10552</v>
      </c>
      <c r="B835" s="2">
        <v>45903</v>
      </c>
      <c r="C835" t="s">
        <v>31</v>
      </c>
      <c r="D835" t="s">
        <v>32</v>
      </c>
      <c r="E835" t="s">
        <v>22</v>
      </c>
      <c r="F835" t="s">
        <v>81</v>
      </c>
      <c r="G835" t="s">
        <v>42</v>
      </c>
      <c r="H835" t="s">
        <v>169</v>
      </c>
      <c r="I835" t="s">
        <v>329</v>
      </c>
      <c r="J835">
        <v>539</v>
      </c>
      <c r="K835">
        <v>13</v>
      </c>
      <c r="L835" t="s">
        <v>57</v>
      </c>
      <c r="M835">
        <v>134</v>
      </c>
      <c r="N835">
        <v>48.2</v>
      </c>
      <c r="O835">
        <v>70.400000000000006</v>
      </c>
      <c r="P835">
        <v>4.97</v>
      </c>
      <c r="Q835">
        <v>3.29</v>
      </c>
      <c r="R835" t="s">
        <v>58</v>
      </c>
      <c r="S835" t="s">
        <v>47</v>
      </c>
      <c r="T835" t="s">
        <v>30</v>
      </c>
      <c r="U835" t="str">
        <f t="shared" si="39"/>
        <v>Normal</v>
      </c>
      <c r="V835" t="str">
        <f t="shared" si="40"/>
        <v>Normal</v>
      </c>
      <c r="W835" t="str">
        <f t="shared" si="41"/>
        <v>Normal</v>
      </c>
    </row>
    <row r="836" spans="1:23" x14ac:dyDescent="0.3">
      <c r="A836">
        <v>11434</v>
      </c>
      <c r="B836" s="2">
        <v>45798</v>
      </c>
      <c r="C836" t="s">
        <v>20</v>
      </c>
      <c r="D836" t="s">
        <v>64</v>
      </c>
      <c r="E836" t="s">
        <v>107</v>
      </c>
      <c r="F836" t="s">
        <v>41</v>
      </c>
      <c r="G836" t="s">
        <v>89</v>
      </c>
      <c r="H836" t="s">
        <v>190</v>
      </c>
      <c r="I836" t="s">
        <v>335</v>
      </c>
      <c r="J836">
        <v>1191</v>
      </c>
      <c r="K836">
        <v>8</v>
      </c>
      <c r="L836" t="s">
        <v>71</v>
      </c>
      <c r="M836">
        <v>150</v>
      </c>
      <c r="N836">
        <v>29.6</v>
      </c>
      <c r="O836">
        <v>70.400000000000006</v>
      </c>
      <c r="P836">
        <v>5</v>
      </c>
      <c r="Q836">
        <v>3.88</v>
      </c>
      <c r="R836" t="s">
        <v>72</v>
      </c>
      <c r="S836" t="s">
        <v>39</v>
      </c>
      <c r="T836" t="s">
        <v>30</v>
      </c>
      <c r="U836" t="str">
        <f t="shared" si="39"/>
        <v>Normal</v>
      </c>
      <c r="V836" t="str">
        <f t="shared" si="40"/>
        <v>Normal</v>
      </c>
      <c r="W836" t="str">
        <f t="shared" si="41"/>
        <v>Normal</v>
      </c>
    </row>
    <row r="837" spans="1:23" x14ac:dyDescent="0.3">
      <c r="A837">
        <v>11233</v>
      </c>
      <c r="B837" s="2">
        <v>45670</v>
      </c>
      <c r="C837" t="s">
        <v>49</v>
      </c>
      <c r="D837" t="s">
        <v>21</v>
      </c>
      <c r="E837" t="s">
        <v>22</v>
      </c>
      <c r="F837" t="s">
        <v>23</v>
      </c>
      <c r="G837" t="s">
        <v>34</v>
      </c>
      <c r="H837" t="s">
        <v>51</v>
      </c>
      <c r="I837" t="s">
        <v>244</v>
      </c>
      <c r="J837">
        <v>958</v>
      </c>
      <c r="K837">
        <v>17</v>
      </c>
      <c r="L837" t="s">
        <v>57</v>
      </c>
      <c r="M837">
        <v>118</v>
      </c>
      <c r="N837">
        <v>46.7</v>
      </c>
      <c r="O837">
        <v>70.400000000000006</v>
      </c>
      <c r="P837">
        <v>4.7300000000000004</v>
      </c>
      <c r="Q837">
        <v>2.62</v>
      </c>
      <c r="R837" t="s">
        <v>130</v>
      </c>
      <c r="S837" t="s">
        <v>29</v>
      </c>
      <c r="T837" t="s">
        <v>30</v>
      </c>
      <c r="U837" t="str">
        <f t="shared" si="39"/>
        <v>Normal</v>
      </c>
      <c r="V837" t="str">
        <f t="shared" si="40"/>
        <v>Normal</v>
      </c>
      <c r="W837" t="str">
        <f t="shared" si="41"/>
        <v>Normal</v>
      </c>
    </row>
    <row r="838" spans="1:23" x14ac:dyDescent="0.3">
      <c r="A838">
        <v>10297</v>
      </c>
      <c r="B838" s="2">
        <v>46013</v>
      </c>
      <c r="C838" t="s">
        <v>31</v>
      </c>
      <c r="D838" t="s">
        <v>64</v>
      </c>
      <c r="E838" t="s">
        <v>107</v>
      </c>
      <c r="F838" t="s">
        <v>23</v>
      </c>
      <c r="G838" t="s">
        <v>54</v>
      </c>
      <c r="H838" t="s">
        <v>190</v>
      </c>
      <c r="I838" t="s">
        <v>317</v>
      </c>
      <c r="J838">
        <v>1459</v>
      </c>
      <c r="K838">
        <v>19</v>
      </c>
      <c r="L838" t="s">
        <v>68</v>
      </c>
      <c r="M838">
        <v>73</v>
      </c>
      <c r="N838">
        <v>41.9</v>
      </c>
      <c r="O838">
        <v>70.400000000000006</v>
      </c>
      <c r="P838">
        <v>4.8899999999999997</v>
      </c>
      <c r="Q838">
        <v>2.64</v>
      </c>
      <c r="R838" t="s">
        <v>179</v>
      </c>
      <c r="S838" t="s">
        <v>29</v>
      </c>
      <c r="T838" t="s">
        <v>30</v>
      </c>
      <c r="U838" t="str">
        <f t="shared" si="39"/>
        <v>Normal</v>
      </c>
      <c r="V838" t="str">
        <f t="shared" si="40"/>
        <v>Normal</v>
      </c>
      <c r="W838" t="str">
        <f t="shared" si="41"/>
        <v>Normal</v>
      </c>
    </row>
    <row r="839" spans="1:23" x14ac:dyDescent="0.3">
      <c r="A839">
        <v>11326</v>
      </c>
      <c r="B839" s="2">
        <v>46014</v>
      </c>
      <c r="C839" t="s">
        <v>31</v>
      </c>
      <c r="D839" t="s">
        <v>32</v>
      </c>
      <c r="E839" t="s">
        <v>33</v>
      </c>
      <c r="F839" t="s">
        <v>81</v>
      </c>
      <c r="G839" t="s">
        <v>89</v>
      </c>
      <c r="H839" t="s">
        <v>93</v>
      </c>
      <c r="I839" t="s">
        <v>197</v>
      </c>
      <c r="J839">
        <v>1012</v>
      </c>
      <c r="K839">
        <v>6</v>
      </c>
      <c r="L839" t="s">
        <v>71</v>
      </c>
      <c r="M839">
        <v>122</v>
      </c>
      <c r="N839">
        <v>37.6</v>
      </c>
      <c r="O839">
        <v>70.400000000000006</v>
      </c>
      <c r="P839">
        <v>6.27</v>
      </c>
      <c r="Q839">
        <v>1.57</v>
      </c>
      <c r="R839" t="s">
        <v>28</v>
      </c>
      <c r="S839" t="s">
        <v>73</v>
      </c>
      <c r="T839" t="s">
        <v>30</v>
      </c>
      <c r="U839" t="str">
        <f t="shared" si="39"/>
        <v>Normal</v>
      </c>
      <c r="V839" t="str">
        <f t="shared" si="40"/>
        <v>Normal</v>
      </c>
      <c r="W839" t="str">
        <f t="shared" si="41"/>
        <v>Normal</v>
      </c>
    </row>
    <row r="840" spans="1:23" x14ac:dyDescent="0.3">
      <c r="A840">
        <v>10668</v>
      </c>
      <c r="B840" s="2">
        <v>45765</v>
      </c>
      <c r="C840" t="s">
        <v>31</v>
      </c>
      <c r="D840" t="s">
        <v>32</v>
      </c>
      <c r="E840" t="s">
        <v>22</v>
      </c>
      <c r="F840" t="s">
        <v>81</v>
      </c>
      <c r="G840" t="s">
        <v>54</v>
      </c>
      <c r="H840" t="s">
        <v>78</v>
      </c>
      <c r="I840" t="s">
        <v>317</v>
      </c>
      <c r="J840">
        <v>653</v>
      </c>
      <c r="K840">
        <v>9</v>
      </c>
      <c r="L840" t="s">
        <v>37</v>
      </c>
      <c r="M840">
        <v>106</v>
      </c>
      <c r="N840">
        <v>39.9</v>
      </c>
      <c r="O840">
        <v>70.400000000000006</v>
      </c>
      <c r="P840">
        <v>5.18</v>
      </c>
      <c r="Q840">
        <v>2.36</v>
      </c>
      <c r="R840" t="s">
        <v>119</v>
      </c>
      <c r="S840" t="s">
        <v>29</v>
      </c>
      <c r="T840" t="s">
        <v>30</v>
      </c>
      <c r="U840" t="str">
        <f t="shared" si="39"/>
        <v>Normal</v>
      </c>
      <c r="V840" t="str">
        <f t="shared" si="40"/>
        <v>Normal</v>
      </c>
      <c r="W840" t="str">
        <f t="shared" si="41"/>
        <v>Normal</v>
      </c>
    </row>
    <row r="841" spans="1:23" x14ac:dyDescent="0.3">
      <c r="A841">
        <v>10090</v>
      </c>
      <c r="B841" s="2">
        <v>45693</v>
      </c>
      <c r="C841" t="s">
        <v>20</v>
      </c>
      <c r="D841" t="s">
        <v>64</v>
      </c>
      <c r="E841" t="s">
        <v>107</v>
      </c>
      <c r="F841" t="s">
        <v>23</v>
      </c>
      <c r="G841" t="s">
        <v>134</v>
      </c>
      <c r="H841" t="s">
        <v>175</v>
      </c>
      <c r="I841" t="s">
        <v>353</v>
      </c>
      <c r="J841">
        <v>1149</v>
      </c>
      <c r="K841">
        <v>35</v>
      </c>
      <c r="L841" t="s">
        <v>27</v>
      </c>
      <c r="M841">
        <v>74</v>
      </c>
      <c r="N841">
        <v>37.9</v>
      </c>
      <c r="O841">
        <v>70.400000000000006</v>
      </c>
      <c r="P841">
        <v>4.59</v>
      </c>
      <c r="Q841">
        <v>2.84</v>
      </c>
      <c r="R841" t="s">
        <v>189</v>
      </c>
      <c r="S841" t="s">
        <v>47</v>
      </c>
      <c r="T841" t="s">
        <v>48</v>
      </c>
      <c r="U841" t="str">
        <f t="shared" si="39"/>
        <v>Normal</v>
      </c>
      <c r="V841" t="str">
        <f t="shared" si="40"/>
        <v>Normal</v>
      </c>
      <c r="W841" t="str">
        <f t="shared" si="41"/>
        <v>Normal</v>
      </c>
    </row>
    <row r="842" spans="1:23" x14ac:dyDescent="0.3">
      <c r="A842">
        <v>11330</v>
      </c>
      <c r="B842" s="2">
        <v>45829</v>
      </c>
      <c r="C842" t="s">
        <v>49</v>
      </c>
      <c r="D842" t="s">
        <v>64</v>
      </c>
      <c r="E842" t="s">
        <v>40</v>
      </c>
      <c r="F842" t="s">
        <v>23</v>
      </c>
      <c r="G842" t="s">
        <v>113</v>
      </c>
      <c r="H842" t="s">
        <v>193</v>
      </c>
      <c r="I842" t="s">
        <v>290</v>
      </c>
      <c r="J842">
        <v>777</v>
      </c>
      <c r="K842">
        <v>23</v>
      </c>
      <c r="L842" t="s">
        <v>27</v>
      </c>
      <c r="M842">
        <v>36</v>
      </c>
      <c r="N842">
        <v>42.7</v>
      </c>
      <c r="O842">
        <v>70.400000000000006</v>
      </c>
      <c r="P842">
        <v>4.24</v>
      </c>
      <c r="Q842">
        <v>2.2400000000000002</v>
      </c>
      <c r="R842" t="s">
        <v>189</v>
      </c>
      <c r="S842" t="s">
        <v>47</v>
      </c>
      <c r="T842" t="s">
        <v>30</v>
      </c>
      <c r="U842" t="str">
        <f t="shared" si="39"/>
        <v>Normal</v>
      </c>
      <c r="V842" t="str">
        <f t="shared" si="40"/>
        <v>Normal</v>
      </c>
      <c r="W842" t="str">
        <f t="shared" si="41"/>
        <v>Normal</v>
      </c>
    </row>
    <row r="843" spans="1:23" x14ac:dyDescent="0.3">
      <c r="A843">
        <v>11433</v>
      </c>
      <c r="B843" s="2">
        <v>46005</v>
      </c>
      <c r="C843" t="s">
        <v>20</v>
      </c>
      <c r="D843" t="s">
        <v>32</v>
      </c>
      <c r="E843" t="s">
        <v>33</v>
      </c>
      <c r="F843" t="s">
        <v>23</v>
      </c>
      <c r="G843" t="s">
        <v>60</v>
      </c>
      <c r="H843" t="s">
        <v>123</v>
      </c>
      <c r="I843" t="s">
        <v>354</v>
      </c>
      <c r="J843">
        <v>1449</v>
      </c>
      <c r="K843">
        <v>20</v>
      </c>
      <c r="L843" t="s">
        <v>57</v>
      </c>
      <c r="M843">
        <v>68</v>
      </c>
      <c r="N843">
        <v>44.1</v>
      </c>
      <c r="O843">
        <v>70.3</v>
      </c>
      <c r="P843">
        <v>5.45</v>
      </c>
      <c r="Q843">
        <v>1.82</v>
      </c>
      <c r="R843" t="s">
        <v>125</v>
      </c>
      <c r="S843" t="s">
        <v>39</v>
      </c>
      <c r="T843" t="s">
        <v>30</v>
      </c>
      <c r="U843" t="str">
        <f t="shared" si="39"/>
        <v>Normal</v>
      </c>
      <c r="V843" t="str">
        <f t="shared" si="40"/>
        <v>Normal</v>
      </c>
      <c r="W843" t="str">
        <f t="shared" si="41"/>
        <v>Normal</v>
      </c>
    </row>
    <row r="844" spans="1:23" x14ac:dyDescent="0.3">
      <c r="A844">
        <v>10888</v>
      </c>
      <c r="B844" s="2">
        <v>45931</v>
      </c>
      <c r="C844" t="s">
        <v>20</v>
      </c>
      <c r="D844" t="s">
        <v>32</v>
      </c>
      <c r="E844" t="s">
        <v>107</v>
      </c>
      <c r="F844" t="s">
        <v>41</v>
      </c>
      <c r="G844" t="s">
        <v>89</v>
      </c>
      <c r="H844" t="s">
        <v>175</v>
      </c>
      <c r="I844" t="s">
        <v>157</v>
      </c>
      <c r="J844">
        <v>1151</v>
      </c>
      <c r="K844">
        <v>13</v>
      </c>
      <c r="L844" t="s">
        <v>68</v>
      </c>
      <c r="M844">
        <v>22</v>
      </c>
      <c r="N844">
        <v>47.3</v>
      </c>
      <c r="O844">
        <v>70.3</v>
      </c>
      <c r="P844">
        <v>4.5</v>
      </c>
      <c r="Q844">
        <v>2.0699999999999998</v>
      </c>
      <c r="R844" t="s">
        <v>195</v>
      </c>
      <c r="S844" t="s">
        <v>29</v>
      </c>
      <c r="T844" t="s">
        <v>30</v>
      </c>
      <c r="U844" t="str">
        <f t="shared" si="39"/>
        <v>Normal</v>
      </c>
      <c r="V844" t="str">
        <f t="shared" si="40"/>
        <v>Normal</v>
      </c>
      <c r="W844" t="str">
        <f t="shared" si="41"/>
        <v>Normal</v>
      </c>
    </row>
    <row r="845" spans="1:23" x14ac:dyDescent="0.3">
      <c r="A845">
        <v>10537</v>
      </c>
      <c r="B845" s="2">
        <v>45748</v>
      </c>
      <c r="C845" t="s">
        <v>49</v>
      </c>
      <c r="D845" t="s">
        <v>64</v>
      </c>
      <c r="E845" t="s">
        <v>33</v>
      </c>
      <c r="F845" t="s">
        <v>81</v>
      </c>
      <c r="G845" t="s">
        <v>134</v>
      </c>
      <c r="H845" t="s">
        <v>99</v>
      </c>
      <c r="I845" t="s">
        <v>204</v>
      </c>
      <c r="J845">
        <v>763</v>
      </c>
      <c r="K845">
        <v>10</v>
      </c>
      <c r="L845" t="s">
        <v>57</v>
      </c>
      <c r="M845">
        <v>19</v>
      </c>
      <c r="N845">
        <v>35.9</v>
      </c>
      <c r="O845">
        <v>70.3</v>
      </c>
      <c r="P845">
        <v>3.97</v>
      </c>
      <c r="Q845">
        <v>1.56</v>
      </c>
      <c r="R845" t="s">
        <v>184</v>
      </c>
      <c r="S845" t="s">
        <v>39</v>
      </c>
      <c r="T845" t="s">
        <v>30</v>
      </c>
      <c r="U845" t="str">
        <f t="shared" si="39"/>
        <v>Normal</v>
      </c>
      <c r="V845" t="str">
        <f t="shared" si="40"/>
        <v>Normal</v>
      </c>
      <c r="W845" t="str">
        <f t="shared" si="41"/>
        <v>Normal</v>
      </c>
    </row>
    <row r="846" spans="1:23" x14ac:dyDescent="0.3">
      <c r="A846">
        <v>10214</v>
      </c>
      <c r="B846" s="2">
        <v>45713</v>
      </c>
      <c r="C846" t="s">
        <v>31</v>
      </c>
      <c r="D846" t="s">
        <v>64</v>
      </c>
      <c r="E846" t="s">
        <v>33</v>
      </c>
      <c r="F846" t="s">
        <v>23</v>
      </c>
      <c r="G846" t="s">
        <v>24</v>
      </c>
      <c r="H846" t="s">
        <v>192</v>
      </c>
      <c r="I846" t="s">
        <v>371</v>
      </c>
      <c r="J846">
        <v>952</v>
      </c>
      <c r="K846">
        <v>5</v>
      </c>
      <c r="L846" t="s">
        <v>27</v>
      </c>
      <c r="M846">
        <v>108</v>
      </c>
      <c r="N846">
        <v>42.5</v>
      </c>
      <c r="O846">
        <v>70.3</v>
      </c>
      <c r="P846">
        <v>4.4400000000000004</v>
      </c>
      <c r="Q846">
        <v>2.89</v>
      </c>
      <c r="R846" t="s">
        <v>103</v>
      </c>
      <c r="S846" t="s">
        <v>73</v>
      </c>
      <c r="T846" t="s">
        <v>30</v>
      </c>
      <c r="U846" t="str">
        <f t="shared" si="39"/>
        <v>Normal</v>
      </c>
      <c r="V846" t="str">
        <f t="shared" si="40"/>
        <v>Normal</v>
      </c>
      <c r="W846" t="str">
        <f t="shared" si="41"/>
        <v>Normal</v>
      </c>
    </row>
    <row r="847" spans="1:23" x14ac:dyDescent="0.3">
      <c r="A847">
        <v>10906</v>
      </c>
      <c r="B847" s="2">
        <v>45770</v>
      </c>
      <c r="C847" t="s">
        <v>20</v>
      </c>
      <c r="D847" t="s">
        <v>64</v>
      </c>
      <c r="E847" t="s">
        <v>33</v>
      </c>
      <c r="F847" t="s">
        <v>23</v>
      </c>
      <c r="G847" t="s">
        <v>113</v>
      </c>
      <c r="H847" t="s">
        <v>101</v>
      </c>
      <c r="I847" t="s">
        <v>294</v>
      </c>
      <c r="J847">
        <v>725</v>
      </c>
      <c r="K847">
        <v>7</v>
      </c>
      <c r="L847" t="s">
        <v>71</v>
      </c>
      <c r="M847">
        <v>78</v>
      </c>
      <c r="N847">
        <v>32.5</v>
      </c>
      <c r="O847">
        <v>70.3</v>
      </c>
      <c r="P847">
        <v>4.43</v>
      </c>
      <c r="Q847">
        <v>2.74</v>
      </c>
      <c r="R847" t="s">
        <v>153</v>
      </c>
      <c r="S847" t="s">
        <v>73</v>
      </c>
      <c r="T847" t="s">
        <v>30</v>
      </c>
      <c r="U847" t="str">
        <f t="shared" si="39"/>
        <v>Normal</v>
      </c>
      <c r="V847" t="str">
        <f t="shared" si="40"/>
        <v>Normal</v>
      </c>
      <c r="W847" t="str">
        <f t="shared" si="41"/>
        <v>Normal</v>
      </c>
    </row>
    <row r="848" spans="1:23" x14ac:dyDescent="0.3">
      <c r="A848">
        <v>10146</v>
      </c>
      <c r="B848" s="2">
        <v>45731</v>
      </c>
      <c r="C848" t="s">
        <v>49</v>
      </c>
      <c r="D848" t="s">
        <v>21</v>
      </c>
      <c r="E848" t="s">
        <v>107</v>
      </c>
      <c r="F848" t="s">
        <v>41</v>
      </c>
      <c r="G848" t="s">
        <v>34</v>
      </c>
      <c r="H848" t="s">
        <v>177</v>
      </c>
      <c r="I848" t="s">
        <v>145</v>
      </c>
      <c r="J848">
        <v>1526</v>
      </c>
      <c r="K848">
        <v>11</v>
      </c>
      <c r="L848" t="s">
        <v>57</v>
      </c>
      <c r="M848">
        <v>18</v>
      </c>
      <c r="N848">
        <v>31</v>
      </c>
      <c r="O848">
        <v>70.3</v>
      </c>
      <c r="P848">
        <v>4.33</v>
      </c>
      <c r="Q848">
        <v>1.68</v>
      </c>
      <c r="R848" t="s">
        <v>153</v>
      </c>
      <c r="S848" t="s">
        <v>39</v>
      </c>
      <c r="T848" t="s">
        <v>30</v>
      </c>
      <c r="U848" t="str">
        <f t="shared" si="39"/>
        <v>Normal</v>
      </c>
      <c r="V848" t="str">
        <f t="shared" si="40"/>
        <v>Normal</v>
      </c>
      <c r="W848" t="str">
        <f t="shared" si="41"/>
        <v>Normal</v>
      </c>
    </row>
    <row r="849" spans="1:23" x14ac:dyDescent="0.3">
      <c r="A849">
        <v>10445</v>
      </c>
      <c r="B849" s="2">
        <v>45820</v>
      </c>
      <c r="C849" t="s">
        <v>49</v>
      </c>
      <c r="D849" t="s">
        <v>64</v>
      </c>
      <c r="E849" t="s">
        <v>40</v>
      </c>
      <c r="F849" t="s">
        <v>81</v>
      </c>
      <c r="G849" t="s">
        <v>50</v>
      </c>
      <c r="H849" t="s">
        <v>196</v>
      </c>
      <c r="I849" t="s">
        <v>136</v>
      </c>
      <c r="J849">
        <v>996</v>
      </c>
      <c r="K849">
        <v>13</v>
      </c>
      <c r="L849" t="s">
        <v>68</v>
      </c>
      <c r="M849">
        <v>176</v>
      </c>
      <c r="N849">
        <v>41.4</v>
      </c>
      <c r="O849">
        <v>70.3</v>
      </c>
      <c r="P849">
        <v>5.92</v>
      </c>
      <c r="Q849">
        <v>2.14</v>
      </c>
      <c r="R849" t="s">
        <v>72</v>
      </c>
      <c r="S849" t="s">
        <v>39</v>
      </c>
      <c r="T849" t="s">
        <v>30</v>
      </c>
      <c r="U849" t="str">
        <f t="shared" si="39"/>
        <v>Normal</v>
      </c>
      <c r="V849" t="str">
        <f t="shared" si="40"/>
        <v>Normal</v>
      </c>
      <c r="W849" t="str">
        <f t="shared" si="41"/>
        <v>Normal</v>
      </c>
    </row>
    <row r="850" spans="1:23" x14ac:dyDescent="0.3">
      <c r="A850">
        <v>10970</v>
      </c>
      <c r="B850" s="2">
        <v>45679</v>
      </c>
      <c r="C850" t="s">
        <v>31</v>
      </c>
      <c r="D850" t="s">
        <v>21</v>
      </c>
      <c r="E850" t="s">
        <v>107</v>
      </c>
      <c r="F850" t="s">
        <v>41</v>
      </c>
      <c r="G850" t="s">
        <v>95</v>
      </c>
      <c r="H850" t="s">
        <v>66</v>
      </c>
      <c r="I850" t="s">
        <v>319</v>
      </c>
      <c r="J850">
        <v>1541</v>
      </c>
      <c r="K850">
        <v>18</v>
      </c>
      <c r="L850" t="s">
        <v>45</v>
      </c>
      <c r="M850">
        <v>46</v>
      </c>
      <c r="N850">
        <v>37.200000000000003</v>
      </c>
      <c r="O850">
        <v>70.3</v>
      </c>
      <c r="P850">
        <v>4.3099999999999996</v>
      </c>
      <c r="Q850">
        <v>2.27</v>
      </c>
      <c r="R850" t="s">
        <v>267</v>
      </c>
      <c r="S850" t="s">
        <v>73</v>
      </c>
      <c r="T850" t="s">
        <v>30</v>
      </c>
      <c r="U850" t="str">
        <f t="shared" si="39"/>
        <v>Normal</v>
      </c>
      <c r="V850" t="str">
        <f t="shared" si="40"/>
        <v>Normal</v>
      </c>
      <c r="W850" t="str">
        <f t="shared" si="41"/>
        <v>Normal</v>
      </c>
    </row>
    <row r="851" spans="1:23" x14ac:dyDescent="0.3">
      <c r="A851">
        <v>11078</v>
      </c>
      <c r="B851" s="2">
        <v>45765</v>
      </c>
      <c r="C851" t="s">
        <v>31</v>
      </c>
      <c r="D851" t="s">
        <v>32</v>
      </c>
      <c r="E851" t="s">
        <v>40</v>
      </c>
      <c r="F851" t="s">
        <v>41</v>
      </c>
      <c r="G851" t="s">
        <v>95</v>
      </c>
      <c r="H851" t="s">
        <v>55</v>
      </c>
      <c r="I851" t="s">
        <v>238</v>
      </c>
      <c r="J851">
        <v>822</v>
      </c>
      <c r="K851">
        <v>13</v>
      </c>
      <c r="L851" t="s">
        <v>27</v>
      </c>
      <c r="M851">
        <v>33</v>
      </c>
      <c r="N851">
        <v>51.4</v>
      </c>
      <c r="O851">
        <v>70.3</v>
      </c>
      <c r="P851">
        <v>3.56</v>
      </c>
      <c r="Q851">
        <v>3.26</v>
      </c>
      <c r="R851" t="s">
        <v>128</v>
      </c>
      <c r="S851" t="s">
        <v>29</v>
      </c>
      <c r="T851" t="s">
        <v>30</v>
      </c>
      <c r="U851" t="str">
        <f t="shared" si="39"/>
        <v>Normal</v>
      </c>
      <c r="V851" t="str">
        <f t="shared" si="40"/>
        <v>Normal</v>
      </c>
      <c r="W851" t="str">
        <f t="shared" si="41"/>
        <v>Normal</v>
      </c>
    </row>
    <row r="852" spans="1:23" x14ac:dyDescent="0.3">
      <c r="A852">
        <v>11418</v>
      </c>
      <c r="B852" s="2">
        <v>45797</v>
      </c>
      <c r="C852" t="s">
        <v>20</v>
      </c>
      <c r="D852" t="s">
        <v>64</v>
      </c>
      <c r="E852" t="s">
        <v>40</v>
      </c>
      <c r="F852" t="s">
        <v>41</v>
      </c>
      <c r="G852" t="s">
        <v>74</v>
      </c>
      <c r="H852" t="s">
        <v>51</v>
      </c>
      <c r="I852" t="s">
        <v>319</v>
      </c>
      <c r="J852">
        <v>461</v>
      </c>
      <c r="K852">
        <v>5</v>
      </c>
      <c r="L852" t="s">
        <v>45</v>
      </c>
      <c r="M852">
        <v>179</v>
      </c>
      <c r="N852">
        <v>40.4</v>
      </c>
      <c r="O852">
        <v>70.3</v>
      </c>
      <c r="P852">
        <v>4</v>
      </c>
      <c r="Q852">
        <v>3.87</v>
      </c>
      <c r="R852" t="s">
        <v>147</v>
      </c>
      <c r="S852" t="s">
        <v>73</v>
      </c>
      <c r="T852" t="s">
        <v>30</v>
      </c>
      <c r="U852" t="str">
        <f t="shared" si="39"/>
        <v>Normal</v>
      </c>
      <c r="V852" t="str">
        <f t="shared" si="40"/>
        <v>Normal</v>
      </c>
      <c r="W852" t="str">
        <f t="shared" si="41"/>
        <v>Normal</v>
      </c>
    </row>
    <row r="853" spans="1:23" x14ac:dyDescent="0.3">
      <c r="A853">
        <v>11184</v>
      </c>
      <c r="B853" s="2">
        <v>45958</v>
      </c>
      <c r="C853" t="s">
        <v>20</v>
      </c>
      <c r="D853" t="s">
        <v>64</v>
      </c>
      <c r="E853" t="s">
        <v>22</v>
      </c>
      <c r="F853" t="s">
        <v>41</v>
      </c>
      <c r="G853" t="s">
        <v>113</v>
      </c>
      <c r="H853" t="s">
        <v>43</v>
      </c>
      <c r="I853" t="s">
        <v>332</v>
      </c>
      <c r="J853">
        <v>1001</v>
      </c>
      <c r="K853">
        <v>4</v>
      </c>
      <c r="L853" t="s">
        <v>45</v>
      </c>
      <c r="M853">
        <v>107</v>
      </c>
      <c r="N853">
        <v>45.3</v>
      </c>
      <c r="O853">
        <v>70.3</v>
      </c>
      <c r="P853">
        <v>4.7699999999999996</v>
      </c>
      <c r="Q853">
        <v>2.57</v>
      </c>
      <c r="R853" t="s">
        <v>152</v>
      </c>
      <c r="S853" t="s">
        <v>73</v>
      </c>
      <c r="T853" t="s">
        <v>30</v>
      </c>
      <c r="U853" t="str">
        <f t="shared" si="39"/>
        <v>Normal</v>
      </c>
      <c r="V853" t="str">
        <f t="shared" si="40"/>
        <v>Normal</v>
      </c>
      <c r="W853" t="str">
        <f t="shared" si="41"/>
        <v>Normal</v>
      </c>
    </row>
    <row r="854" spans="1:23" x14ac:dyDescent="0.3">
      <c r="A854">
        <v>10135</v>
      </c>
      <c r="B854" s="2">
        <v>45970</v>
      </c>
      <c r="C854" t="s">
        <v>49</v>
      </c>
      <c r="D854" t="s">
        <v>21</v>
      </c>
      <c r="E854" t="s">
        <v>107</v>
      </c>
      <c r="F854" t="s">
        <v>41</v>
      </c>
      <c r="G854" t="s">
        <v>50</v>
      </c>
      <c r="H854" t="s">
        <v>172</v>
      </c>
      <c r="I854" t="s">
        <v>258</v>
      </c>
      <c r="J854">
        <v>1296</v>
      </c>
      <c r="K854">
        <v>15</v>
      </c>
      <c r="L854" t="s">
        <v>71</v>
      </c>
      <c r="M854">
        <v>160</v>
      </c>
      <c r="N854">
        <v>34.299999999999997</v>
      </c>
      <c r="O854">
        <v>70.3</v>
      </c>
      <c r="P854">
        <v>4.95</v>
      </c>
      <c r="Q854">
        <v>3.66</v>
      </c>
      <c r="R854" t="s">
        <v>164</v>
      </c>
      <c r="S854" t="s">
        <v>39</v>
      </c>
      <c r="T854" t="s">
        <v>30</v>
      </c>
      <c r="U854" t="str">
        <f t="shared" si="39"/>
        <v>Normal</v>
      </c>
      <c r="V854" t="str">
        <f t="shared" si="40"/>
        <v>Normal</v>
      </c>
      <c r="W854" t="str">
        <f t="shared" si="41"/>
        <v>Normal</v>
      </c>
    </row>
    <row r="855" spans="1:23" x14ac:dyDescent="0.3">
      <c r="A855">
        <v>10971</v>
      </c>
      <c r="B855" s="2">
        <v>45783</v>
      </c>
      <c r="C855" t="s">
        <v>49</v>
      </c>
      <c r="D855" t="s">
        <v>59</v>
      </c>
      <c r="E855" t="s">
        <v>40</v>
      </c>
      <c r="F855" t="s">
        <v>41</v>
      </c>
      <c r="G855" t="s">
        <v>50</v>
      </c>
      <c r="H855" t="s">
        <v>205</v>
      </c>
      <c r="I855" t="s">
        <v>235</v>
      </c>
      <c r="J855">
        <v>1402</v>
      </c>
      <c r="K855">
        <v>7</v>
      </c>
      <c r="L855" t="s">
        <v>68</v>
      </c>
      <c r="M855">
        <v>76</v>
      </c>
      <c r="N855">
        <v>51.4</v>
      </c>
      <c r="O855">
        <v>70.2</v>
      </c>
      <c r="P855">
        <v>5.58</v>
      </c>
      <c r="Q855">
        <v>2.4500000000000002</v>
      </c>
      <c r="R855" t="s">
        <v>189</v>
      </c>
      <c r="S855" t="s">
        <v>47</v>
      </c>
      <c r="T855" t="s">
        <v>30</v>
      </c>
      <c r="U855" t="str">
        <f t="shared" si="39"/>
        <v>Normal</v>
      </c>
      <c r="V855" t="str">
        <f t="shared" si="40"/>
        <v>Normal</v>
      </c>
      <c r="W855" t="str">
        <f t="shared" si="41"/>
        <v>Normal</v>
      </c>
    </row>
    <row r="856" spans="1:23" x14ac:dyDescent="0.3">
      <c r="A856">
        <v>11166</v>
      </c>
      <c r="B856" s="2">
        <v>45722</v>
      </c>
      <c r="C856" t="s">
        <v>20</v>
      </c>
      <c r="D856" t="s">
        <v>64</v>
      </c>
      <c r="E856" t="s">
        <v>107</v>
      </c>
      <c r="F856" t="s">
        <v>23</v>
      </c>
      <c r="G856" t="s">
        <v>74</v>
      </c>
      <c r="H856" t="s">
        <v>99</v>
      </c>
      <c r="I856" t="s">
        <v>230</v>
      </c>
      <c r="J856">
        <v>1112</v>
      </c>
      <c r="K856">
        <v>8</v>
      </c>
      <c r="L856" t="s">
        <v>45</v>
      </c>
      <c r="M856">
        <v>13</v>
      </c>
      <c r="N856">
        <v>36.799999999999997</v>
      </c>
      <c r="O856">
        <v>70.2</v>
      </c>
      <c r="P856">
        <v>6.51</v>
      </c>
      <c r="Q856">
        <v>2.58</v>
      </c>
      <c r="R856" t="s">
        <v>46</v>
      </c>
      <c r="S856" t="s">
        <v>29</v>
      </c>
      <c r="T856" t="s">
        <v>30</v>
      </c>
      <c r="U856" t="str">
        <f t="shared" si="39"/>
        <v>Normal</v>
      </c>
      <c r="V856" t="str">
        <f t="shared" si="40"/>
        <v>Normal</v>
      </c>
      <c r="W856" t="str">
        <f t="shared" si="41"/>
        <v>Normal</v>
      </c>
    </row>
    <row r="857" spans="1:23" x14ac:dyDescent="0.3">
      <c r="A857">
        <v>10817</v>
      </c>
      <c r="B857" s="2">
        <v>45845</v>
      </c>
      <c r="C857" t="s">
        <v>20</v>
      </c>
      <c r="D857" t="s">
        <v>59</v>
      </c>
      <c r="E857" t="s">
        <v>40</v>
      </c>
      <c r="F857" t="s">
        <v>23</v>
      </c>
      <c r="G857" t="s">
        <v>74</v>
      </c>
      <c r="H857" t="s">
        <v>123</v>
      </c>
      <c r="I857" t="s">
        <v>67</v>
      </c>
      <c r="J857">
        <v>659</v>
      </c>
      <c r="K857">
        <v>10</v>
      </c>
      <c r="L857" t="s">
        <v>57</v>
      </c>
      <c r="M857">
        <v>145</v>
      </c>
      <c r="N857">
        <v>40.6</v>
      </c>
      <c r="O857">
        <v>70.2</v>
      </c>
      <c r="P857">
        <v>5.01</v>
      </c>
      <c r="Q857">
        <v>2.6</v>
      </c>
      <c r="R857" t="s">
        <v>209</v>
      </c>
      <c r="S857" t="s">
        <v>29</v>
      </c>
      <c r="T857" t="s">
        <v>30</v>
      </c>
      <c r="U857" t="str">
        <f t="shared" si="39"/>
        <v>Normal</v>
      </c>
      <c r="V857" t="str">
        <f t="shared" si="40"/>
        <v>Normal</v>
      </c>
      <c r="W857" t="str">
        <f t="shared" si="41"/>
        <v>Normal</v>
      </c>
    </row>
    <row r="858" spans="1:23" x14ac:dyDescent="0.3">
      <c r="A858">
        <v>10436</v>
      </c>
      <c r="B858" s="2">
        <v>45880</v>
      </c>
      <c r="C858" t="s">
        <v>31</v>
      </c>
      <c r="D858" t="s">
        <v>21</v>
      </c>
      <c r="E858" t="s">
        <v>33</v>
      </c>
      <c r="F858" t="s">
        <v>41</v>
      </c>
      <c r="G858" t="s">
        <v>24</v>
      </c>
      <c r="H858" t="s">
        <v>169</v>
      </c>
      <c r="I858" t="s">
        <v>254</v>
      </c>
      <c r="J858">
        <v>852</v>
      </c>
      <c r="K858">
        <v>9</v>
      </c>
      <c r="L858" t="s">
        <v>37</v>
      </c>
      <c r="M858">
        <v>70</v>
      </c>
      <c r="N858">
        <v>51.2</v>
      </c>
      <c r="O858">
        <v>70.2</v>
      </c>
      <c r="P858">
        <v>5.24</v>
      </c>
      <c r="Q858">
        <v>3.9</v>
      </c>
      <c r="R858" t="s">
        <v>80</v>
      </c>
      <c r="S858" t="s">
        <v>73</v>
      </c>
      <c r="T858" t="s">
        <v>30</v>
      </c>
      <c r="U858" t="str">
        <f t="shared" si="39"/>
        <v>Normal</v>
      </c>
      <c r="V858" t="str">
        <f t="shared" si="40"/>
        <v>Normal</v>
      </c>
      <c r="W858" t="str">
        <f t="shared" si="41"/>
        <v>Normal</v>
      </c>
    </row>
    <row r="859" spans="1:23" x14ac:dyDescent="0.3">
      <c r="A859">
        <v>10159</v>
      </c>
      <c r="B859" s="2">
        <v>45904</v>
      </c>
      <c r="C859" t="s">
        <v>20</v>
      </c>
      <c r="D859" t="s">
        <v>59</v>
      </c>
      <c r="E859" t="s">
        <v>107</v>
      </c>
      <c r="F859" t="s">
        <v>41</v>
      </c>
      <c r="G859" t="s">
        <v>34</v>
      </c>
      <c r="H859" t="s">
        <v>66</v>
      </c>
      <c r="I859" t="s">
        <v>203</v>
      </c>
      <c r="J859">
        <v>1332</v>
      </c>
      <c r="K859">
        <v>15</v>
      </c>
      <c r="L859" t="s">
        <v>37</v>
      </c>
      <c r="M859">
        <v>69</v>
      </c>
      <c r="N859">
        <v>52.4</v>
      </c>
      <c r="O859">
        <v>70.2</v>
      </c>
      <c r="P859">
        <v>5.44</v>
      </c>
      <c r="Q859">
        <v>3.96</v>
      </c>
      <c r="R859" t="s">
        <v>159</v>
      </c>
      <c r="S859" t="s">
        <v>29</v>
      </c>
      <c r="T859" t="s">
        <v>30</v>
      </c>
      <c r="U859" t="str">
        <f t="shared" si="39"/>
        <v>Normal</v>
      </c>
      <c r="V859" t="str">
        <f t="shared" si="40"/>
        <v>Normal</v>
      </c>
      <c r="W859" t="str">
        <f t="shared" si="41"/>
        <v>Normal</v>
      </c>
    </row>
    <row r="860" spans="1:23" x14ac:dyDescent="0.3">
      <c r="A860">
        <v>10420</v>
      </c>
      <c r="B860" s="2">
        <v>45904</v>
      </c>
      <c r="C860" t="s">
        <v>31</v>
      </c>
      <c r="D860" t="s">
        <v>64</v>
      </c>
      <c r="E860" t="s">
        <v>107</v>
      </c>
      <c r="F860" t="s">
        <v>23</v>
      </c>
      <c r="G860" t="s">
        <v>95</v>
      </c>
      <c r="H860" t="s">
        <v>215</v>
      </c>
      <c r="I860" t="s">
        <v>269</v>
      </c>
      <c r="J860">
        <v>662</v>
      </c>
      <c r="K860">
        <v>9</v>
      </c>
      <c r="L860" t="s">
        <v>27</v>
      </c>
      <c r="M860">
        <v>26</v>
      </c>
      <c r="N860">
        <v>47</v>
      </c>
      <c r="O860">
        <v>70.2</v>
      </c>
      <c r="P860">
        <v>4.09</v>
      </c>
      <c r="Q860">
        <v>1.21</v>
      </c>
      <c r="R860" t="s">
        <v>143</v>
      </c>
      <c r="S860" t="s">
        <v>29</v>
      </c>
      <c r="T860" t="s">
        <v>30</v>
      </c>
      <c r="U860" t="str">
        <f t="shared" si="39"/>
        <v>Normal</v>
      </c>
      <c r="V860" t="str">
        <f t="shared" si="40"/>
        <v>Normal</v>
      </c>
      <c r="W860" t="str">
        <f t="shared" si="41"/>
        <v>Normal</v>
      </c>
    </row>
    <row r="861" spans="1:23" x14ac:dyDescent="0.3">
      <c r="A861">
        <v>11236</v>
      </c>
      <c r="B861" s="2">
        <v>45765</v>
      </c>
      <c r="C861" t="s">
        <v>49</v>
      </c>
      <c r="D861" t="s">
        <v>59</v>
      </c>
      <c r="E861" t="s">
        <v>33</v>
      </c>
      <c r="F861" t="s">
        <v>41</v>
      </c>
      <c r="G861" t="s">
        <v>74</v>
      </c>
      <c r="H861" t="s">
        <v>114</v>
      </c>
      <c r="I861" t="s">
        <v>338</v>
      </c>
      <c r="J861">
        <v>800</v>
      </c>
      <c r="K861">
        <v>11</v>
      </c>
      <c r="L861" t="s">
        <v>57</v>
      </c>
      <c r="M861">
        <v>35</v>
      </c>
      <c r="N861">
        <v>41.9</v>
      </c>
      <c r="O861">
        <v>70.2</v>
      </c>
      <c r="P861">
        <v>5.63</v>
      </c>
      <c r="Q861">
        <v>4.1399999999999997</v>
      </c>
      <c r="R861" t="s">
        <v>186</v>
      </c>
      <c r="S861" t="s">
        <v>47</v>
      </c>
      <c r="T861" t="s">
        <v>30</v>
      </c>
      <c r="U861" t="str">
        <f t="shared" si="39"/>
        <v>Normal</v>
      </c>
      <c r="V861" t="str">
        <f t="shared" si="40"/>
        <v>Normal</v>
      </c>
      <c r="W861" t="str">
        <f t="shared" si="41"/>
        <v>Normal</v>
      </c>
    </row>
    <row r="862" spans="1:23" x14ac:dyDescent="0.3">
      <c r="A862">
        <v>11019</v>
      </c>
      <c r="B862" s="2">
        <v>45763</v>
      </c>
      <c r="C862" t="s">
        <v>20</v>
      </c>
      <c r="D862" t="s">
        <v>32</v>
      </c>
      <c r="E862" t="s">
        <v>40</v>
      </c>
      <c r="F862" t="s">
        <v>23</v>
      </c>
      <c r="G862" t="s">
        <v>89</v>
      </c>
      <c r="H862" t="s">
        <v>223</v>
      </c>
      <c r="I862" t="s">
        <v>368</v>
      </c>
      <c r="J862">
        <v>472</v>
      </c>
      <c r="K862">
        <v>2</v>
      </c>
      <c r="L862" t="s">
        <v>37</v>
      </c>
      <c r="M862">
        <v>45</v>
      </c>
      <c r="N862">
        <v>44.3</v>
      </c>
      <c r="O862">
        <v>70.2</v>
      </c>
      <c r="P862">
        <v>4.17</v>
      </c>
      <c r="Q862">
        <v>1.62</v>
      </c>
      <c r="R862" t="s">
        <v>63</v>
      </c>
      <c r="S862" t="s">
        <v>73</v>
      </c>
      <c r="T862" t="s">
        <v>30</v>
      </c>
      <c r="U862" t="str">
        <f t="shared" si="39"/>
        <v>Normal</v>
      </c>
      <c r="V862" t="str">
        <f t="shared" si="40"/>
        <v>Normal</v>
      </c>
      <c r="W862" t="str">
        <f t="shared" si="41"/>
        <v>Normal</v>
      </c>
    </row>
    <row r="863" spans="1:23" x14ac:dyDescent="0.3">
      <c r="A863">
        <v>11419</v>
      </c>
      <c r="B863" s="2">
        <v>45741</v>
      </c>
      <c r="C863" t="s">
        <v>49</v>
      </c>
      <c r="D863" t="s">
        <v>32</v>
      </c>
      <c r="E863" t="s">
        <v>22</v>
      </c>
      <c r="F863" t="s">
        <v>41</v>
      </c>
      <c r="G863" t="s">
        <v>109</v>
      </c>
      <c r="H863" t="s">
        <v>213</v>
      </c>
      <c r="I863" t="s">
        <v>353</v>
      </c>
      <c r="J863">
        <v>901</v>
      </c>
      <c r="K863">
        <v>5</v>
      </c>
      <c r="L863" t="s">
        <v>57</v>
      </c>
      <c r="M863">
        <v>100</v>
      </c>
      <c r="N863">
        <v>29.5</v>
      </c>
      <c r="O863">
        <v>70.2</v>
      </c>
      <c r="P863">
        <v>6.01</v>
      </c>
      <c r="Q863">
        <v>3.62</v>
      </c>
      <c r="R863" t="s">
        <v>28</v>
      </c>
      <c r="S863" t="s">
        <v>29</v>
      </c>
      <c r="T863" t="s">
        <v>30</v>
      </c>
      <c r="U863" t="str">
        <f t="shared" si="39"/>
        <v>Normal</v>
      </c>
      <c r="V863" t="str">
        <f t="shared" si="40"/>
        <v>Normal</v>
      </c>
      <c r="W863" t="str">
        <f t="shared" si="41"/>
        <v>Normal</v>
      </c>
    </row>
    <row r="864" spans="1:23" x14ac:dyDescent="0.3">
      <c r="A864">
        <v>11365</v>
      </c>
      <c r="B864" s="2">
        <v>45734</v>
      </c>
      <c r="C864" t="s">
        <v>49</v>
      </c>
      <c r="D864" t="s">
        <v>64</v>
      </c>
      <c r="E864" t="s">
        <v>40</v>
      </c>
      <c r="F864" t="s">
        <v>23</v>
      </c>
      <c r="G864" t="s">
        <v>74</v>
      </c>
      <c r="H864" t="s">
        <v>131</v>
      </c>
      <c r="I864" t="s">
        <v>356</v>
      </c>
      <c r="J864">
        <v>769</v>
      </c>
      <c r="K864">
        <v>19</v>
      </c>
      <c r="L864" t="s">
        <v>68</v>
      </c>
      <c r="M864">
        <v>118</v>
      </c>
      <c r="N864">
        <v>34</v>
      </c>
      <c r="O864">
        <v>70.2</v>
      </c>
      <c r="P864">
        <v>6.28</v>
      </c>
      <c r="Q864">
        <v>2.34</v>
      </c>
      <c r="R864" t="s">
        <v>103</v>
      </c>
      <c r="S864" t="s">
        <v>29</v>
      </c>
      <c r="T864" t="s">
        <v>30</v>
      </c>
      <c r="U864" t="str">
        <f t="shared" si="39"/>
        <v>Normal</v>
      </c>
      <c r="V864" t="str">
        <f t="shared" si="40"/>
        <v>Normal</v>
      </c>
      <c r="W864" t="str">
        <f t="shared" si="41"/>
        <v>Normal</v>
      </c>
    </row>
    <row r="865" spans="1:23" x14ac:dyDescent="0.3">
      <c r="A865">
        <v>11241</v>
      </c>
      <c r="B865" s="2">
        <v>45993</v>
      </c>
      <c r="C865" t="s">
        <v>31</v>
      </c>
      <c r="D865" t="s">
        <v>32</v>
      </c>
      <c r="E865" t="s">
        <v>33</v>
      </c>
      <c r="F865" t="s">
        <v>23</v>
      </c>
      <c r="G865" t="s">
        <v>74</v>
      </c>
      <c r="H865" t="s">
        <v>161</v>
      </c>
      <c r="I865" t="s">
        <v>361</v>
      </c>
      <c r="J865">
        <v>941</v>
      </c>
      <c r="K865">
        <v>29</v>
      </c>
      <c r="L865" t="s">
        <v>45</v>
      </c>
      <c r="M865">
        <v>51</v>
      </c>
      <c r="N865">
        <v>48.9</v>
      </c>
      <c r="O865">
        <v>70.2</v>
      </c>
      <c r="P865">
        <v>5.57</v>
      </c>
      <c r="Q865">
        <v>3.21</v>
      </c>
      <c r="R865" t="s">
        <v>164</v>
      </c>
      <c r="S865" t="s">
        <v>47</v>
      </c>
      <c r="T865" t="s">
        <v>48</v>
      </c>
      <c r="U865" t="str">
        <f t="shared" si="39"/>
        <v>Normal</v>
      </c>
      <c r="V865" t="str">
        <f t="shared" si="40"/>
        <v>Normal</v>
      </c>
      <c r="W865" t="str">
        <f t="shared" si="41"/>
        <v>Normal</v>
      </c>
    </row>
    <row r="866" spans="1:23" x14ac:dyDescent="0.3">
      <c r="A866">
        <v>11093</v>
      </c>
      <c r="B866" s="2">
        <v>45830</v>
      </c>
      <c r="C866" t="s">
        <v>20</v>
      </c>
      <c r="D866" t="s">
        <v>64</v>
      </c>
      <c r="E866" t="s">
        <v>40</v>
      </c>
      <c r="F866" t="s">
        <v>81</v>
      </c>
      <c r="G866" t="s">
        <v>113</v>
      </c>
      <c r="H866" t="s">
        <v>25</v>
      </c>
      <c r="I866" t="s">
        <v>384</v>
      </c>
      <c r="J866">
        <v>632</v>
      </c>
      <c r="K866">
        <v>23</v>
      </c>
      <c r="L866" t="s">
        <v>71</v>
      </c>
      <c r="M866">
        <v>163</v>
      </c>
      <c r="N866">
        <v>38.4</v>
      </c>
      <c r="O866">
        <v>70.2</v>
      </c>
      <c r="P866">
        <v>5.78</v>
      </c>
      <c r="Q866">
        <v>2.35</v>
      </c>
      <c r="R866" t="s">
        <v>229</v>
      </c>
      <c r="S866" t="s">
        <v>73</v>
      </c>
      <c r="T866" t="s">
        <v>48</v>
      </c>
      <c r="U866" t="str">
        <f t="shared" si="39"/>
        <v>Normal</v>
      </c>
      <c r="V866" t="str">
        <f t="shared" si="40"/>
        <v>Normal</v>
      </c>
      <c r="W866" t="str">
        <f t="shared" si="41"/>
        <v>Normal</v>
      </c>
    </row>
    <row r="867" spans="1:23" x14ac:dyDescent="0.3">
      <c r="A867">
        <v>10636</v>
      </c>
      <c r="B867" s="2">
        <v>45673</v>
      </c>
      <c r="C867" t="s">
        <v>31</v>
      </c>
      <c r="D867" t="s">
        <v>21</v>
      </c>
      <c r="E867" t="s">
        <v>40</v>
      </c>
      <c r="F867" t="s">
        <v>81</v>
      </c>
      <c r="G867" t="s">
        <v>95</v>
      </c>
      <c r="H867" t="s">
        <v>265</v>
      </c>
      <c r="I867" t="s">
        <v>354</v>
      </c>
      <c r="J867">
        <v>467</v>
      </c>
      <c r="K867">
        <v>6</v>
      </c>
      <c r="L867" t="s">
        <v>57</v>
      </c>
      <c r="M867">
        <v>13</v>
      </c>
      <c r="N867">
        <v>43.8</v>
      </c>
      <c r="O867">
        <v>70.2</v>
      </c>
      <c r="P867">
        <v>5.73</v>
      </c>
      <c r="Q867">
        <v>1.1000000000000001</v>
      </c>
      <c r="R867" t="s">
        <v>152</v>
      </c>
      <c r="S867" t="s">
        <v>47</v>
      </c>
      <c r="T867" t="s">
        <v>30</v>
      </c>
      <c r="U867" t="str">
        <f t="shared" si="39"/>
        <v>Normal</v>
      </c>
      <c r="V867" t="str">
        <f t="shared" si="40"/>
        <v>Normal</v>
      </c>
      <c r="W867" t="str">
        <f t="shared" si="41"/>
        <v>Normal</v>
      </c>
    </row>
    <row r="868" spans="1:23" x14ac:dyDescent="0.3">
      <c r="A868">
        <v>11357</v>
      </c>
      <c r="B868" s="2">
        <v>45897</v>
      </c>
      <c r="C868" t="s">
        <v>31</v>
      </c>
      <c r="D868" t="s">
        <v>64</v>
      </c>
      <c r="E868" t="s">
        <v>107</v>
      </c>
      <c r="F868" t="s">
        <v>41</v>
      </c>
      <c r="G868" t="s">
        <v>24</v>
      </c>
      <c r="H868" t="s">
        <v>123</v>
      </c>
      <c r="I868" t="s">
        <v>324</v>
      </c>
      <c r="J868">
        <v>1075</v>
      </c>
      <c r="K868">
        <v>16</v>
      </c>
      <c r="L868" t="s">
        <v>37</v>
      </c>
      <c r="M868">
        <v>63</v>
      </c>
      <c r="N868">
        <v>42.7</v>
      </c>
      <c r="O868">
        <v>70.2</v>
      </c>
      <c r="P868">
        <v>5.55</v>
      </c>
      <c r="Q868">
        <v>3.9</v>
      </c>
      <c r="R868" t="s">
        <v>240</v>
      </c>
      <c r="S868" t="s">
        <v>29</v>
      </c>
      <c r="T868" t="s">
        <v>30</v>
      </c>
      <c r="U868" t="str">
        <f t="shared" si="39"/>
        <v>Normal</v>
      </c>
      <c r="V868" t="str">
        <f t="shared" si="40"/>
        <v>Normal</v>
      </c>
      <c r="W868" t="str">
        <f t="shared" si="41"/>
        <v>Normal</v>
      </c>
    </row>
    <row r="869" spans="1:23" x14ac:dyDescent="0.3">
      <c r="A869">
        <v>10096</v>
      </c>
      <c r="B869" s="2">
        <v>45798</v>
      </c>
      <c r="C869" t="s">
        <v>31</v>
      </c>
      <c r="D869" t="s">
        <v>59</v>
      </c>
      <c r="E869" t="s">
        <v>107</v>
      </c>
      <c r="F869" t="s">
        <v>41</v>
      </c>
      <c r="G869" t="s">
        <v>54</v>
      </c>
      <c r="H869" t="s">
        <v>213</v>
      </c>
      <c r="I869" t="s">
        <v>238</v>
      </c>
      <c r="J869">
        <v>1413</v>
      </c>
      <c r="K869">
        <v>103</v>
      </c>
      <c r="L869" t="s">
        <v>68</v>
      </c>
      <c r="M869">
        <v>97</v>
      </c>
      <c r="N869">
        <v>42.3</v>
      </c>
      <c r="O869">
        <v>70.2</v>
      </c>
      <c r="P869">
        <v>4.1500000000000004</v>
      </c>
      <c r="Q869">
        <v>1.08</v>
      </c>
      <c r="R869" t="s">
        <v>189</v>
      </c>
      <c r="S869" t="s">
        <v>39</v>
      </c>
      <c r="T869" t="s">
        <v>48</v>
      </c>
      <c r="U869" t="str">
        <f t="shared" si="39"/>
        <v>Normal</v>
      </c>
      <c r="V869" t="str">
        <f t="shared" si="40"/>
        <v>Normal</v>
      </c>
      <c r="W869" t="str">
        <f t="shared" si="41"/>
        <v>Normal</v>
      </c>
    </row>
    <row r="870" spans="1:23" x14ac:dyDescent="0.3">
      <c r="A870">
        <v>10770</v>
      </c>
      <c r="B870" s="2">
        <v>45745</v>
      </c>
      <c r="C870" t="s">
        <v>20</v>
      </c>
      <c r="D870" t="s">
        <v>64</v>
      </c>
      <c r="E870" t="s">
        <v>33</v>
      </c>
      <c r="F870" t="s">
        <v>81</v>
      </c>
      <c r="G870" t="s">
        <v>95</v>
      </c>
      <c r="H870" t="s">
        <v>51</v>
      </c>
      <c r="I870" t="s">
        <v>357</v>
      </c>
      <c r="J870">
        <v>1263</v>
      </c>
      <c r="K870">
        <v>9</v>
      </c>
      <c r="L870" t="s">
        <v>45</v>
      </c>
      <c r="M870">
        <v>49</v>
      </c>
      <c r="N870">
        <v>34.6</v>
      </c>
      <c r="O870">
        <v>70.2</v>
      </c>
      <c r="P870">
        <v>4.3099999999999996</v>
      </c>
      <c r="Q870">
        <v>2.5099999999999998</v>
      </c>
      <c r="R870" t="s">
        <v>242</v>
      </c>
      <c r="S870" t="s">
        <v>29</v>
      </c>
      <c r="T870" t="s">
        <v>30</v>
      </c>
      <c r="U870" t="str">
        <f t="shared" si="39"/>
        <v>Normal</v>
      </c>
      <c r="V870" t="str">
        <f t="shared" si="40"/>
        <v>Normal</v>
      </c>
      <c r="W870" t="str">
        <f t="shared" si="41"/>
        <v>Normal</v>
      </c>
    </row>
    <row r="871" spans="1:23" x14ac:dyDescent="0.3">
      <c r="A871">
        <v>10498</v>
      </c>
      <c r="B871" s="2">
        <v>45703</v>
      </c>
      <c r="C871" t="s">
        <v>31</v>
      </c>
      <c r="D871" t="s">
        <v>59</v>
      </c>
      <c r="E871" t="s">
        <v>22</v>
      </c>
      <c r="F871" t="s">
        <v>23</v>
      </c>
      <c r="G871" t="s">
        <v>95</v>
      </c>
      <c r="H871" t="s">
        <v>25</v>
      </c>
      <c r="I871" t="s">
        <v>188</v>
      </c>
      <c r="J871">
        <v>1194</v>
      </c>
      <c r="K871">
        <v>25</v>
      </c>
      <c r="L871" t="s">
        <v>68</v>
      </c>
      <c r="M871">
        <v>161</v>
      </c>
      <c r="N871">
        <v>46.6</v>
      </c>
      <c r="O871">
        <v>70.099999999999994</v>
      </c>
      <c r="P871">
        <v>5.51</v>
      </c>
      <c r="Q871">
        <v>1.88</v>
      </c>
      <c r="R871" t="s">
        <v>189</v>
      </c>
      <c r="S871" t="s">
        <v>39</v>
      </c>
      <c r="T871" t="s">
        <v>30</v>
      </c>
      <c r="U871" t="str">
        <f t="shared" si="39"/>
        <v>Normal</v>
      </c>
      <c r="V871" t="str">
        <f t="shared" si="40"/>
        <v>Normal</v>
      </c>
      <c r="W871" t="str">
        <f t="shared" si="41"/>
        <v>Normal</v>
      </c>
    </row>
    <row r="872" spans="1:23" x14ac:dyDescent="0.3">
      <c r="A872">
        <v>10066</v>
      </c>
      <c r="B872" s="2">
        <v>45890</v>
      </c>
      <c r="C872" t="s">
        <v>20</v>
      </c>
      <c r="D872" t="s">
        <v>21</v>
      </c>
      <c r="E872" t="s">
        <v>40</v>
      </c>
      <c r="F872" t="s">
        <v>23</v>
      </c>
      <c r="G872" t="s">
        <v>134</v>
      </c>
      <c r="H872" t="s">
        <v>90</v>
      </c>
      <c r="I872" t="s">
        <v>219</v>
      </c>
      <c r="J872">
        <v>1038</v>
      </c>
      <c r="K872">
        <v>9</v>
      </c>
      <c r="L872" t="s">
        <v>45</v>
      </c>
      <c r="M872">
        <v>74</v>
      </c>
      <c r="N872">
        <v>50.3</v>
      </c>
      <c r="O872">
        <v>70.099999999999994</v>
      </c>
      <c r="P872">
        <v>4.25</v>
      </c>
      <c r="Q872">
        <v>2.36</v>
      </c>
      <c r="R872" t="s">
        <v>159</v>
      </c>
      <c r="S872" t="s">
        <v>73</v>
      </c>
      <c r="T872" t="s">
        <v>30</v>
      </c>
      <c r="U872" t="str">
        <f t="shared" si="39"/>
        <v>Normal</v>
      </c>
      <c r="V872" t="str">
        <f t="shared" si="40"/>
        <v>Normal</v>
      </c>
      <c r="W872" t="str">
        <f t="shared" si="41"/>
        <v>Normal</v>
      </c>
    </row>
    <row r="873" spans="1:23" x14ac:dyDescent="0.3">
      <c r="A873">
        <v>11047</v>
      </c>
      <c r="B873" s="2">
        <v>45766</v>
      </c>
      <c r="C873" t="s">
        <v>49</v>
      </c>
      <c r="D873" t="s">
        <v>32</v>
      </c>
      <c r="E873" t="s">
        <v>107</v>
      </c>
      <c r="F873" t="s">
        <v>41</v>
      </c>
      <c r="G873" t="s">
        <v>60</v>
      </c>
      <c r="H873" t="s">
        <v>205</v>
      </c>
      <c r="I873" t="s">
        <v>221</v>
      </c>
      <c r="J873">
        <v>523</v>
      </c>
      <c r="K873">
        <v>7</v>
      </c>
      <c r="L873" t="s">
        <v>37</v>
      </c>
      <c r="M873">
        <v>50</v>
      </c>
      <c r="N873">
        <v>25.3</v>
      </c>
      <c r="O873">
        <v>70.099999999999994</v>
      </c>
      <c r="P873">
        <v>5.17</v>
      </c>
      <c r="Q873">
        <v>4.21</v>
      </c>
      <c r="R873" t="s">
        <v>222</v>
      </c>
      <c r="S873" t="s">
        <v>39</v>
      </c>
      <c r="T873" t="s">
        <v>30</v>
      </c>
      <c r="U873" t="str">
        <f t="shared" si="39"/>
        <v>Normal</v>
      </c>
      <c r="V873" t="str">
        <f t="shared" si="40"/>
        <v>Normal</v>
      </c>
      <c r="W873" t="str">
        <f t="shared" si="41"/>
        <v>Normal</v>
      </c>
    </row>
    <row r="874" spans="1:23" x14ac:dyDescent="0.3">
      <c r="A874">
        <v>10199</v>
      </c>
      <c r="B874" s="2">
        <v>45728</v>
      </c>
      <c r="C874" t="s">
        <v>49</v>
      </c>
      <c r="D874" t="s">
        <v>59</v>
      </c>
      <c r="E874" t="s">
        <v>40</v>
      </c>
      <c r="F874" t="s">
        <v>41</v>
      </c>
      <c r="G874" t="s">
        <v>74</v>
      </c>
      <c r="H874" t="s">
        <v>180</v>
      </c>
      <c r="I874" t="s">
        <v>309</v>
      </c>
      <c r="J874">
        <v>1394</v>
      </c>
      <c r="K874">
        <v>15</v>
      </c>
      <c r="L874" t="s">
        <v>37</v>
      </c>
      <c r="M874">
        <v>164</v>
      </c>
      <c r="N874">
        <v>40.200000000000003</v>
      </c>
      <c r="O874">
        <v>70.099999999999994</v>
      </c>
      <c r="P874">
        <v>5.15</v>
      </c>
      <c r="Q874">
        <v>3.33</v>
      </c>
      <c r="R874" t="s">
        <v>174</v>
      </c>
      <c r="S874" t="s">
        <v>47</v>
      </c>
      <c r="T874" t="s">
        <v>30</v>
      </c>
      <c r="U874" t="str">
        <f t="shared" si="39"/>
        <v>Normal</v>
      </c>
      <c r="V874" t="str">
        <f t="shared" si="40"/>
        <v>Normal</v>
      </c>
      <c r="W874" t="str">
        <f t="shared" si="41"/>
        <v>Normal</v>
      </c>
    </row>
    <row r="875" spans="1:23" x14ac:dyDescent="0.3">
      <c r="A875">
        <v>10261</v>
      </c>
      <c r="B875" s="2">
        <v>45877</v>
      </c>
      <c r="C875" t="s">
        <v>31</v>
      </c>
      <c r="D875" t="s">
        <v>59</v>
      </c>
      <c r="E875" t="s">
        <v>22</v>
      </c>
      <c r="F875" t="s">
        <v>23</v>
      </c>
      <c r="G875" t="s">
        <v>50</v>
      </c>
      <c r="H875" t="s">
        <v>287</v>
      </c>
      <c r="I875" t="s">
        <v>358</v>
      </c>
      <c r="J875">
        <v>916</v>
      </c>
      <c r="K875">
        <v>34</v>
      </c>
      <c r="L875" t="s">
        <v>37</v>
      </c>
      <c r="M875">
        <v>38</v>
      </c>
      <c r="N875">
        <v>45.1</v>
      </c>
      <c r="O875">
        <v>70.099999999999994</v>
      </c>
      <c r="P875">
        <v>4.88</v>
      </c>
      <c r="Q875">
        <v>2.63</v>
      </c>
      <c r="R875" t="s">
        <v>243</v>
      </c>
      <c r="S875" t="s">
        <v>47</v>
      </c>
      <c r="T875" t="s">
        <v>48</v>
      </c>
      <c r="U875" t="str">
        <f t="shared" si="39"/>
        <v>Normal</v>
      </c>
      <c r="V875" t="str">
        <f t="shared" si="40"/>
        <v>Normal</v>
      </c>
      <c r="W875" t="str">
        <f t="shared" si="41"/>
        <v>Normal</v>
      </c>
    </row>
    <row r="876" spans="1:23" x14ac:dyDescent="0.3">
      <c r="A876">
        <v>10769</v>
      </c>
      <c r="B876" s="2">
        <v>45666</v>
      </c>
      <c r="C876" t="s">
        <v>20</v>
      </c>
      <c r="D876" t="s">
        <v>32</v>
      </c>
      <c r="E876" t="s">
        <v>33</v>
      </c>
      <c r="F876" t="s">
        <v>23</v>
      </c>
      <c r="G876" t="s">
        <v>113</v>
      </c>
      <c r="H876" t="s">
        <v>424</v>
      </c>
      <c r="I876" t="s">
        <v>233</v>
      </c>
      <c r="J876">
        <v>1392</v>
      </c>
      <c r="K876">
        <v>35</v>
      </c>
      <c r="L876" t="s">
        <v>27</v>
      </c>
      <c r="M876">
        <v>100</v>
      </c>
      <c r="N876">
        <v>53.5</v>
      </c>
      <c r="O876">
        <v>70.099999999999994</v>
      </c>
      <c r="P876">
        <v>4.6500000000000004</v>
      </c>
      <c r="Q876">
        <v>2.0499999999999998</v>
      </c>
      <c r="R876" t="s">
        <v>77</v>
      </c>
      <c r="S876" t="s">
        <v>73</v>
      </c>
      <c r="T876" t="s">
        <v>30</v>
      </c>
      <c r="U876" t="str">
        <f t="shared" si="39"/>
        <v>Normal</v>
      </c>
      <c r="V876" t="str">
        <f t="shared" si="40"/>
        <v>Normal</v>
      </c>
      <c r="W876" t="str">
        <f t="shared" si="41"/>
        <v>Normal</v>
      </c>
    </row>
    <row r="877" spans="1:23" x14ac:dyDescent="0.3">
      <c r="A877">
        <v>10567</v>
      </c>
      <c r="B877" s="2">
        <v>45680</v>
      </c>
      <c r="C877" t="s">
        <v>20</v>
      </c>
      <c r="D877" t="s">
        <v>32</v>
      </c>
      <c r="E877" t="s">
        <v>40</v>
      </c>
      <c r="F877" t="s">
        <v>41</v>
      </c>
      <c r="G877" t="s">
        <v>89</v>
      </c>
      <c r="H877" t="s">
        <v>90</v>
      </c>
      <c r="I877" t="s">
        <v>91</v>
      </c>
      <c r="J877">
        <v>984</v>
      </c>
      <c r="K877">
        <v>10</v>
      </c>
      <c r="L877" t="s">
        <v>57</v>
      </c>
      <c r="M877">
        <v>91</v>
      </c>
      <c r="N877">
        <v>42.5</v>
      </c>
      <c r="O877">
        <v>70</v>
      </c>
      <c r="P877">
        <v>5.85</v>
      </c>
      <c r="Q877">
        <v>1.5</v>
      </c>
      <c r="R877" t="s">
        <v>92</v>
      </c>
      <c r="S877" t="s">
        <v>39</v>
      </c>
      <c r="T877" t="s">
        <v>30</v>
      </c>
      <c r="U877" t="str">
        <f t="shared" si="39"/>
        <v>Normal</v>
      </c>
      <c r="V877" t="str">
        <f t="shared" si="40"/>
        <v>Normal</v>
      </c>
      <c r="W877" t="str">
        <f t="shared" si="41"/>
        <v>Normal</v>
      </c>
    </row>
    <row r="878" spans="1:23" x14ac:dyDescent="0.3">
      <c r="A878">
        <v>10827</v>
      </c>
      <c r="B878" s="2">
        <v>45794</v>
      </c>
      <c r="C878" t="s">
        <v>49</v>
      </c>
      <c r="D878" t="s">
        <v>21</v>
      </c>
      <c r="E878" t="s">
        <v>22</v>
      </c>
      <c r="F878" t="s">
        <v>81</v>
      </c>
      <c r="G878" t="s">
        <v>113</v>
      </c>
      <c r="H878" t="s">
        <v>141</v>
      </c>
      <c r="I878" t="s">
        <v>142</v>
      </c>
      <c r="J878">
        <v>581</v>
      </c>
      <c r="K878">
        <v>2</v>
      </c>
      <c r="L878" t="s">
        <v>71</v>
      </c>
      <c r="M878">
        <v>74</v>
      </c>
      <c r="N878">
        <v>43.6</v>
      </c>
      <c r="O878">
        <v>70</v>
      </c>
      <c r="P878">
        <v>5.19</v>
      </c>
      <c r="Q878">
        <v>4.57</v>
      </c>
      <c r="R878" t="s">
        <v>143</v>
      </c>
      <c r="S878" t="s">
        <v>39</v>
      </c>
      <c r="T878" t="s">
        <v>30</v>
      </c>
      <c r="U878" t="str">
        <f t="shared" si="39"/>
        <v>Normal</v>
      </c>
      <c r="V878" t="str">
        <f t="shared" si="40"/>
        <v>Normal</v>
      </c>
      <c r="W878" t="str">
        <f t="shared" si="41"/>
        <v>Normal</v>
      </c>
    </row>
    <row r="879" spans="1:23" x14ac:dyDescent="0.3">
      <c r="A879">
        <v>10708</v>
      </c>
      <c r="B879" s="2">
        <v>45802</v>
      </c>
      <c r="C879" t="s">
        <v>20</v>
      </c>
      <c r="D879" t="s">
        <v>64</v>
      </c>
      <c r="E879" t="s">
        <v>107</v>
      </c>
      <c r="F879" t="s">
        <v>81</v>
      </c>
      <c r="G879" t="s">
        <v>34</v>
      </c>
      <c r="H879" t="s">
        <v>287</v>
      </c>
      <c r="I879" t="s">
        <v>323</v>
      </c>
      <c r="J879">
        <v>1076</v>
      </c>
      <c r="K879">
        <v>29</v>
      </c>
      <c r="L879" t="s">
        <v>71</v>
      </c>
      <c r="M879">
        <v>135</v>
      </c>
      <c r="N879">
        <v>45.3</v>
      </c>
      <c r="O879">
        <v>70</v>
      </c>
      <c r="P879">
        <v>4.68</v>
      </c>
      <c r="Q879">
        <v>3.05</v>
      </c>
      <c r="R879" t="s">
        <v>105</v>
      </c>
      <c r="S879" t="s">
        <v>39</v>
      </c>
      <c r="T879" t="s">
        <v>30</v>
      </c>
      <c r="U879" t="str">
        <f t="shared" si="39"/>
        <v>Normal</v>
      </c>
      <c r="V879" t="str">
        <f t="shared" si="40"/>
        <v>Normal</v>
      </c>
      <c r="W879" t="str">
        <f t="shared" si="41"/>
        <v>Normal</v>
      </c>
    </row>
    <row r="880" spans="1:23" x14ac:dyDescent="0.3">
      <c r="A880">
        <v>11300</v>
      </c>
      <c r="B880" s="2">
        <v>45843</v>
      </c>
      <c r="C880" t="s">
        <v>31</v>
      </c>
      <c r="D880" t="s">
        <v>21</v>
      </c>
      <c r="E880" t="s">
        <v>22</v>
      </c>
      <c r="F880" t="s">
        <v>23</v>
      </c>
      <c r="G880" t="s">
        <v>24</v>
      </c>
      <c r="H880" t="s">
        <v>43</v>
      </c>
      <c r="I880" t="s">
        <v>162</v>
      </c>
      <c r="J880">
        <v>1283</v>
      </c>
      <c r="K880">
        <v>82</v>
      </c>
      <c r="L880" t="s">
        <v>27</v>
      </c>
      <c r="M880">
        <v>159</v>
      </c>
      <c r="N880">
        <v>27.2</v>
      </c>
      <c r="O880">
        <v>70</v>
      </c>
      <c r="P880">
        <v>6.01</v>
      </c>
      <c r="Q880">
        <v>2.12</v>
      </c>
      <c r="R880" t="s">
        <v>186</v>
      </c>
      <c r="S880" t="s">
        <v>29</v>
      </c>
      <c r="T880" t="s">
        <v>48</v>
      </c>
      <c r="U880" t="str">
        <f t="shared" si="39"/>
        <v>Normal</v>
      </c>
      <c r="V880" t="str">
        <f t="shared" si="40"/>
        <v>Normal</v>
      </c>
      <c r="W880" t="str">
        <f t="shared" si="41"/>
        <v>Normal</v>
      </c>
    </row>
    <row r="881" spans="1:23" x14ac:dyDescent="0.3">
      <c r="A881">
        <v>11345</v>
      </c>
      <c r="B881" s="2">
        <v>45775</v>
      </c>
      <c r="C881" t="s">
        <v>20</v>
      </c>
      <c r="D881" t="s">
        <v>21</v>
      </c>
      <c r="E881" t="s">
        <v>33</v>
      </c>
      <c r="F881" t="s">
        <v>41</v>
      </c>
      <c r="G881" t="s">
        <v>74</v>
      </c>
      <c r="H881" t="s">
        <v>200</v>
      </c>
      <c r="I881" t="s">
        <v>275</v>
      </c>
      <c r="J881">
        <v>1413</v>
      </c>
      <c r="K881">
        <v>43</v>
      </c>
      <c r="L881" t="s">
        <v>424</v>
      </c>
      <c r="M881">
        <v>168</v>
      </c>
      <c r="N881">
        <v>42.7</v>
      </c>
      <c r="O881">
        <v>70</v>
      </c>
      <c r="P881">
        <v>3.74</v>
      </c>
      <c r="Q881">
        <v>3.12</v>
      </c>
      <c r="R881" t="s">
        <v>179</v>
      </c>
      <c r="S881" t="s">
        <v>73</v>
      </c>
      <c r="T881" t="s">
        <v>48</v>
      </c>
      <c r="U881" t="str">
        <f t="shared" si="39"/>
        <v>Normal</v>
      </c>
      <c r="V881" t="str">
        <f t="shared" si="40"/>
        <v>Normal</v>
      </c>
      <c r="W881" t="str">
        <f t="shared" si="41"/>
        <v>Normal</v>
      </c>
    </row>
    <row r="882" spans="1:23" x14ac:dyDescent="0.3">
      <c r="A882">
        <v>10735</v>
      </c>
      <c r="B882" s="2">
        <v>45725</v>
      </c>
      <c r="C882" t="s">
        <v>49</v>
      </c>
      <c r="D882" t="s">
        <v>59</v>
      </c>
      <c r="E882" t="s">
        <v>107</v>
      </c>
      <c r="F882" t="s">
        <v>23</v>
      </c>
      <c r="G882" t="s">
        <v>89</v>
      </c>
      <c r="H882" t="s">
        <v>177</v>
      </c>
      <c r="I882" t="s">
        <v>348</v>
      </c>
      <c r="J882">
        <v>1273</v>
      </c>
      <c r="K882">
        <v>15</v>
      </c>
      <c r="L882" t="s">
        <v>27</v>
      </c>
      <c r="M882">
        <v>174</v>
      </c>
      <c r="N882">
        <v>37.299999999999997</v>
      </c>
      <c r="O882">
        <v>70</v>
      </c>
      <c r="P882">
        <v>6.61</v>
      </c>
      <c r="Q882">
        <v>2.62</v>
      </c>
      <c r="R882" t="s">
        <v>77</v>
      </c>
      <c r="S882" t="s">
        <v>73</v>
      </c>
      <c r="T882" t="s">
        <v>30</v>
      </c>
      <c r="U882" t="str">
        <f t="shared" si="39"/>
        <v>Normal</v>
      </c>
      <c r="V882" t="str">
        <f t="shared" si="40"/>
        <v>Normal</v>
      </c>
      <c r="W882" t="str">
        <f t="shared" si="41"/>
        <v>Normal</v>
      </c>
    </row>
    <row r="883" spans="1:23" x14ac:dyDescent="0.3">
      <c r="A883">
        <v>10877</v>
      </c>
      <c r="B883" s="2">
        <v>45995</v>
      </c>
      <c r="C883" t="s">
        <v>20</v>
      </c>
      <c r="D883" t="s">
        <v>21</v>
      </c>
      <c r="E883" t="s">
        <v>40</v>
      </c>
      <c r="F883" t="s">
        <v>41</v>
      </c>
      <c r="G883" t="s">
        <v>50</v>
      </c>
      <c r="H883" t="s">
        <v>101</v>
      </c>
      <c r="I883" t="s">
        <v>268</v>
      </c>
      <c r="J883">
        <v>1469</v>
      </c>
      <c r="K883">
        <v>14</v>
      </c>
      <c r="L883" t="s">
        <v>57</v>
      </c>
      <c r="M883">
        <v>61</v>
      </c>
      <c r="N883">
        <v>50.2</v>
      </c>
      <c r="O883">
        <v>70</v>
      </c>
      <c r="P883">
        <v>5.7</v>
      </c>
      <c r="Q883">
        <v>3.71</v>
      </c>
      <c r="R883" t="s">
        <v>159</v>
      </c>
      <c r="S883" t="s">
        <v>47</v>
      </c>
      <c r="T883" t="s">
        <v>30</v>
      </c>
      <c r="U883" t="str">
        <f t="shared" si="39"/>
        <v>Normal</v>
      </c>
      <c r="V883" t="str">
        <f t="shared" si="40"/>
        <v>Normal</v>
      </c>
      <c r="W883" t="str">
        <f t="shared" si="41"/>
        <v>Normal</v>
      </c>
    </row>
    <row r="884" spans="1:23" x14ac:dyDescent="0.3">
      <c r="A884">
        <v>10776</v>
      </c>
      <c r="B884" s="2">
        <v>45660</v>
      </c>
      <c r="C884" t="s">
        <v>31</v>
      </c>
      <c r="D884" t="s">
        <v>32</v>
      </c>
      <c r="E884" t="s">
        <v>22</v>
      </c>
      <c r="F884" t="s">
        <v>23</v>
      </c>
      <c r="G884" t="s">
        <v>50</v>
      </c>
      <c r="H884" t="s">
        <v>114</v>
      </c>
      <c r="I884" t="s">
        <v>52</v>
      </c>
      <c r="J884">
        <v>1522</v>
      </c>
      <c r="K884">
        <v>27</v>
      </c>
      <c r="L884" t="s">
        <v>45</v>
      </c>
      <c r="M884">
        <v>132</v>
      </c>
      <c r="N884">
        <v>43.5</v>
      </c>
      <c r="O884">
        <v>70</v>
      </c>
      <c r="P884">
        <v>4.8899999999999997</v>
      </c>
      <c r="Q884">
        <v>1.35</v>
      </c>
      <c r="R884" t="s">
        <v>232</v>
      </c>
      <c r="S884" t="s">
        <v>73</v>
      </c>
      <c r="T884" t="s">
        <v>30</v>
      </c>
      <c r="U884" t="str">
        <f t="shared" si="39"/>
        <v>Normal</v>
      </c>
      <c r="V884" t="str">
        <f t="shared" si="40"/>
        <v>Normal</v>
      </c>
      <c r="W884" t="str">
        <f t="shared" si="41"/>
        <v>Normal</v>
      </c>
    </row>
    <row r="885" spans="1:23" x14ac:dyDescent="0.3">
      <c r="A885">
        <v>10224</v>
      </c>
      <c r="B885" s="2">
        <v>45733</v>
      </c>
      <c r="C885" t="s">
        <v>20</v>
      </c>
      <c r="D885" t="s">
        <v>21</v>
      </c>
      <c r="E885" t="s">
        <v>40</v>
      </c>
      <c r="F885" t="s">
        <v>23</v>
      </c>
      <c r="G885" t="s">
        <v>60</v>
      </c>
      <c r="H885" t="s">
        <v>287</v>
      </c>
      <c r="I885" t="s">
        <v>372</v>
      </c>
      <c r="J885">
        <v>1462</v>
      </c>
      <c r="K885">
        <v>17</v>
      </c>
      <c r="L885" t="s">
        <v>37</v>
      </c>
      <c r="M885">
        <v>83</v>
      </c>
      <c r="N885">
        <v>45.3</v>
      </c>
      <c r="O885">
        <v>69.900000000000006</v>
      </c>
      <c r="P885">
        <v>5.88</v>
      </c>
      <c r="Q885">
        <v>0.46</v>
      </c>
      <c r="R885" t="s">
        <v>222</v>
      </c>
      <c r="S885" t="s">
        <v>47</v>
      </c>
      <c r="T885" t="s">
        <v>30</v>
      </c>
      <c r="U885" t="str">
        <f t="shared" si="39"/>
        <v>Normal</v>
      </c>
      <c r="V885" t="str">
        <f t="shared" si="40"/>
        <v>Normal</v>
      </c>
      <c r="W885" t="str">
        <f t="shared" si="41"/>
        <v>Normal</v>
      </c>
    </row>
    <row r="886" spans="1:23" x14ac:dyDescent="0.3">
      <c r="A886">
        <v>10120</v>
      </c>
      <c r="B886" s="2">
        <v>45678</v>
      </c>
      <c r="C886" t="s">
        <v>49</v>
      </c>
      <c r="D886" t="s">
        <v>64</v>
      </c>
      <c r="E886" t="s">
        <v>33</v>
      </c>
      <c r="F886" t="s">
        <v>23</v>
      </c>
      <c r="G886" t="s">
        <v>74</v>
      </c>
      <c r="H886" t="s">
        <v>85</v>
      </c>
      <c r="I886" t="s">
        <v>251</v>
      </c>
      <c r="J886">
        <v>1098</v>
      </c>
      <c r="K886">
        <v>14</v>
      </c>
      <c r="L886" t="s">
        <v>27</v>
      </c>
      <c r="M886">
        <v>132</v>
      </c>
      <c r="N886">
        <v>42.2</v>
      </c>
      <c r="O886">
        <v>69.900000000000006</v>
      </c>
      <c r="P886">
        <v>6.63</v>
      </c>
      <c r="Q886">
        <v>3.05</v>
      </c>
      <c r="R886" t="s">
        <v>147</v>
      </c>
      <c r="S886" t="s">
        <v>29</v>
      </c>
      <c r="T886" t="s">
        <v>30</v>
      </c>
      <c r="U886" t="str">
        <f t="shared" si="39"/>
        <v>Normal</v>
      </c>
      <c r="V886" t="str">
        <f t="shared" si="40"/>
        <v>Normal</v>
      </c>
      <c r="W886" t="str">
        <f t="shared" si="41"/>
        <v>Normal</v>
      </c>
    </row>
    <row r="887" spans="1:23" x14ac:dyDescent="0.3">
      <c r="A887">
        <v>10152</v>
      </c>
      <c r="B887" s="2">
        <v>45994</v>
      </c>
      <c r="C887" t="s">
        <v>49</v>
      </c>
      <c r="D887" t="s">
        <v>59</v>
      </c>
      <c r="E887" t="s">
        <v>40</v>
      </c>
      <c r="F887" t="s">
        <v>41</v>
      </c>
      <c r="G887" t="s">
        <v>74</v>
      </c>
      <c r="H887" t="s">
        <v>51</v>
      </c>
      <c r="I887" t="s">
        <v>129</v>
      </c>
      <c r="J887">
        <v>1517</v>
      </c>
      <c r="K887">
        <v>49</v>
      </c>
      <c r="L887" t="s">
        <v>37</v>
      </c>
      <c r="M887">
        <v>120</v>
      </c>
      <c r="N887">
        <v>41.9</v>
      </c>
      <c r="O887">
        <v>69.900000000000006</v>
      </c>
      <c r="P887">
        <v>5.22</v>
      </c>
      <c r="Q887">
        <v>3.4</v>
      </c>
      <c r="R887" t="s">
        <v>84</v>
      </c>
      <c r="S887" t="s">
        <v>73</v>
      </c>
      <c r="T887" t="s">
        <v>48</v>
      </c>
      <c r="U887" t="str">
        <f t="shared" si="39"/>
        <v>Normal</v>
      </c>
      <c r="V887" t="str">
        <f t="shared" si="40"/>
        <v>Normal</v>
      </c>
      <c r="W887" t="str">
        <f t="shared" si="41"/>
        <v>Normal</v>
      </c>
    </row>
    <row r="888" spans="1:23" x14ac:dyDescent="0.3">
      <c r="A888">
        <v>10795</v>
      </c>
      <c r="B888" s="2">
        <v>45966</v>
      </c>
      <c r="C888" t="s">
        <v>31</v>
      </c>
      <c r="D888" t="s">
        <v>64</v>
      </c>
      <c r="E888" t="s">
        <v>40</v>
      </c>
      <c r="F888" t="s">
        <v>23</v>
      </c>
      <c r="G888" t="s">
        <v>113</v>
      </c>
      <c r="H888" t="s">
        <v>205</v>
      </c>
      <c r="I888" t="s">
        <v>299</v>
      </c>
      <c r="J888">
        <v>999</v>
      </c>
      <c r="K888">
        <v>13</v>
      </c>
      <c r="L888" t="s">
        <v>57</v>
      </c>
      <c r="M888">
        <v>34</v>
      </c>
      <c r="N888">
        <v>53.3</v>
      </c>
      <c r="O888">
        <v>69.900000000000006</v>
      </c>
      <c r="P888">
        <v>4.68</v>
      </c>
      <c r="Q888">
        <v>3.58</v>
      </c>
      <c r="R888" t="s">
        <v>77</v>
      </c>
      <c r="S888" t="s">
        <v>73</v>
      </c>
      <c r="T888" t="s">
        <v>30</v>
      </c>
      <c r="U888" t="str">
        <f t="shared" si="39"/>
        <v>Normal</v>
      </c>
      <c r="V888" t="str">
        <f t="shared" si="40"/>
        <v>Normal</v>
      </c>
      <c r="W888" t="str">
        <f t="shared" si="41"/>
        <v>Normal</v>
      </c>
    </row>
    <row r="889" spans="1:23" x14ac:dyDescent="0.3">
      <c r="A889">
        <v>11397</v>
      </c>
      <c r="B889" s="2">
        <v>45788</v>
      </c>
      <c r="C889" t="s">
        <v>49</v>
      </c>
      <c r="D889" t="s">
        <v>64</v>
      </c>
      <c r="E889" t="s">
        <v>40</v>
      </c>
      <c r="F889" t="s">
        <v>41</v>
      </c>
      <c r="G889" t="s">
        <v>74</v>
      </c>
      <c r="H889" t="s">
        <v>180</v>
      </c>
      <c r="I889" t="s">
        <v>259</v>
      </c>
      <c r="J889">
        <v>745</v>
      </c>
      <c r="K889">
        <v>9</v>
      </c>
      <c r="L889" t="s">
        <v>57</v>
      </c>
      <c r="M889">
        <v>125</v>
      </c>
      <c r="N889">
        <v>39.700000000000003</v>
      </c>
      <c r="O889">
        <v>69.900000000000006</v>
      </c>
      <c r="P889">
        <v>6.13</v>
      </c>
      <c r="Q889">
        <v>2.0299999999999998</v>
      </c>
      <c r="R889" t="s">
        <v>72</v>
      </c>
      <c r="S889" t="s">
        <v>39</v>
      </c>
      <c r="T889" t="s">
        <v>30</v>
      </c>
      <c r="U889" t="str">
        <f t="shared" si="39"/>
        <v>Normal</v>
      </c>
      <c r="V889" t="str">
        <f t="shared" si="40"/>
        <v>Normal</v>
      </c>
      <c r="W889" t="str">
        <f t="shared" si="41"/>
        <v>Normal</v>
      </c>
    </row>
    <row r="890" spans="1:23" x14ac:dyDescent="0.3">
      <c r="A890">
        <v>10494</v>
      </c>
      <c r="B890" s="2">
        <v>45884</v>
      </c>
      <c r="C890" t="s">
        <v>49</v>
      </c>
      <c r="D890" t="s">
        <v>64</v>
      </c>
      <c r="E890" t="s">
        <v>107</v>
      </c>
      <c r="F890" t="s">
        <v>23</v>
      </c>
      <c r="G890" t="s">
        <v>74</v>
      </c>
      <c r="H890" t="s">
        <v>177</v>
      </c>
      <c r="I890" t="s">
        <v>230</v>
      </c>
      <c r="J890">
        <v>990</v>
      </c>
      <c r="K890">
        <v>27</v>
      </c>
      <c r="L890" t="s">
        <v>27</v>
      </c>
      <c r="M890">
        <v>24</v>
      </c>
      <c r="N890">
        <v>34.799999999999997</v>
      </c>
      <c r="O890">
        <v>69.8</v>
      </c>
      <c r="P890">
        <v>0.4</v>
      </c>
      <c r="Q890">
        <v>2.82</v>
      </c>
      <c r="R890" t="s">
        <v>167</v>
      </c>
      <c r="S890" t="s">
        <v>73</v>
      </c>
      <c r="T890" t="s">
        <v>30</v>
      </c>
      <c r="U890" t="str">
        <f t="shared" si="39"/>
        <v>Normal</v>
      </c>
      <c r="V890" t="str">
        <f t="shared" si="40"/>
        <v>Investigate</v>
      </c>
      <c r="W890" t="str">
        <f t="shared" si="41"/>
        <v>Normal</v>
      </c>
    </row>
    <row r="891" spans="1:23" x14ac:dyDescent="0.3">
      <c r="A891">
        <v>10998</v>
      </c>
      <c r="B891" s="2">
        <v>45996</v>
      </c>
      <c r="C891" t="s">
        <v>49</v>
      </c>
      <c r="D891" t="s">
        <v>21</v>
      </c>
      <c r="E891" t="s">
        <v>107</v>
      </c>
      <c r="F891" t="s">
        <v>81</v>
      </c>
      <c r="G891" t="s">
        <v>134</v>
      </c>
      <c r="H891" t="s">
        <v>213</v>
      </c>
      <c r="I891" t="s">
        <v>246</v>
      </c>
      <c r="J891">
        <v>1184</v>
      </c>
      <c r="K891">
        <v>12</v>
      </c>
      <c r="L891" t="s">
        <v>27</v>
      </c>
      <c r="M891">
        <v>162</v>
      </c>
      <c r="N891">
        <v>38.799999999999997</v>
      </c>
      <c r="O891">
        <v>69.8</v>
      </c>
      <c r="P891">
        <v>6.84</v>
      </c>
      <c r="Q891">
        <v>1.6</v>
      </c>
      <c r="R891" t="s">
        <v>105</v>
      </c>
      <c r="S891" t="s">
        <v>73</v>
      </c>
      <c r="T891" t="s">
        <v>30</v>
      </c>
      <c r="U891" t="str">
        <f t="shared" si="39"/>
        <v>Normal</v>
      </c>
      <c r="V891" t="str">
        <f t="shared" si="40"/>
        <v>Normal</v>
      </c>
      <c r="W891" t="str">
        <f t="shared" si="41"/>
        <v>Normal</v>
      </c>
    </row>
    <row r="892" spans="1:23" x14ac:dyDescent="0.3">
      <c r="A892">
        <v>10078</v>
      </c>
      <c r="B892" s="2">
        <v>45820</v>
      </c>
      <c r="C892" t="s">
        <v>20</v>
      </c>
      <c r="D892" t="s">
        <v>64</v>
      </c>
      <c r="E892" t="s">
        <v>40</v>
      </c>
      <c r="F892" t="s">
        <v>41</v>
      </c>
      <c r="G892" t="s">
        <v>54</v>
      </c>
      <c r="H892" t="s">
        <v>120</v>
      </c>
      <c r="I892" t="s">
        <v>305</v>
      </c>
      <c r="J892">
        <v>1557</v>
      </c>
      <c r="K892">
        <v>99</v>
      </c>
      <c r="L892" t="s">
        <v>37</v>
      </c>
      <c r="M892">
        <v>155</v>
      </c>
      <c r="N892">
        <v>31.1</v>
      </c>
      <c r="O892">
        <v>69.8</v>
      </c>
      <c r="P892">
        <v>3.52</v>
      </c>
      <c r="Q892">
        <v>3.08</v>
      </c>
      <c r="R892" t="s">
        <v>153</v>
      </c>
      <c r="S892" t="s">
        <v>73</v>
      </c>
      <c r="T892" t="s">
        <v>48</v>
      </c>
      <c r="U892" t="str">
        <f t="shared" si="39"/>
        <v>Normal</v>
      </c>
      <c r="V892" t="str">
        <f t="shared" si="40"/>
        <v>Normal</v>
      </c>
      <c r="W892" t="str">
        <f t="shared" si="41"/>
        <v>Normal</v>
      </c>
    </row>
    <row r="893" spans="1:23" x14ac:dyDescent="0.3">
      <c r="A893">
        <v>10733</v>
      </c>
      <c r="B893" s="2">
        <v>45803</v>
      </c>
      <c r="C893" t="s">
        <v>31</v>
      </c>
      <c r="D893" t="s">
        <v>32</v>
      </c>
      <c r="E893" t="s">
        <v>33</v>
      </c>
      <c r="F893" t="s">
        <v>41</v>
      </c>
      <c r="G893" t="s">
        <v>54</v>
      </c>
      <c r="H893" t="s">
        <v>123</v>
      </c>
      <c r="I893" t="s">
        <v>194</v>
      </c>
      <c r="J893">
        <v>741</v>
      </c>
      <c r="K893">
        <v>7</v>
      </c>
      <c r="L893" t="s">
        <v>45</v>
      </c>
      <c r="M893">
        <v>153</v>
      </c>
      <c r="N893">
        <v>49.3</v>
      </c>
      <c r="O893">
        <v>69.8</v>
      </c>
      <c r="P893">
        <v>5.35</v>
      </c>
      <c r="Q893">
        <v>1.35</v>
      </c>
      <c r="R893" t="s">
        <v>77</v>
      </c>
      <c r="S893" t="s">
        <v>73</v>
      </c>
      <c r="T893" t="s">
        <v>30</v>
      </c>
      <c r="U893" t="str">
        <f t="shared" si="39"/>
        <v>Normal</v>
      </c>
      <c r="V893" t="str">
        <f t="shared" si="40"/>
        <v>Normal</v>
      </c>
      <c r="W893" t="str">
        <f t="shared" si="41"/>
        <v>Normal</v>
      </c>
    </row>
    <row r="894" spans="1:23" x14ac:dyDescent="0.3">
      <c r="A894">
        <v>11439</v>
      </c>
      <c r="B894" s="2">
        <v>45983</v>
      </c>
      <c r="C894" t="s">
        <v>31</v>
      </c>
      <c r="D894" t="s">
        <v>21</v>
      </c>
      <c r="E894" t="s">
        <v>22</v>
      </c>
      <c r="F894" t="s">
        <v>23</v>
      </c>
      <c r="G894" t="s">
        <v>60</v>
      </c>
      <c r="H894" t="s">
        <v>205</v>
      </c>
      <c r="I894" t="s">
        <v>201</v>
      </c>
      <c r="J894">
        <v>1345</v>
      </c>
      <c r="K894">
        <v>17</v>
      </c>
      <c r="L894" t="s">
        <v>71</v>
      </c>
      <c r="M894">
        <v>56</v>
      </c>
      <c r="N894">
        <v>28.5</v>
      </c>
      <c r="O894">
        <v>69.8</v>
      </c>
      <c r="P894">
        <v>5.33</v>
      </c>
      <c r="Q894">
        <v>0.47</v>
      </c>
      <c r="R894" t="s">
        <v>189</v>
      </c>
      <c r="S894" t="s">
        <v>73</v>
      </c>
      <c r="T894" t="s">
        <v>30</v>
      </c>
      <c r="U894" t="str">
        <f t="shared" si="39"/>
        <v>Normal</v>
      </c>
      <c r="V894" t="str">
        <f t="shared" si="40"/>
        <v>Normal</v>
      </c>
      <c r="W894" t="str">
        <f t="shared" si="41"/>
        <v>Normal</v>
      </c>
    </row>
    <row r="895" spans="1:23" x14ac:dyDescent="0.3">
      <c r="A895">
        <v>10609</v>
      </c>
      <c r="B895" s="2">
        <v>46009</v>
      </c>
      <c r="C895" t="s">
        <v>31</v>
      </c>
      <c r="D895" t="s">
        <v>32</v>
      </c>
      <c r="E895" t="s">
        <v>107</v>
      </c>
      <c r="F895" t="s">
        <v>23</v>
      </c>
      <c r="G895" t="s">
        <v>134</v>
      </c>
      <c r="H895" t="s">
        <v>51</v>
      </c>
      <c r="I895" t="s">
        <v>258</v>
      </c>
      <c r="J895">
        <v>838</v>
      </c>
      <c r="K895">
        <v>3</v>
      </c>
      <c r="L895" t="s">
        <v>57</v>
      </c>
      <c r="M895">
        <v>21</v>
      </c>
      <c r="N895">
        <v>51</v>
      </c>
      <c r="O895">
        <v>69.8</v>
      </c>
      <c r="P895">
        <v>4.75</v>
      </c>
      <c r="Q895">
        <v>2.16</v>
      </c>
      <c r="R895" t="s">
        <v>202</v>
      </c>
      <c r="S895" t="s">
        <v>29</v>
      </c>
      <c r="T895" t="s">
        <v>30</v>
      </c>
      <c r="U895" t="str">
        <f t="shared" si="39"/>
        <v>Normal</v>
      </c>
      <c r="V895" t="str">
        <f t="shared" si="40"/>
        <v>Normal</v>
      </c>
      <c r="W895" t="str">
        <f t="shared" si="41"/>
        <v>Normal</v>
      </c>
    </row>
    <row r="896" spans="1:23" x14ac:dyDescent="0.3">
      <c r="A896">
        <v>10777</v>
      </c>
      <c r="B896" s="2">
        <v>45854</v>
      </c>
      <c r="C896" t="s">
        <v>31</v>
      </c>
      <c r="D896" t="s">
        <v>64</v>
      </c>
      <c r="E896" t="s">
        <v>107</v>
      </c>
      <c r="F896" t="s">
        <v>81</v>
      </c>
      <c r="G896" t="s">
        <v>113</v>
      </c>
      <c r="H896" t="s">
        <v>205</v>
      </c>
      <c r="I896" t="s">
        <v>355</v>
      </c>
      <c r="J896">
        <v>1365</v>
      </c>
      <c r="K896">
        <v>4</v>
      </c>
      <c r="L896" t="s">
        <v>71</v>
      </c>
      <c r="M896">
        <v>9</v>
      </c>
      <c r="N896">
        <v>41.2</v>
      </c>
      <c r="O896">
        <v>69.8</v>
      </c>
      <c r="P896">
        <v>5.76</v>
      </c>
      <c r="Q896">
        <v>5.77</v>
      </c>
      <c r="R896" t="s">
        <v>84</v>
      </c>
      <c r="S896" t="s">
        <v>39</v>
      </c>
      <c r="T896" t="s">
        <v>30</v>
      </c>
      <c r="U896" t="str">
        <f t="shared" si="39"/>
        <v>Normal</v>
      </c>
      <c r="V896" t="str">
        <f t="shared" si="40"/>
        <v>Normal</v>
      </c>
      <c r="W896" t="str">
        <f t="shared" si="41"/>
        <v>Normal</v>
      </c>
    </row>
    <row r="897" spans="1:23" x14ac:dyDescent="0.3">
      <c r="A897">
        <v>10629</v>
      </c>
      <c r="B897" s="2">
        <v>45813</v>
      </c>
      <c r="C897" t="s">
        <v>31</v>
      </c>
      <c r="D897" t="s">
        <v>59</v>
      </c>
      <c r="E897" t="s">
        <v>33</v>
      </c>
      <c r="F897" t="s">
        <v>41</v>
      </c>
      <c r="G897" t="s">
        <v>95</v>
      </c>
      <c r="H897" t="s">
        <v>165</v>
      </c>
      <c r="I897" t="s">
        <v>162</v>
      </c>
      <c r="J897">
        <v>1385</v>
      </c>
      <c r="K897">
        <v>20</v>
      </c>
      <c r="L897" t="s">
        <v>57</v>
      </c>
      <c r="M897">
        <v>155</v>
      </c>
      <c r="N897">
        <v>51.7</v>
      </c>
      <c r="O897">
        <v>69.7</v>
      </c>
      <c r="P897">
        <v>4.49</v>
      </c>
      <c r="Q897">
        <v>3.07</v>
      </c>
      <c r="R897" t="s">
        <v>87</v>
      </c>
      <c r="S897" t="s">
        <v>39</v>
      </c>
      <c r="T897" t="s">
        <v>30</v>
      </c>
      <c r="U897" t="str">
        <f t="shared" si="39"/>
        <v>Normal</v>
      </c>
      <c r="V897" t="str">
        <f t="shared" si="40"/>
        <v>Normal</v>
      </c>
      <c r="W897" t="str">
        <f t="shared" si="41"/>
        <v>Normal</v>
      </c>
    </row>
    <row r="898" spans="1:23" x14ac:dyDescent="0.3">
      <c r="A898">
        <v>10353</v>
      </c>
      <c r="B898" s="2">
        <v>45897</v>
      </c>
      <c r="C898" t="s">
        <v>49</v>
      </c>
      <c r="D898" t="s">
        <v>32</v>
      </c>
      <c r="E898" t="s">
        <v>33</v>
      </c>
      <c r="F898" t="s">
        <v>41</v>
      </c>
      <c r="G898" t="s">
        <v>109</v>
      </c>
      <c r="H898" t="s">
        <v>161</v>
      </c>
      <c r="I898" t="s">
        <v>212</v>
      </c>
      <c r="J898">
        <v>1547</v>
      </c>
      <c r="K898">
        <v>11</v>
      </c>
      <c r="L898" t="s">
        <v>57</v>
      </c>
      <c r="M898">
        <v>6</v>
      </c>
      <c r="N898">
        <v>47.1</v>
      </c>
      <c r="O898">
        <v>69.7</v>
      </c>
      <c r="P898">
        <v>5.34</v>
      </c>
      <c r="Q898">
        <v>3.28</v>
      </c>
      <c r="R898" t="s">
        <v>229</v>
      </c>
      <c r="S898" t="s">
        <v>29</v>
      </c>
      <c r="T898" t="s">
        <v>30</v>
      </c>
      <c r="U898" t="str">
        <f t="shared" ref="U898:U961" si="42">IF(OR(O898&lt;20,O898&gt;100),"Investigate","Normal")</f>
        <v>Normal</v>
      </c>
      <c r="V898" t="str">
        <f t="shared" ref="V898:V961" si="43">IF(OR(P898&lt;2,P898&gt;10),"Investigate","Normal")</f>
        <v>Normal</v>
      </c>
      <c r="W898" t="str">
        <f t="shared" ref="W898:W961" si="44">IF(Q898&gt;10,"Investigate","Normal")</f>
        <v>Normal</v>
      </c>
    </row>
    <row r="899" spans="1:23" x14ac:dyDescent="0.3">
      <c r="A899">
        <v>11459</v>
      </c>
      <c r="B899" s="2">
        <v>45666</v>
      </c>
      <c r="C899" t="s">
        <v>20</v>
      </c>
      <c r="D899" t="s">
        <v>64</v>
      </c>
      <c r="E899" t="s">
        <v>40</v>
      </c>
      <c r="F899" t="s">
        <v>23</v>
      </c>
      <c r="G899" t="s">
        <v>134</v>
      </c>
      <c r="H899" t="s">
        <v>263</v>
      </c>
      <c r="I899" t="s">
        <v>44</v>
      </c>
      <c r="J899">
        <v>888</v>
      </c>
      <c r="K899">
        <v>85</v>
      </c>
      <c r="L899" t="s">
        <v>57</v>
      </c>
      <c r="M899">
        <v>103</v>
      </c>
      <c r="N899">
        <v>50.4</v>
      </c>
      <c r="O899">
        <v>69.7</v>
      </c>
      <c r="P899">
        <v>5</v>
      </c>
      <c r="Q899">
        <v>2.02</v>
      </c>
      <c r="R899" t="s">
        <v>195</v>
      </c>
      <c r="S899" t="s">
        <v>39</v>
      </c>
      <c r="T899" t="s">
        <v>48</v>
      </c>
      <c r="U899" t="str">
        <f t="shared" si="42"/>
        <v>Normal</v>
      </c>
      <c r="V899" t="str">
        <f t="shared" si="43"/>
        <v>Normal</v>
      </c>
      <c r="W899" t="str">
        <f t="shared" si="44"/>
        <v>Normal</v>
      </c>
    </row>
    <row r="900" spans="1:23" x14ac:dyDescent="0.3">
      <c r="A900">
        <v>10824</v>
      </c>
      <c r="B900" s="2">
        <v>45729</v>
      </c>
      <c r="C900" t="s">
        <v>49</v>
      </c>
      <c r="D900" t="s">
        <v>64</v>
      </c>
      <c r="E900" t="s">
        <v>107</v>
      </c>
      <c r="F900" t="s">
        <v>23</v>
      </c>
      <c r="G900" t="s">
        <v>42</v>
      </c>
      <c r="H900" t="s">
        <v>215</v>
      </c>
      <c r="I900" t="s">
        <v>368</v>
      </c>
      <c r="J900">
        <v>1140</v>
      </c>
      <c r="K900">
        <v>28</v>
      </c>
      <c r="L900" t="s">
        <v>27</v>
      </c>
      <c r="M900">
        <v>80</v>
      </c>
      <c r="N900">
        <v>42.2</v>
      </c>
      <c r="O900">
        <v>69.7</v>
      </c>
      <c r="P900">
        <v>5.85</v>
      </c>
      <c r="Q900">
        <v>2.96</v>
      </c>
      <c r="R900" t="s">
        <v>38</v>
      </c>
      <c r="S900" t="s">
        <v>73</v>
      </c>
      <c r="T900" t="s">
        <v>30</v>
      </c>
      <c r="U900" t="str">
        <f t="shared" si="42"/>
        <v>Normal</v>
      </c>
      <c r="V900" t="str">
        <f t="shared" si="43"/>
        <v>Normal</v>
      </c>
      <c r="W900" t="str">
        <f t="shared" si="44"/>
        <v>Normal</v>
      </c>
    </row>
    <row r="901" spans="1:23" x14ac:dyDescent="0.3">
      <c r="A901">
        <v>10804</v>
      </c>
      <c r="B901" s="2">
        <v>45840</v>
      </c>
      <c r="C901" t="s">
        <v>49</v>
      </c>
      <c r="D901" t="s">
        <v>64</v>
      </c>
      <c r="E901" t="s">
        <v>107</v>
      </c>
      <c r="F901" t="s">
        <v>23</v>
      </c>
      <c r="G901" t="s">
        <v>60</v>
      </c>
      <c r="H901" t="s">
        <v>141</v>
      </c>
      <c r="I901" t="s">
        <v>349</v>
      </c>
      <c r="J901">
        <v>534</v>
      </c>
      <c r="K901">
        <v>14</v>
      </c>
      <c r="L901" t="s">
        <v>424</v>
      </c>
      <c r="M901">
        <v>116</v>
      </c>
      <c r="N901">
        <v>39.700000000000003</v>
      </c>
      <c r="O901">
        <v>69.7</v>
      </c>
      <c r="P901">
        <v>4.17</v>
      </c>
      <c r="Q901">
        <v>2.46</v>
      </c>
      <c r="R901" t="s">
        <v>77</v>
      </c>
      <c r="S901" t="s">
        <v>47</v>
      </c>
      <c r="T901" t="s">
        <v>30</v>
      </c>
      <c r="U901" t="str">
        <f t="shared" si="42"/>
        <v>Normal</v>
      </c>
      <c r="V901" t="str">
        <f t="shared" si="43"/>
        <v>Normal</v>
      </c>
      <c r="W901" t="str">
        <f t="shared" si="44"/>
        <v>Normal</v>
      </c>
    </row>
    <row r="902" spans="1:23" x14ac:dyDescent="0.3">
      <c r="A902">
        <v>11267</v>
      </c>
      <c r="B902" s="2">
        <v>45904</v>
      </c>
      <c r="C902" t="s">
        <v>49</v>
      </c>
      <c r="D902" t="s">
        <v>32</v>
      </c>
      <c r="E902" t="s">
        <v>33</v>
      </c>
      <c r="F902" t="s">
        <v>41</v>
      </c>
      <c r="G902" t="s">
        <v>34</v>
      </c>
      <c r="H902" t="s">
        <v>265</v>
      </c>
      <c r="I902" t="s">
        <v>178</v>
      </c>
      <c r="J902">
        <v>822</v>
      </c>
      <c r="K902">
        <v>5</v>
      </c>
      <c r="L902" t="s">
        <v>57</v>
      </c>
      <c r="M902">
        <v>105</v>
      </c>
      <c r="N902">
        <v>58.7</v>
      </c>
      <c r="O902">
        <v>69.7</v>
      </c>
      <c r="P902">
        <v>5.94</v>
      </c>
      <c r="Q902">
        <v>2.0699999999999998</v>
      </c>
      <c r="R902" t="s">
        <v>280</v>
      </c>
      <c r="S902" t="s">
        <v>47</v>
      </c>
      <c r="T902" t="s">
        <v>30</v>
      </c>
      <c r="U902" t="str">
        <f t="shared" si="42"/>
        <v>Normal</v>
      </c>
      <c r="V902" t="str">
        <f t="shared" si="43"/>
        <v>Normal</v>
      </c>
      <c r="W902" t="str">
        <f t="shared" si="44"/>
        <v>Normal</v>
      </c>
    </row>
    <row r="903" spans="1:23" x14ac:dyDescent="0.3">
      <c r="A903">
        <v>10460</v>
      </c>
      <c r="B903" s="2">
        <v>45931</v>
      </c>
      <c r="C903" t="s">
        <v>49</v>
      </c>
      <c r="D903" t="s">
        <v>21</v>
      </c>
      <c r="E903" t="s">
        <v>40</v>
      </c>
      <c r="F903" t="s">
        <v>23</v>
      </c>
      <c r="G903" t="s">
        <v>54</v>
      </c>
      <c r="H903" t="s">
        <v>213</v>
      </c>
      <c r="I903" t="s">
        <v>62</v>
      </c>
      <c r="J903">
        <v>1144</v>
      </c>
      <c r="K903">
        <v>14</v>
      </c>
      <c r="L903" t="s">
        <v>68</v>
      </c>
      <c r="M903">
        <v>12</v>
      </c>
      <c r="N903">
        <v>39.5</v>
      </c>
      <c r="O903">
        <v>69.7</v>
      </c>
      <c r="P903">
        <v>4.66</v>
      </c>
      <c r="Q903">
        <v>1.52</v>
      </c>
      <c r="R903" t="s">
        <v>28</v>
      </c>
      <c r="S903" t="s">
        <v>73</v>
      </c>
      <c r="T903" t="s">
        <v>30</v>
      </c>
      <c r="U903" t="str">
        <f t="shared" si="42"/>
        <v>Normal</v>
      </c>
      <c r="V903" t="str">
        <f t="shared" si="43"/>
        <v>Normal</v>
      </c>
      <c r="W903" t="str">
        <f t="shared" si="44"/>
        <v>Normal</v>
      </c>
    </row>
    <row r="904" spans="1:23" x14ac:dyDescent="0.3">
      <c r="A904">
        <v>11216</v>
      </c>
      <c r="B904" s="2">
        <v>46014</v>
      </c>
      <c r="C904" t="s">
        <v>31</v>
      </c>
      <c r="D904" t="s">
        <v>32</v>
      </c>
      <c r="E904" t="s">
        <v>33</v>
      </c>
      <c r="F904" t="s">
        <v>41</v>
      </c>
      <c r="G904" t="s">
        <v>34</v>
      </c>
      <c r="H904" t="s">
        <v>169</v>
      </c>
      <c r="I904" t="s">
        <v>160</v>
      </c>
      <c r="J904">
        <v>1529</v>
      </c>
      <c r="K904">
        <v>7</v>
      </c>
      <c r="L904" t="s">
        <v>68</v>
      </c>
      <c r="M904">
        <v>21</v>
      </c>
      <c r="N904">
        <v>48.1</v>
      </c>
      <c r="O904">
        <v>69.7</v>
      </c>
      <c r="P904">
        <v>4.33</v>
      </c>
      <c r="Q904">
        <v>3.48</v>
      </c>
      <c r="R904" t="s">
        <v>155</v>
      </c>
      <c r="S904" t="s">
        <v>73</v>
      </c>
      <c r="T904" t="s">
        <v>30</v>
      </c>
      <c r="U904" t="str">
        <f t="shared" si="42"/>
        <v>Normal</v>
      </c>
      <c r="V904" t="str">
        <f t="shared" si="43"/>
        <v>Normal</v>
      </c>
      <c r="W904" t="str">
        <f t="shared" si="44"/>
        <v>Normal</v>
      </c>
    </row>
    <row r="905" spans="1:23" x14ac:dyDescent="0.3">
      <c r="A905">
        <v>10568</v>
      </c>
      <c r="B905" s="2">
        <v>45969</v>
      </c>
      <c r="C905" t="s">
        <v>31</v>
      </c>
      <c r="D905" t="s">
        <v>32</v>
      </c>
      <c r="E905" t="s">
        <v>40</v>
      </c>
      <c r="F905" t="s">
        <v>81</v>
      </c>
      <c r="G905" t="s">
        <v>134</v>
      </c>
      <c r="H905" t="s">
        <v>252</v>
      </c>
      <c r="I905" t="s">
        <v>257</v>
      </c>
      <c r="J905">
        <v>1377</v>
      </c>
      <c r="K905">
        <v>20</v>
      </c>
      <c r="L905" t="s">
        <v>57</v>
      </c>
      <c r="M905">
        <v>32</v>
      </c>
      <c r="N905">
        <v>32.4</v>
      </c>
      <c r="O905">
        <v>69.599999999999994</v>
      </c>
      <c r="P905">
        <v>5.08</v>
      </c>
      <c r="Q905">
        <v>1.76</v>
      </c>
      <c r="R905" t="s">
        <v>232</v>
      </c>
      <c r="S905" t="s">
        <v>47</v>
      </c>
      <c r="T905" t="s">
        <v>30</v>
      </c>
      <c r="U905" t="str">
        <f t="shared" si="42"/>
        <v>Normal</v>
      </c>
      <c r="V905" t="str">
        <f t="shared" si="43"/>
        <v>Normal</v>
      </c>
      <c r="W905" t="str">
        <f t="shared" si="44"/>
        <v>Normal</v>
      </c>
    </row>
    <row r="906" spans="1:23" x14ac:dyDescent="0.3">
      <c r="A906">
        <v>11133</v>
      </c>
      <c r="B906" s="2">
        <v>45717</v>
      </c>
      <c r="C906" t="s">
        <v>31</v>
      </c>
      <c r="D906" t="s">
        <v>59</v>
      </c>
      <c r="E906" t="s">
        <v>22</v>
      </c>
      <c r="F906" t="s">
        <v>81</v>
      </c>
      <c r="G906" t="s">
        <v>113</v>
      </c>
      <c r="H906" t="s">
        <v>90</v>
      </c>
      <c r="I906" t="s">
        <v>97</v>
      </c>
      <c r="J906">
        <v>681</v>
      </c>
      <c r="K906">
        <v>9</v>
      </c>
      <c r="L906" t="s">
        <v>27</v>
      </c>
      <c r="M906">
        <v>142</v>
      </c>
      <c r="N906">
        <v>35.200000000000003</v>
      </c>
      <c r="O906">
        <v>69.599999999999994</v>
      </c>
      <c r="P906">
        <v>4.43</v>
      </c>
      <c r="Q906">
        <v>2.1800000000000002</v>
      </c>
      <c r="R906" t="s">
        <v>137</v>
      </c>
      <c r="S906" t="s">
        <v>29</v>
      </c>
      <c r="T906" t="s">
        <v>30</v>
      </c>
      <c r="U906" t="str">
        <f t="shared" si="42"/>
        <v>Normal</v>
      </c>
      <c r="V906" t="str">
        <f t="shared" si="43"/>
        <v>Normal</v>
      </c>
      <c r="W906" t="str">
        <f t="shared" si="44"/>
        <v>Normal</v>
      </c>
    </row>
    <row r="907" spans="1:23" x14ac:dyDescent="0.3">
      <c r="A907">
        <v>10604</v>
      </c>
      <c r="B907" s="2">
        <v>45738</v>
      </c>
      <c r="C907" t="s">
        <v>20</v>
      </c>
      <c r="D907" t="s">
        <v>64</v>
      </c>
      <c r="E907" t="s">
        <v>22</v>
      </c>
      <c r="F907" t="s">
        <v>81</v>
      </c>
      <c r="G907" t="s">
        <v>42</v>
      </c>
      <c r="H907" t="s">
        <v>177</v>
      </c>
      <c r="I907" t="s">
        <v>110</v>
      </c>
      <c r="J907">
        <v>1321</v>
      </c>
      <c r="K907">
        <v>19</v>
      </c>
      <c r="L907" t="s">
        <v>68</v>
      </c>
      <c r="M907">
        <v>137</v>
      </c>
      <c r="N907">
        <v>32.4</v>
      </c>
      <c r="O907">
        <v>69.599999999999994</v>
      </c>
      <c r="P907">
        <v>6.04</v>
      </c>
      <c r="Q907">
        <v>1.88</v>
      </c>
      <c r="R907" t="s">
        <v>143</v>
      </c>
      <c r="S907" t="s">
        <v>47</v>
      </c>
      <c r="T907" t="s">
        <v>30</v>
      </c>
      <c r="U907" t="str">
        <f t="shared" si="42"/>
        <v>Normal</v>
      </c>
      <c r="V907" t="str">
        <f t="shared" si="43"/>
        <v>Normal</v>
      </c>
      <c r="W907" t="str">
        <f t="shared" si="44"/>
        <v>Normal</v>
      </c>
    </row>
    <row r="908" spans="1:23" x14ac:dyDescent="0.3">
      <c r="A908">
        <v>11372</v>
      </c>
      <c r="B908" s="2">
        <v>45755</v>
      </c>
      <c r="C908" t="s">
        <v>49</v>
      </c>
      <c r="D908" t="s">
        <v>32</v>
      </c>
      <c r="E908" t="s">
        <v>40</v>
      </c>
      <c r="F908" t="s">
        <v>41</v>
      </c>
      <c r="G908" t="s">
        <v>34</v>
      </c>
      <c r="H908" t="s">
        <v>175</v>
      </c>
      <c r="I908" t="s">
        <v>231</v>
      </c>
      <c r="J908">
        <v>1052</v>
      </c>
      <c r="K908">
        <v>40</v>
      </c>
      <c r="L908" t="s">
        <v>71</v>
      </c>
      <c r="M908">
        <v>106</v>
      </c>
      <c r="N908">
        <v>40.200000000000003</v>
      </c>
      <c r="O908">
        <v>69.599999999999994</v>
      </c>
      <c r="P908">
        <v>4.9800000000000004</v>
      </c>
      <c r="Q908">
        <v>4.29</v>
      </c>
      <c r="R908" t="s">
        <v>232</v>
      </c>
      <c r="S908" t="s">
        <v>29</v>
      </c>
      <c r="T908" t="s">
        <v>48</v>
      </c>
      <c r="U908" t="str">
        <f t="shared" si="42"/>
        <v>Normal</v>
      </c>
      <c r="V908" t="str">
        <f t="shared" si="43"/>
        <v>Normal</v>
      </c>
      <c r="W908" t="str">
        <f t="shared" si="44"/>
        <v>Normal</v>
      </c>
    </row>
    <row r="909" spans="1:23" x14ac:dyDescent="0.3">
      <c r="A909">
        <v>10023</v>
      </c>
      <c r="B909" s="2">
        <v>45936</v>
      </c>
      <c r="C909" t="s">
        <v>20</v>
      </c>
      <c r="D909" t="s">
        <v>32</v>
      </c>
      <c r="E909" t="s">
        <v>22</v>
      </c>
      <c r="F909" t="s">
        <v>23</v>
      </c>
      <c r="G909" t="s">
        <v>89</v>
      </c>
      <c r="H909" t="s">
        <v>278</v>
      </c>
      <c r="I909" t="s">
        <v>160</v>
      </c>
      <c r="J909">
        <v>545</v>
      </c>
      <c r="K909">
        <v>4</v>
      </c>
      <c r="L909" t="s">
        <v>27</v>
      </c>
      <c r="M909">
        <v>90</v>
      </c>
      <c r="N909">
        <v>37.9</v>
      </c>
      <c r="O909">
        <v>69.599999999999994</v>
      </c>
      <c r="P909">
        <v>4.87</v>
      </c>
      <c r="Q909">
        <v>3.88</v>
      </c>
      <c r="R909" t="s">
        <v>72</v>
      </c>
      <c r="S909" t="s">
        <v>29</v>
      </c>
      <c r="T909" t="s">
        <v>30</v>
      </c>
      <c r="U909" t="str">
        <f t="shared" si="42"/>
        <v>Normal</v>
      </c>
      <c r="V909" t="str">
        <f t="shared" si="43"/>
        <v>Normal</v>
      </c>
      <c r="W909" t="str">
        <f t="shared" si="44"/>
        <v>Normal</v>
      </c>
    </row>
    <row r="910" spans="1:23" x14ac:dyDescent="0.3">
      <c r="A910">
        <v>11435</v>
      </c>
      <c r="B910" s="2">
        <v>45684</v>
      </c>
      <c r="C910" t="s">
        <v>31</v>
      </c>
      <c r="D910" t="s">
        <v>59</v>
      </c>
      <c r="E910" t="s">
        <v>40</v>
      </c>
      <c r="F910" t="s">
        <v>41</v>
      </c>
      <c r="G910" t="s">
        <v>24</v>
      </c>
      <c r="H910" t="s">
        <v>114</v>
      </c>
      <c r="I910" t="s">
        <v>371</v>
      </c>
      <c r="J910">
        <v>995</v>
      </c>
      <c r="K910">
        <v>37</v>
      </c>
      <c r="L910" t="s">
        <v>57</v>
      </c>
      <c r="M910">
        <v>96</v>
      </c>
      <c r="N910">
        <v>44.3</v>
      </c>
      <c r="O910">
        <v>69.599999999999994</v>
      </c>
      <c r="P910">
        <v>5.47</v>
      </c>
      <c r="Q910">
        <v>3.78</v>
      </c>
      <c r="R910" t="s">
        <v>38</v>
      </c>
      <c r="S910" t="s">
        <v>73</v>
      </c>
      <c r="T910" t="s">
        <v>48</v>
      </c>
      <c r="U910" t="str">
        <f t="shared" si="42"/>
        <v>Normal</v>
      </c>
      <c r="V910" t="str">
        <f t="shared" si="43"/>
        <v>Normal</v>
      </c>
      <c r="W910" t="str">
        <f t="shared" si="44"/>
        <v>Normal</v>
      </c>
    </row>
    <row r="911" spans="1:23" x14ac:dyDescent="0.3">
      <c r="A911">
        <v>10231</v>
      </c>
      <c r="B911" s="2">
        <v>45698</v>
      </c>
      <c r="C911" t="s">
        <v>49</v>
      </c>
      <c r="D911" t="s">
        <v>21</v>
      </c>
      <c r="E911" t="s">
        <v>33</v>
      </c>
      <c r="F911" t="s">
        <v>41</v>
      </c>
      <c r="G911" t="s">
        <v>54</v>
      </c>
      <c r="H911" t="s">
        <v>205</v>
      </c>
      <c r="I911" t="s">
        <v>149</v>
      </c>
      <c r="J911">
        <v>870</v>
      </c>
      <c r="K911">
        <v>9</v>
      </c>
      <c r="L911" t="s">
        <v>71</v>
      </c>
      <c r="M911">
        <v>80</v>
      </c>
      <c r="N911">
        <v>42.6</v>
      </c>
      <c r="O911">
        <v>69.599999999999994</v>
      </c>
      <c r="P911">
        <v>5.55</v>
      </c>
      <c r="Q911">
        <v>3.23</v>
      </c>
      <c r="R911" t="s">
        <v>209</v>
      </c>
      <c r="S911" t="s">
        <v>47</v>
      </c>
      <c r="T911" t="s">
        <v>30</v>
      </c>
      <c r="U911" t="str">
        <f t="shared" si="42"/>
        <v>Normal</v>
      </c>
      <c r="V911" t="str">
        <f t="shared" si="43"/>
        <v>Normal</v>
      </c>
      <c r="W911" t="str">
        <f t="shared" si="44"/>
        <v>Normal</v>
      </c>
    </row>
    <row r="912" spans="1:23" x14ac:dyDescent="0.3">
      <c r="A912">
        <v>11085</v>
      </c>
      <c r="B912" s="2">
        <v>45857</v>
      </c>
      <c r="C912" t="s">
        <v>20</v>
      </c>
      <c r="D912" t="s">
        <v>64</v>
      </c>
      <c r="E912" t="s">
        <v>107</v>
      </c>
      <c r="F912" t="s">
        <v>41</v>
      </c>
      <c r="G912" t="s">
        <v>50</v>
      </c>
      <c r="H912" t="s">
        <v>51</v>
      </c>
      <c r="I912" t="s">
        <v>171</v>
      </c>
      <c r="J912">
        <v>739</v>
      </c>
      <c r="K912">
        <v>8</v>
      </c>
      <c r="L912" t="s">
        <v>27</v>
      </c>
      <c r="M912">
        <v>137</v>
      </c>
      <c r="N912">
        <v>35.200000000000003</v>
      </c>
      <c r="O912">
        <v>69.5</v>
      </c>
      <c r="P912">
        <v>6.78</v>
      </c>
      <c r="Q912">
        <v>1.33</v>
      </c>
      <c r="R912" t="s">
        <v>130</v>
      </c>
      <c r="S912" t="s">
        <v>73</v>
      </c>
      <c r="T912" t="s">
        <v>30</v>
      </c>
      <c r="U912" t="str">
        <f t="shared" si="42"/>
        <v>Normal</v>
      </c>
      <c r="V912" t="str">
        <f t="shared" si="43"/>
        <v>Normal</v>
      </c>
      <c r="W912" t="str">
        <f t="shared" si="44"/>
        <v>Normal</v>
      </c>
    </row>
    <row r="913" spans="1:23" x14ac:dyDescent="0.3">
      <c r="A913">
        <v>11296</v>
      </c>
      <c r="B913" s="2">
        <v>45877</v>
      </c>
      <c r="C913" t="s">
        <v>20</v>
      </c>
      <c r="D913" t="s">
        <v>21</v>
      </c>
      <c r="E913" t="s">
        <v>107</v>
      </c>
      <c r="F913" t="s">
        <v>23</v>
      </c>
      <c r="G913" t="s">
        <v>24</v>
      </c>
      <c r="H913" t="s">
        <v>165</v>
      </c>
      <c r="I913" t="s">
        <v>284</v>
      </c>
      <c r="J913">
        <v>1327</v>
      </c>
      <c r="K913">
        <v>13</v>
      </c>
      <c r="L913" t="s">
        <v>71</v>
      </c>
      <c r="M913">
        <v>134</v>
      </c>
      <c r="N913">
        <v>50.2</v>
      </c>
      <c r="O913">
        <v>69.5</v>
      </c>
      <c r="P913">
        <v>6.6</v>
      </c>
      <c r="Q913">
        <v>2.91</v>
      </c>
      <c r="R913" t="s">
        <v>227</v>
      </c>
      <c r="S913" t="s">
        <v>47</v>
      </c>
      <c r="T913" t="s">
        <v>30</v>
      </c>
      <c r="U913" t="str">
        <f t="shared" si="42"/>
        <v>Normal</v>
      </c>
      <c r="V913" t="str">
        <f t="shared" si="43"/>
        <v>Normal</v>
      </c>
      <c r="W913" t="str">
        <f t="shared" si="44"/>
        <v>Normal</v>
      </c>
    </row>
    <row r="914" spans="1:23" x14ac:dyDescent="0.3">
      <c r="A914">
        <v>11337</v>
      </c>
      <c r="B914" s="2">
        <v>45848</v>
      </c>
      <c r="C914" t="s">
        <v>20</v>
      </c>
      <c r="D914" t="s">
        <v>32</v>
      </c>
      <c r="E914" t="s">
        <v>40</v>
      </c>
      <c r="F914" t="s">
        <v>41</v>
      </c>
      <c r="G914" t="s">
        <v>50</v>
      </c>
      <c r="H914" t="s">
        <v>196</v>
      </c>
      <c r="I914" t="s">
        <v>322</v>
      </c>
      <c r="J914">
        <v>1380</v>
      </c>
      <c r="K914">
        <v>39</v>
      </c>
      <c r="L914" t="s">
        <v>57</v>
      </c>
      <c r="M914">
        <v>6</v>
      </c>
      <c r="N914">
        <v>35.1</v>
      </c>
      <c r="O914">
        <v>69.5</v>
      </c>
      <c r="P914">
        <v>5.65</v>
      </c>
      <c r="Q914">
        <v>2.06</v>
      </c>
      <c r="R914" t="s">
        <v>130</v>
      </c>
      <c r="S914" t="s">
        <v>73</v>
      </c>
      <c r="T914" t="s">
        <v>30</v>
      </c>
      <c r="U914" t="str">
        <f t="shared" si="42"/>
        <v>Normal</v>
      </c>
      <c r="V914" t="str">
        <f t="shared" si="43"/>
        <v>Normal</v>
      </c>
      <c r="W914" t="str">
        <f t="shared" si="44"/>
        <v>Normal</v>
      </c>
    </row>
    <row r="915" spans="1:23" x14ac:dyDescent="0.3">
      <c r="A915">
        <v>11428</v>
      </c>
      <c r="B915" s="2">
        <v>45774</v>
      </c>
      <c r="C915" t="s">
        <v>20</v>
      </c>
      <c r="D915" t="s">
        <v>59</v>
      </c>
      <c r="E915" t="s">
        <v>22</v>
      </c>
      <c r="F915" t="s">
        <v>81</v>
      </c>
      <c r="G915" t="s">
        <v>109</v>
      </c>
      <c r="H915" t="s">
        <v>75</v>
      </c>
      <c r="I915" t="s">
        <v>393</v>
      </c>
      <c r="J915">
        <v>1196</v>
      </c>
      <c r="K915">
        <v>12</v>
      </c>
      <c r="L915" t="s">
        <v>27</v>
      </c>
      <c r="M915">
        <v>164</v>
      </c>
      <c r="N915">
        <v>36.299999999999997</v>
      </c>
      <c r="O915">
        <v>69.5</v>
      </c>
      <c r="P915">
        <v>4.6100000000000003</v>
      </c>
      <c r="Q915">
        <v>1.32</v>
      </c>
      <c r="R915" t="s">
        <v>227</v>
      </c>
      <c r="S915" t="s">
        <v>47</v>
      </c>
      <c r="T915" t="s">
        <v>30</v>
      </c>
      <c r="U915" t="str">
        <f t="shared" si="42"/>
        <v>Normal</v>
      </c>
      <c r="V915" t="str">
        <f t="shared" si="43"/>
        <v>Normal</v>
      </c>
      <c r="W915" t="str">
        <f t="shared" si="44"/>
        <v>Normal</v>
      </c>
    </row>
    <row r="916" spans="1:23" x14ac:dyDescent="0.3">
      <c r="A916">
        <v>10457</v>
      </c>
      <c r="B916" s="2">
        <v>45723</v>
      </c>
      <c r="C916" t="s">
        <v>31</v>
      </c>
      <c r="D916" t="s">
        <v>64</v>
      </c>
      <c r="E916" t="s">
        <v>107</v>
      </c>
      <c r="F916" t="s">
        <v>81</v>
      </c>
      <c r="G916" t="s">
        <v>74</v>
      </c>
      <c r="H916" t="s">
        <v>200</v>
      </c>
      <c r="I916" t="s">
        <v>160</v>
      </c>
      <c r="J916">
        <v>1467</v>
      </c>
      <c r="K916">
        <v>9</v>
      </c>
      <c r="L916" t="s">
        <v>71</v>
      </c>
      <c r="M916">
        <v>22</v>
      </c>
      <c r="N916">
        <v>36.799999999999997</v>
      </c>
      <c r="O916">
        <v>69.5</v>
      </c>
      <c r="P916">
        <v>5.77</v>
      </c>
      <c r="Q916">
        <v>2.25</v>
      </c>
      <c r="R916" t="s">
        <v>77</v>
      </c>
      <c r="S916" t="s">
        <v>39</v>
      </c>
      <c r="T916" t="s">
        <v>30</v>
      </c>
      <c r="U916" t="str">
        <f t="shared" si="42"/>
        <v>Normal</v>
      </c>
      <c r="V916" t="str">
        <f t="shared" si="43"/>
        <v>Normal</v>
      </c>
      <c r="W916" t="str">
        <f t="shared" si="44"/>
        <v>Normal</v>
      </c>
    </row>
    <row r="917" spans="1:23" x14ac:dyDescent="0.3">
      <c r="A917">
        <v>10444</v>
      </c>
      <c r="B917" s="2">
        <v>45688</v>
      </c>
      <c r="C917" t="s">
        <v>20</v>
      </c>
      <c r="D917" t="s">
        <v>59</v>
      </c>
      <c r="E917" t="s">
        <v>40</v>
      </c>
      <c r="F917" t="s">
        <v>23</v>
      </c>
      <c r="G917" t="s">
        <v>113</v>
      </c>
      <c r="H917" t="s">
        <v>88</v>
      </c>
      <c r="I917" t="s">
        <v>236</v>
      </c>
      <c r="J917">
        <v>693</v>
      </c>
      <c r="K917">
        <v>5</v>
      </c>
      <c r="L917" t="s">
        <v>71</v>
      </c>
      <c r="M917">
        <v>105</v>
      </c>
      <c r="N917">
        <v>34.4</v>
      </c>
      <c r="O917">
        <v>69.5</v>
      </c>
      <c r="P917">
        <v>6.34</v>
      </c>
      <c r="Q917">
        <v>2.82</v>
      </c>
      <c r="R917" t="s">
        <v>87</v>
      </c>
      <c r="S917" t="s">
        <v>29</v>
      </c>
      <c r="T917" t="s">
        <v>30</v>
      </c>
      <c r="U917" t="str">
        <f t="shared" si="42"/>
        <v>Normal</v>
      </c>
      <c r="V917" t="str">
        <f t="shared" si="43"/>
        <v>Normal</v>
      </c>
      <c r="W917" t="str">
        <f t="shared" si="44"/>
        <v>Normal</v>
      </c>
    </row>
    <row r="918" spans="1:23" x14ac:dyDescent="0.3">
      <c r="A918">
        <v>10854</v>
      </c>
      <c r="B918" s="2">
        <v>45701</v>
      </c>
      <c r="C918" t="s">
        <v>49</v>
      </c>
      <c r="D918" t="s">
        <v>64</v>
      </c>
      <c r="E918" t="s">
        <v>40</v>
      </c>
      <c r="F918" t="s">
        <v>81</v>
      </c>
      <c r="G918" t="s">
        <v>60</v>
      </c>
      <c r="H918" t="s">
        <v>180</v>
      </c>
      <c r="I918" t="s">
        <v>374</v>
      </c>
      <c r="J918">
        <v>1281</v>
      </c>
      <c r="K918">
        <v>6</v>
      </c>
      <c r="L918" t="s">
        <v>68</v>
      </c>
      <c r="M918">
        <v>64</v>
      </c>
      <c r="N918">
        <v>42.2</v>
      </c>
      <c r="O918">
        <v>69.5</v>
      </c>
      <c r="P918">
        <v>5.87</v>
      </c>
      <c r="Q918">
        <v>0.02</v>
      </c>
      <c r="R918" t="s">
        <v>164</v>
      </c>
      <c r="S918" t="s">
        <v>39</v>
      </c>
      <c r="T918" t="s">
        <v>30</v>
      </c>
      <c r="U918" t="str">
        <f t="shared" si="42"/>
        <v>Normal</v>
      </c>
      <c r="V918" t="str">
        <f t="shared" si="43"/>
        <v>Normal</v>
      </c>
      <c r="W918" t="str">
        <f t="shared" si="44"/>
        <v>Normal</v>
      </c>
    </row>
    <row r="919" spans="1:23" x14ac:dyDescent="0.3">
      <c r="A919">
        <v>10018</v>
      </c>
      <c r="B919" s="2">
        <v>45715</v>
      </c>
      <c r="C919" t="s">
        <v>31</v>
      </c>
      <c r="D919" t="s">
        <v>59</v>
      </c>
      <c r="E919" t="s">
        <v>22</v>
      </c>
      <c r="F919" t="s">
        <v>23</v>
      </c>
      <c r="G919" t="s">
        <v>50</v>
      </c>
      <c r="H919" t="s">
        <v>126</v>
      </c>
      <c r="I919" t="s">
        <v>374</v>
      </c>
      <c r="J919">
        <v>819</v>
      </c>
      <c r="K919">
        <v>7</v>
      </c>
      <c r="L919" t="s">
        <v>68</v>
      </c>
      <c r="M919">
        <v>133</v>
      </c>
      <c r="N919">
        <v>39.700000000000003</v>
      </c>
      <c r="O919">
        <v>69.5</v>
      </c>
      <c r="P919">
        <v>5.45</v>
      </c>
      <c r="Q919">
        <v>1.03</v>
      </c>
      <c r="R919" t="s">
        <v>128</v>
      </c>
      <c r="S919" t="s">
        <v>73</v>
      </c>
      <c r="T919" t="s">
        <v>30</v>
      </c>
      <c r="U919" t="str">
        <f t="shared" si="42"/>
        <v>Normal</v>
      </c>
      <c r="V919" t="str">
        <f t="shared" si="43"/>
        <v>Normal</v>
      </c>
      <c r="W919" t="str">
        <f t="shared" si="44"/>
        <v>Normal</v>
      </c>
    </row>
    <row r="920" spans="1:23" x14ac:dyDescent="0.3">
      <c r="A920">
        <v>10518</v>
      </c>
      <c r="B920" s="2">
        <v>45982</v>
      </c>
      <c r="C920" t="s">
        <v>49</v>
      </c>
      <c r="D920" t="s">
        <v>64</v>
      </c>
      <c r="E920" t="s">
        <v>22</v>
      </c>
      <c r="F920" t="s">
        <v>23</v>
      </c>
      <c r="G920" t="s">
        <v>95</v>
      </c>
      <c r="H920" t="s">
        <v>177</v>
      </c>
      <c r="I920" t="s">
        <v>160</v>
      </c>
      <c r="J920">
        <v>1092</v>
      </c>
      <c r="K920">
        <v>21</v>
      </c>
      <c r="L920" t="s">
        <v>71</v>
      </c>
      <c r="M920">
        <v>28</v>
      </c>
      <c r="N920">
        <v>30.8</v>
      </c>
      <c r="O920">
        <v>69.5</v>
      </c>
      <c r="P920">
        <v>5.65</v>
      </c>
      <c r="Q920">
        <v>4.1399999999999997</v>
      </c>
      <c r="R920" t="s">
        <v>80</v>
      </c>
      <c r="S920" t="s">
        <v>39</v>
      </c>
      <c r="T920" t="s">
        <v>30</v>
      </c>
      <c r="U920" t="str">
        <f t="shared" si="42"/>
        <v>Normal</v>
      </c>
      <c r="V920" t="str">
        <f t="shared" si="43"/>
        <v>Normal</v>
      </c>
      <c r="W920" t="str">
        <f t="shared" si="44"/>
        <v>Normal</v>
      </c>
    </row>
    <row r="921" spans="1:23" x14ac:dyDescent="0.3">
      <c r="A921">
        <v>11110</v>
      </c>
      <c r="B921" s="2">
        <v>45859</v>
      </c>
      <c r="C921" t="s">
        <v>49</v>
      </c>
      <c r="D921" t="s">
        <v>32</v>
      </c>
      <c r="E921" t="s">
        <v>107</v>
      </c>
      <c r="F921" t="s">
        <v>23</v>
      </c>
      <c r="G921" t="s">
        <v>50</v>
      </c>
      <c r="H921" t="s">
        <v>93</v>
      </c>
      <c r="I921" t="s">
        <v>173</v>
      </c>
      <c r="J921">
        <v>1124</v>
      </c>
      <c r="K921">
        <v>7</v>
      </c>
      <c r="L921" t="s">
        <v>71</v>
      </c>
      <c r="M921">
        <v>70</v>
      </c>
      <c r="N921">
        <v>48.1</v>
      </c>
      <c r="O921">
        <v>69.5</v>
      </c>
      <c r="P921">
        <v>3.28</v>
      </c>
      <c r="Q921">
        <v>3.29</v>
      </c>
      <c r="R921" t="s">
        <v>229</v>
      </c>
      <c r="S921" t="s">
        <v>39</v>
      </c>
      <c r="T921" t="s">
        <v>30</v>
      </c>
      <c r="U921" t="str">
        <f t="shared" si="42"/>
        <v>Normal</v>
      </c>
      <c r="V921" t="str">
        <f t="shared" si="43"/>
        <v>Normal</v>
      </c>
      <c r="W921" t="str">
        <f t="shared" si="44"/>
        <v>Normal</v>
      </c>
    </row>
    <row r="922" spans="1:23" x14ac:dyDescent="0.3">
      <c r="A922">
        <v>11480</v>
      </c>
      <c r="B922" s="2">
        <v>45856</v>
      </c>
      <c r="C922" t="s">
        <v>31</v>
      </c>
      <c r="D922" t="s">
        <v>59</v>
      </c>
      <c r="E922" t="s">
        <v>40</v>
      </c>
      <c r="F922" t="s">
        <v>41</v>
      </c>
      <c r="G922" t="s">
        <v>60</v>
      </c>
      <c r="H922" t="s">
        <v>61</v>
      </c>
      <c r="I922" t="s">
        <v>62</v>
      </c>
      <c r="J922">
        <v>1098</v>
      </c>
      <c r="K922">
        <v>5</v>
      </c>
      <c r="L922" t="s">
        <v>45</v>
      </c>
      <c r="M922">
        <v>49</v>
      </c>
      <c r="N922">
        <v>41.3</v>
      </c>
      <c r="O922">
        <v>69.400000000000006</v>
      </c>
      <c r="P922">
        <v>4.5599999999999996</v>
      </c>
      <c r="Q922">
        <v>0.73</v>
      </c>
      <c r="R922" t="s">
        <v>63</v>
      </c>
      <c r="S922" t="s">
        <v>39</v>
      </c>
      <c r="T922" t="s">
        <v>30</v>
      </c>
      <c r="U922" t="str">
        <f t="shared" si="42"/>
        <v>Normal</v>
      </c>
      <c r="V922" t="str">
        <f t="shared" si="43"/>
        <v>Normal</v>
      </c>
      <c r="W922" t="str">
        <f t="shared" si="44"/>
        <v>Normal</v>
      </c>
    </row>
    <row r="923" spans="1:23" x14ac:dyDescent="0.3">
      <c r="A923">
        <v>10614</v>
      </c>
      <c r="B923" s="2">
        <v>45779</v>
      </c>
      <c r="C923" t="s">
        <v>31</v>
      </c>
      <c r="D923" t="s">
        <v>32</v>
      </c>
      <c r="E923" t="s">
        <v>40</v>
      </c>
      <c r="F923" t="s">
        <v>23</v>
      </c>
      <c r="G923" t="s">
        <v>54</v>
      </c>
      <c r="H923" t="s">
        <v>177</v>
      </c>
      <c r="I923" t="s">
        <v>76</v>
      </c>
      <c r="J923">
        <v>1048</v>
      </c>
      <c r="K923">
        <v>6</v>
      </c>
      <c r="L923" t="s">
        <v>71</v>
      </c>
      <c r="M923">
        <v>96</v>
      </c>
      <c r="N923">
        <v>50.3</v>
      </c>
      <c r="O923">
        <v>69.400000000000006</v>
      </c>
      <c r="P923">
        <v>4.34</v>
      </c>
      <c r="Q923">
        <v>4.5999999999999996</v>
      </c>
      <c r="R923" t="s">
        <v>189</v>
      </c>
      <c r="S923" t="s">
        <v>47</v>
      </c>
      <c r="T923" t="s">
        <v>30</v>
      </c>
      <c r="U923" t="str">
        <f t="shared" si="42"/>
        <v>Normal</v>
      </c>
      <c r="V923" t="str">
        <f t="shared" si="43"/>
        <v>Normal</v>
      </c>
      <c r="W923" t="str">
        <f t="shared" si="44"/>
        <v>Normal</v>
      </c>
    </row>
    <row r="924" spans="1:23" x14ac:dyDescent="0.3">
      <c r="A924">
        <v>10690</v>
      </c>
      <c r="B924" s="2">
        <v>45763</v>
      </c>
      <c r="C924" t="s">
        <v>31</v>
      </c>
      <c r="D924" t="s">
        <v>59</v>
      </c>
      <c r="E924" t="s">
        <v>33</v>
      </c>
      <c r="F924" t="s">
        <v>23</v>
      </c>
      <c r="G924" t="s">
        <v>109</v>
      </c>
      <c r="H924" t="s">
        <v>144</v>
      </c>
      <c r="I924" t="s">
        <v>343</v>
      </c>
      <c r="J924">
        <v>1557</v>
      </c>
      <c r="K924">
        <v>10</v>
      </c>
      <c r="L924" t="s">
        <v>57</v>
      </c>
      <c r="M924">
        <v>137</v>
      </c>
      <c r="N924">
        <v>33</v>
      </c>
      <c r="O924">
        <v>69.400000000000006</v>
      </c>
      <c r="P924">
        <v>5.56</v>
      </c>
      <c r="Q924">
        <v>2.73</v>
      </c>
      <c r="R924" t="s">
        <v>137</v>
      </c>
      <c r="S924" t="s">
        <v>29</v>
      </c>
      <c r="T924" t="s">
        <v>30</v>
      </c>
      <c r="U924" t="str">
        <f t="shared" si="42"/>
        <v>Normal</v>
      </c>
      <c r="V924" t="str">
        <f t="shared" si="43"/>
        <v>Normal</v>
      </c>
      <c r="W924" t="str">
        <f t="shared" si="44"/>
        <v>Normal</v>
      </c>
    </row>
    <row r="925" spans="1:23" x14ac:dyDescent="0.3">
      <c r="A925">
        <v>10557</v>
      </c>
      <c r="B925" s="2">
        <v>45770</v>
      </c>
      <c r="C925" t="s">
        <v>20</v>
      </c>
      <c r="D925" t="s">
        <v>64</v>
      </c>
      <c r="E925" t="s">
        <v>22</v>
      </c>
      <c r="F925" t="s">
        <v>41</v>
      </c>
      <c r="G925" t="s">
        <v>95</v>
      </c>
      <c r="H925" t="s">
        <v>144</v>
      </c>
      <c r="I925" t="s">
        <v>295</v>
      </c>
      <c r="J925">
        <v>983</v>
      </c>
      <c r="K925">
        <v>14</v>
      </c>
      <c r="L925" t="s">
        <v>27</v>
      </c>
      <c r="M925">
        <v>102</v>
      </c>
      <c r="N925">
        <v>40.5</v>
      </c>
      <c r="O925">
        <v>69.400000000000006</v>
      </c>
      <c r="P925">
        <v>5.15</v>
      </c>
      <c r="Q925">
        <v>1.72</v>
      </c>
      <c r="R925" t="s">
        <v>87</v>
      </c>
      <c r="S925" t="s">
        <v>47</v>
      </c>
      <c r="T925" t="s">
        <v>30</v>
      </c>
      <c r="U925" t="str">
        <f t="shared" si="42"/>
        <v>Normal</v>
      </c>
      <c r="V925" t="str">
        <f t="shared" si="43"/>
        <v>Normal</v>
      </c>
      <c r="W925" t="str">
        <f t="shared" si="44"/>
        <v>Normal</v>
      </c>
    </row>
    <row r="926" spans="1:23" x14ac:dyDescent="0.3">
      <c r="A926">
        <v>11412</v>
      </c>
      <c r="B926" s="2">
        <v>45723</v>
      </c>
      <c r="C926" t="s">
        <v>31</v>
      </c>
      <c r="D926" t="s">
        <v>32</v>
      </c>
      <c r="E926" t="s">
        <v>107</v>
      </c>
      <c r="F926" t="s">
        <v>23</v>
      </c>
      <c r="G926" t="s">
        <v>60</v>
      </c>
      <c r="H926" t="s">
        <v>193</v>
      </c>
      <c r="I926" t="s">
        <v>335</v>
      </c>
      <c r="J926">
        <v>613</v>
      </c>
      <c r="K926">
        <v>6</v>
      </c>
      <c r="L926" t="s">
        <v>71</v>
      </c>
      <c r="M926">
        <v>98</v>
      </c>
      <c r="N926">
        <v>41.7</v>
      </c>
      <c r="O926">
        <v>69.400000000000006</v>
      </c>
      <c r="P926">
        <v>4.3099999999999996</v>
      </c>
      <c r="Q926">
        <v>3.53</v>
      </c>
      <c r="R926" t="s">
        <v>122</v>
      </c>
      <c r="S926" t="s">
        <v>73</v>
      </c>
      <c r="T926" t="s">
        <v>30</v>
      </c>
      <c r="U926" t="str">
        <f t="shared" si="42"/>
        <v>Normal</v>
      </c>
      <c r="V926" t="str">
        <f t="shared" si="43"/>
        <v>Normal</v>
      </c>
      <c r="W926" t="str">
        <f t="shared" si="44"/>
        <v>Normal</v>
      </c>
    </row>
    <row r="927" spans="1:23" x14ac:dyDescent="0.3">
      <c r="A927">
        <v>10841</v>
      </c>
      <c r="B927" s="2">
        <v>45788</v>
      </c>
      <c r="C927" t="s">
        <v>31</v>
      </c>
      <c r="D927" t="s">
        <v>64</v>
      </c>
      <c r="E927" t="s">
        <v>33</v>
      </c>
      <c r="F927" t="s">
        <v>41</v>
      </c>
      <c r="G927" t="s">
        <v>109</v>
      </c>
      <c r="H927" t="s">
        <v>287</v>
      </c>
      <c r="I927" t="s">
        <v>239</v>
      </c>
      <c r="J927">
        <v>778</v>
      </c>
      <c r="K927">
        <v>27</v>
      </c>
      <c r="L927" t="s">
        <v>45</v>
      </c>
      <c r="M927">
        <v>39</v>
      </c>
      <c r="N927">
        <v>34.4</v>
      </c>
      <c r="O927">
        <v>69.400000000000006</v>
      </c>
      <c r="P927">
        <v>4.95</v>
      </c>
      <c r="Q927">
        <v>3.21</v>
      </c>
      <c r="R927" t="s">
        <v>77</v>
      </c>
      <c r="S927" t="s">
        <v>47</v>
      </c>
      <c r="T927" t="s">
        <v>48</v>
      </c>
      <c r="U927" t="str">
        <f t="shared" si="42"/>
        <v>Normal</v>
      </c>
      <c r="V927" t="str">
        <f t="shared" si="43"/>
        <v>Normal</v>
      </c>
      <c r="W927" t="str">
        <f t="shared" si="44"/>
        <v>Normal</v>
      </c>
    </row>
    <row r="928" spans="1:23" x14ac:dyDescent="0.3">
      <c r="A928">
        <v>10386</v>
      </c>
      <c r="B928" s="2">
        <v>45976</v>
      </c>
      <c r="C928" t="s">
        <v>20</v>
      </c>
      <c r="D928" t="s">
        <v>32</v>
      </c>
      <c r="E928" t="s">
        <v>107</v>
      </c>
      <c r="F928" t="s">
        <v>23</v>
      </c>
      <c r="G928" t="s">
        <v>134</v>
      </c>
      <c r="H928" t="s">
        <v>351</v>
      </c>
      <c r="I928" t="s">
        <v>335</v>
      </c>
      <c r="J928">
        <v>1051</v>
      </c>
      <c r="K928">
        <v>8</v>
      </c>
      <c r="L928" t="s">
        <v>57</v>
      </c>
      <c r="M928">
        <v>158</v>
      </c>
      <c r="N928">
        <v>45.1</v>
      </c>
      <c r="O928">
        <v>69.400000000000006</v>
      </c>
      <c r="P928">
        <v>4.75</v>
      </c>
      <c r="Q928">
        <v>3.54</v>
      </c>
      <c r="R928" t="s">
        <v>77</v>
      </c>
      <c r="S928" t="s">
        <v>39</v>
      </c>
      <c r="T928" t="s">
        <v>30</v>
      </c>
      <c r="U928" t="str">
        <f t="shared" si="42"/>
        <v>Normal</v>
      </c>
      <c r="V928" t="str">
        <f t="shared" si="43"/>
        <v>Normal</v>
      </c>
      <c r="W928" t="str">
        <f t="shared" si="44"/>
        <v>Normal</v>
      </c>
    </row>
    <row r="929" spans="1:23" x14ac:dyDescent="0.3">
      <c r="A929">
        <v>10793</v>
      </c>
      <c r="B929" s="2">
        <v>45865</v>
      </c>
      <c r="C929" t="s">
        <v>31</v>
      </c>
      <c r="D929" t="s">
        <v>32</v>
      </c>
      <c r="E929" t="s">
        <v>22</v>
      </c>
      <c r="F929" t="s">
        <v>81</v>
      </c>
      <c r="G929" t="s">
        <v>134</v>
      </c>
      <c r="H929" t="s">
        <v>161</v>
      </c>
      <c r="I929" t="s">
        <v>258</v>
      </c>
      <c r="J929">
        <v>1157</v>
      </c>
      <c r="K929">
        <v>13</v>
      </c>
      <c r="L929" t="s">
        <v>57</v>
      </c>
      <c r="M929">
        <v>35</v>
      </c>
      <c r="N929">
        <v>43.6</v>
      </c>
      <c r="O929">
        <v>69.3</v>
      </c>
      <c r="P929">
        <v>5.92</v>
      </c>
      <c r="Q929">
        <v>2.27</v>
      </c>
      <c r="R929" t="s">
        <v>122</v>
      </c>
      <c r="S929" t="s">
        <v>39</v>
      </c>
      <c r="T929" t="s">
        <v>30</v>
      </c>
      <c r="U929" t="str">
        <f t="shared" si="42"/>
        <v>Normal</v>
      </c>
      <c r="V929" t="str">
        <f t="shared" si="43"/>
        <v>Normal</v>
      </c>
      <c r="W929" t="str">
        <f t="shared" si="44"/>
        <v>Normal</v>
      </c>
    </row>
    <row r="930" spans="1:23" x14ac:dyDescent="0.3">
      <c r="A930">
        <v>10673</v>
      </c>
      <c r="B930" s="2">
        <v>46003</v>
      </c>
      <c r="C930" t="s">
        <v>31</v>
      </c>
      <c r="D930" t="s">
        <v>21</v>
      </c>
      <c r="E930" t="s">
        <v>22</v>
      </c>
      <c r="F930" t="s">
        <v>23</v>
      </c>
      <c r="G930" t="s">
        <v>60</v>
      </c>
      <c r="H930" t="s">
        <v>172</v>
      </c>
      <c r="I930" t="s">
        <v>208</v>
      </c>
      <c r="J930">
        <v>1503</v>
      </c>
      <c r="K930">
        <v>4</v>
      </c>
      <c r="L930" t="s">
        <v>45</v>
      </c>
      <c r="M930">
        <v>99</v>
      </c>
      <c r="N930">
        <v>47.3</v>
      </c>
      <c r="O930">
        <v>69.3</v>
      </c>
      <c r="P930">
        <v>4.88</v>
      </c>
      <c r="Q930">
        <v>3.34</v>
      </c>
      <c r="R930" t="s">
        <v>242</v>
      </c>
      <c r="S930" t="s">
        <v>73</v>
      </c>
      <c r="T930" t="s">
        <v>30</v>
      </c>
      <c r="U930" t="str">
        <f t="shared" si="42"/>
        <v>Normal</v>
      </c>
      <c r="V930" t="str">
        <f t="shared" si="43"/>
        <v>Normal</v>
      </c>
      <c r="W930" t="str">
        <f t="shared" si="44"/>
        <v>Normal</v>
      </c>
    </row>
    <row r="931" spans="1:23" x14ac:dyDescent="0.3">
      <c r="A931">
        <v>11053</v>
      </c>
      <c r="B931" s="2">
        <v>45995</v>
      </c>
      <c r="C931" t="s">
        <v>31</v>
      </c>
      <c r="D931" t="s">
        <v>32</v>
      </c>
      <c r="E931" t="s">
        <v>22</v>
      </c>
      <c r="F931" t="s">
        <v>41</v>
      </c>
      <c r="G931" t="s">
        <v>74</v>
      </c>
      <c r="H931" t="s">
        <v>180</v>
      </c>
      <c r="I931" t="s">
        <v>220</v>
      </c>
      <c r="J931">
        <v>749</v>
      </c>
      <c r="K931">
        <v>17</v>
      </c>
      <c r="L931" t="s">
        <v>57</v>
      </c>
      <c r="M931">
        <v>118</v>
      </c>
      <c r="N931">
        <v>47.4</v>
      </c>
      <c r="O931">
        <v>69.3</v>
      </c>
      <c r="P931">
        <v>5.64</v>
      </c>
      <c r="Q931">
        <v>4.17</v>
      </c>
      <c r="R931" t="s">
        <v>245</v>
      </c>
      <c r="S931" t="s">
        <v>39</v>
      </c>
      <c r="T931" t="s">
        <v>30</v>
      </c>
      <c r="U931" t="str">
        <f t="shared" si="42"/>
        <v>Normal</v>
      </c>
      <c r="V931" t="str">
        <f t="shared" si="43"/>
        <v>Normal</v>
      </c>
      <c r="W931" t="str">
        <f t="shared" si="44"/>
        <v>Normal</v>
      </c>
    </row>
    <row r="932" spans="1:23" x14ac:dyDescent="0.3">
      <c r="A932">
        <v>11259</v>
      </c>
      <c r="B932" s="2">
        <v>45675</v>
      </c>
      <c r="C932" t="s">
        <v>31</v>
      </c>
      <c r="D932" t="s">
        <v>59</v>
      </c>
      <c r="E932" t="s">
        <v>40</v>
      </c>
      <c r="F932" t="s">
        <v>81</v>
      </c>
      <c r="G932" t="s">
        <v>24</v>
      </c>
      <c r="H932" t="s">
        <v>190</v>
      </c>
      <c r="I932" t="s">
        <v>304</v>
      </c>
      <c r="J932">
        <v>826</v>
      </c>
      <c r="K932">
        <v>28</v>
      </c>
      <c r="L932" t="s">
        <v>68</v>
      </c>
      <c r="M932">
        <v>145</v>
      </c>
      <c r="N932">
        <v>32</v>
      </c>
      <c r="O932">
        <v>69.3</v>
      </c>
      <c r="P932">
        <v>5.34</v>
      </c>
      <c r="Q932">
        <v>2.77</v>
      </c>
      <c r="R932" t="s">
        <v>243</v>
      </c>
      <c r="S932" t="s">
        <v>29</v>
      </c>
      <c r="T932" t="s">
        <v>48</v>
      </c>
      <c r="U932" t="str">
        <f t="shared" si="42"/>
        <v>Normal</v>
      </c>
      <c r="V932" t="str">
        <f t="shared" si="43"/>
        <v>Normal</v>
      </c>
      <c r="W932" t="str">
        <f t="shared" si="44"/>
        <v>Normal</v>
      </c>
    </row>
    <row r="933" spans="1:23" x14ac:dyDescent="0.3">
      <c r="A933">
        <v>10137</v>
      </c>
      <c r="B933" s="2">
        <v>45708</v>
      </c>
      <c r="C933" t="s">
        <v>49</v>
      </c>
      <c r="D933" t="s">
        <v>59</v>
      </c>
      <c r="E933" t="s">
        <v>40</v>
      </c>
      <c r="F933" t="s">
        <v>23</v>
      </c>
      <c r="G933" t="s">
        <v>109</v>
      </c>
      <c r="H933" t="s">
        <v>55</v>
      </c>
      <c r="I933" t="s">
        <v>357</v>
      </c>
      <c r="J933">
        <v>1006</v>
      </c>
      <c r="K933">
        <v>7</v>
      </c>
      <c r="L933" t="s">
        <v>37</v>
      </c>
      <c r="M933">
        <v>126</v>
      </c>
      <c r="N933">
        <v>46.9</v>
      </c>
      <c r="O933">
        <v>69.3</v>
      </c>
      <c r="P933">
        <v>6.14</v>
      </c>
      <c r="Q933">
        <v>3.21</v>
      </c>
      <c r="R933" t="s">
        <v>240</v>
      </c>
      <c r="S933" t="s">
        <v>73</v>
      </c>
      <c r="T933" t="s">
        <v>30</v>
      </c>
      <c r="U933" t="str">
        <f t="shared" si="42"/>
        <v>Normal</v>
      </c>
      <c r="V933" t="str">
        <f t="shared" si="43"/>
        <v>Normal</v>
      </c>
      <c r="W933" t="str">
        <f t="shared" si="44"/>
        <v>Normal</v>
      </c>
    </row>
    <row r="934" spans="1:23" x14ac:dyDescent="0.3">
      <c r="A934">
        <v>10556</v>
      </c>
      <c r="B934" s="2">
        <v>45939</v>
      </c>
      <c r="C934" t="s">
        <v>20</v>
      </c>
      <c r="D934" t="s">
        <v>64</v>
      </c>
      <c r="E934" t="s">
        <v>22</v>
      </c>
      <c r="F934" t="s">
        <v>23</v>
      </c>
      <c r="G934" t="s">
        <v>95</v>
      </c>
      <c r="H934" t="s">
        <v>265</v>
      </c>
      <c r="I934" t="s">
        <v>310</v>
      </c>
      <c r="J934">
        <v>1235</v>
      </c>
      <c r="K934">
        <v>108</v>
      </c>
      <c r="L934" t="s">
        <v>27</v>
      </c>
      <c r="M934">
        <v>36</v>
      </c>
      <c r="N934">
        <v>49.6</v>
      </c>
      <c r="O934">
        <v>69.3</v>
      </c>
      <c r="P934">
        <v>4.4000000000000004</v>
      </c>
      <c r="Q934">
        <v>5.21</v>
      </c>
      <c r="R934" t="s">
        <v>147</v>
      </c>
      <c r="S934" t="s">
        <v>29</v>
      </c>
      <c r="T934" t="s">
        <v>48</v>
      </c>
      <c r="U934" t="str">
        <f t="shared" si="42"/>
        <v>Normal</v>
      </c>
      <c r="V934" t="str">
        <f t="shared" si="43"/>
        <v>Normal</v>
      </c>
      <c r="W934" t="str">
        <f t="shared" si="44"/>
        <v>Normal</v>
      </c>
    </row>
    <row r="935" spans="1:23" x14ac:dyDescent="0.3">
      <c r="A935">
        <v>11203</v>
      </c>
      <c r="B935" s="2">
        <v>45698</v>
      </c>
      <c r="C935" t="s">
        <v>31</v>
      </c>
      <c r="D935" t="s">
        <v>21</v>
      </c>
      <c r="E935" t="s">
        <v>22</v>
      </c>
      <c r="F935" t="s">
        <v>23</v>
      </c>
      <c r="G935" t="s">
        <v>74</v>
      </c>
      <c r="H935" t="s">
        <v>90</v>
      </c>
      <c r="I935" t="s">
        <v>97</v>
      </c>
      <c r="J935">
        <v>473</v>
      </c>
      <c r="K935">
        <v>17</v>
      </c>
      <c r="L935" t="s">
        <v>27</v>
      </c>
      <c r="M935">
        <v>161</v>
      </c>
      <c r="N935">
        <v>59.1</v>
      </c>
      <c r="O935">
        <v>69.3</v>
      </c>
      <c r="P935">
        <v>5.56</v>
      </c>
      <c r="Q935">
        <v>2.19</v>
      </c>
      <c r="R935" t="s">
        <v>229</v>
      </c>
      <c r="S935" t="s">
        <v>73</v>
      </c>
      <c r="T935" t="s">
        <v>48</v>
      </c>
      <c r="U935" t="str">
        <f t="shared" si="42"/>
        <v>Normal</v>
      </c>
      <c r="V935" t="str">
        <f t="shared" si="43"/>
        <v>Normal</v>
      </c>
      <c r="W935" t="str">
        <f t="shared" si="44"/>
        <v>Normal</v>
      </c>
    </row>
    <row r="936" spans="1:23" x14ac:dyDescent="0.3">
      <c r="A936">
        <v>11200</v>
      </c>
      <c r="B936" s="2">
        <v>46016</v>
      </c>
      <c r="C936" t="s">
        <v>31</v>
      </c>
      <c r="D936" t="s">
        <v>59</v>
      </c>
      <c r="E936" t="s">
        <v>40</v>
      </c>
      <c r="F936" t="s">
        <v>23</v>
      </c>
      <c r="G936" t="s">
        <v>42</v>
      </c>
      <c r="H936" t="s">
        <v>172</v>
      </c>
      <c r="I936" t="s">
        <v>225</v>
      </c>
      <c r="J936">
        <v>681</v>
      </c>
      <c r="K936">
        <v>4</v>
      </c>
      <c r="L936" t="s">
        <v>37</v>
      </c>
      <c r="M936">
        <v>123</v>
      </c>
      <c r="N936">
        <v>47.1</v>
      </c>
      <c r="O936">
        <v>69.3</v>
      </c>
      <c r="P936">
        <v>4.8600000000000003</v>
      </c>
      <c r="Q936">
        <v>2.0699999999999998</v>
      </c>
      <c r="R936" t="s">
        <v>133</v>
      </c>
      <c r="S936" t="s">
        <v>39</v>
      </c>
      <c r="T936" t="s">
        <v>30</v>
      </c>
      <c r="U936" t="str">
        <f t="shared" si="42"/>
        <v>Normal</v>
      </c>
      <c r="V936" t="str">
        <f t="shared" si="43"/>
        <v>Normal</v>
      </c>
      <c r="W936" t="str">
        <f t="shared" si="44"/>
        <v>Normal</v>
      </c>
    </row>
    <row r="937" spans="1:23" x14ac:dyDescent="0.3">
      <c r="A937">
        <v>10263</v>
      </c>
      <c r="B937" s="2">
        <v>45894</v>
      </c>
      <c r="C937" t="s">
        <v>31</v>
      </c>
      <c r="D937" t="s">
        <v>32</v>
      </c>
      <c r="E937" t="s">
        <v>22</v>
      </c>
      <c r="F937" t="s">
        <v>41</v>
      </c>
      <c r="G937" t="s">
        <v>74</v>
      </c>
      <c r="H937" t="s">
        <v>116</v>
      </c>
      <c r="I937" t="s">
        <v>356</v>
      </c>
      <c r="J937">
        <v>1118</v>
      </c>
      <c r="K937">
        <v>36</v>
      </c>
      <c r="L937" t="s">
        <v>57</v>
      </c>
      <c r="M937">
        <v>91</v>
      </c>
      <c r="N937">
        <v>44.4</v>
      </c>
      <c r="O937">
        <v>69.3</v>
      </c>
      <c r="P937">
        <v>4.12</v>
      </c>
      <c r="Q937">
        <v>3.03</v>
      </c>
      <c r="R937" t="s">
        <v>77</v>
      </c>
      <c r="S937" t="s">
        <v>73</v>
      </c>
      <c r="T937" t="s">
        <v>48</v>
      </c>
      <c r="U937" t="str">
        <f t="shared" si="42"/>
        <v>Normal</v>
      </c>
      <c r="V937" t="str">
        <f t="shared" si="43"/>
        <v>Normal</v>
      </c>
      <c r="W937" t="str">
        <f t="shared" si="44"/>
        <v>Normal</v>
      </c>
    </row>
    <row r="938" spans="1:23" x14ac:dyDescent="0.3">
      <c r="A938">
        <v>11201</v>
      </c>
      <c r="B938" s="2">
        <v>46013</v>
      </c>
      <c r="C938" t="s">
        <v>49</v>
      </c>
      <c r="D938" t="s">
        <v>32</v>
      </c>
      <c r="E938" t="s">
        <v>33</v>
      </c>
      <c r="F938" t="s">
        <v>41</v>
      </c>
      <c r="G938" t="s">
        <v>50</v>
      </c>
      <c r="H938" t="s">
        <v>96</v>
      </c>
      <c r="I938" t="s">
        <v>124</v>
      </c>
      <c r="J938">
        <v>879</v>
      </c>
      <c r="K938">
        <v>3</v>
      </c>
      <c r="L938" t="s">
        <v>57</v>
      </c>
      <c r="M938">
        <v>161</v>
      </c>
      <c r="N938">
        <v>49.6</v>
      </c>
      <c r="O938">
        <v>69.2</v>
      </c>
      <c r="P938">
        <v>5.21</v>
      </c>
      <c r="Q938">
        <v>2.6</v>
      </c>
      <c r="R938" t="s">
        <v>58</v>
      </c>
      <c r="S938" t="s">
        <v>39</v>
      </c>
      <c r="T938" t="s">
        <v>30</v>
      </c>
      <c r="U938" t="str">
        <f t="shared" si="42"/>
        <v>Normal</v>
      </c>
      <c r="V938" t="str">
        <f t="shared" si="43"/>
        <v>Normal</v>
      </c>
      <c r="W938" t="str">
        <f t="shared" si="44"/>
        <v>Normal</v>
      </c>
    </row>
    <row r="939" spans="1:23" x14ac:dyDescent="0.3">
      <c r="A939">
        <v>10378</v>
      </c>
      <c r="B939" s="2">
        <v>45762</v>
      </c>
      <c r="C939" t="s">
        <v>49</v>
      </c>
      <c r="D939" t="s">
        <v>59</v>
      </c>
      <c r="E939" t="s">
        <v>107</v>
      </c>
      <c r="F939" t="s">
        <v>23</v>
      </c>
      <c r="G939" t="s">
        <v>50</v>
      </c>
      <c r="H939" t="s">
        <v>126</v>
      </c>
      <c r="I939" t="s">
        <v>118</v>
      </c>
      <c r="J939">
        <v>1034</v>
      </c>
      <c r="K939">
        <v>6</v>
      </c>
      <c r="L939" t="s">
        <v>45</v>
      </c>
      <c r="M939">
        <v>52</v>
      </c>
      <c r="N939">
        <v>31.5</v>
      </c>
      <c r="O939">
        <v>69.2</v>
      </c>
      <c r="P939">
        <v>5.98</v>
      </c>
      <c r="Q939">
        <v>1.98</v>
      </c>
      <c r="R939" t="s">
        <v>159</v>
      </c>
      <c r="S939" t="s">
        <v>39</v>
      </c>
      <c r="T939" t="s">
        <v>30</v>
      </c>
      <c r="U939" t="str">
        <f t="shared" si="42"/>
        <v>Normal</v>
      </c>
      <c r="V939" t="str">
        <f t="shared" si="43"/>
        <v>Normal</v>
      </c>
      <c r="W939" t="str">
        <f t="shared" si="44"/>
        <v>Normal</v>
      </c>
    </row>
    <row r="940" spans="1:23" x14ac:dyDescent="0.3">
      <c r="A940">
        <v>11002</v>
      </c>
      <c r="B940" s="2">
        <v>45961</v>
      </c>
      <c r="C940" t="s">
        <v>31</v>
      </c>
      <c r="D940" t="s">
        <v>32</v>
      </c>
      <c r="E940" t="s">
        <v>107</v>
      </c>
      <c r="F940" t="s">
        <v>23</v>
      </c>
      <c r="G940" t="s">
        <v>60</v>
      </c>
      <c r="H940" t="s">
        <v>82</v>
      </c>
      <c r="I940" t="s">
        <v>262</v>
      </c>
      <c r="J940">
        <v>664</v>
      </c>
      <c r="K940">
        <v>2</v>
      </c>
      <c r="L940" t="s">
        <v>37</v>
      </c>
      <c r="M940">
        <v>143</v>
      </c>
      <c r="N940">
        <v>51.8</v>
      </c>
      <c r="O940">
        <v>69.2</v>
      </c>
      <c r="P940">
        <v>5.77</v>
      </c>
      <c r="Q940">
        <v>3.27</v>
      </c>
      <c r="R940" t="s">
        <v>184</v>
      </c>
      <c r="S940" t="s">
        <v>29</v>
      </c>
      <c r="T940" t="s">
        <v>30</v>
      </c>
      <c r="U940" t="str">
        <f t="shared" si="42"/>
        <v>Normal</v>
      </c>
      <c r="V940" t="str">
        <f t="shared" si="43"/>
        <v>Normal</v>
      </c>
      <c r="W940" t="str">
        <f t="shared" si="44"/>
        <v>Normal</v>
      </c>
    </row>
    <row r="941" spans="1:23" x14ac:dyDescent="0.3">
      <c r="A941">
        <v>10334</v>
      </c>
      <c r="B941" s="2">
        <v>45786</v>
      </c>
      <c r="C941" t="s">
        <v>31</v>
      </c>
      <c r="D941" t="s">
        <v>21</v>
      </c>
      <c r="E941" t="s">
        <v>40</v>
      </c>
      <c r="F941" t="s">
        <v>23</v>
      </c>
      <c r="G941" t="s">
        <v>54</v>
      </c>
      <c r="H941" t="s">
        <v>196</v>
      </c>
      <c r="I941" t="s">
        <v>139</v>
      </c>
      <c r="J941">
        <v>1064</v>
      </c>
      <c r="K941">
        <v>6</v>
      </c>
      <c r="L941" t="s">
        <v>68</v>
      </c>
      <c r="M941">
        <v>134</v>
      </c>
      <c r="N941">
        <v>41.5</v>
      </c>
      <c r="O941">
        <v>69.2</v>
      </c>
      <c r="P941">
        <v>5.34</v>
      </c>
      <c r="Q941">
        <v>1.1399999999999999</v>
      </c>
      <c r="R941" t="s">
        <v>280</v>
      </c>
      <c r="S941" t="s">
        <v>424</v>
      </c>
      <c r="T941" t="s">
        <v>30</v>
      </c>
      <c r="U941" t="str">
        <f t="shared" si="42"/>
        <v>Normal</v>
      </c>
      <c r="V941" t="str">
        <f t="shared" si="43"/>
        <v>Normal</v>
      </c>
      <c r="W941" t="str">
        <f t="shared" si="44"/>
        <v>Normal</v>
      </c>
    </row>
    <row r="942" spans="1:23" x14ac:dyDescent="0.3">
      <c r="A942">
        <v>10302</v>
      </c>
      <c r="B942" s="2">
        <v>45674</v>
      </c>
      <c r="C942" t="s">
        <v>49</v>
      </c>
      <c r="D942" t="s">
        <v>21</v>
      </c>
      <c r="E942" t="s">
        <v>40</v>
      </c>
      <c r="F942" t="s">
        <v>23</v>
      </c>
      <c r="G942" t="s">
        <v>89</v>
      </c>
      <c r="H942" t="s">
        <v>99</v>
      </c>
      <c r="I942" t="s">
        <v>343</v>
      </c>
      <c r="J942">
        <v>756</v>
      </c>
      <c r="K942">
        <v>3</v>
      </c>
      <c r="L942" t="s">
        <v>37</v>
      </c>
      <c r="M942">
        <v>36</v>
      </c>
      <c r="N942">
        <v>52</v>
      </c>
      <c r="O942">
        <v>69.2</v>
      </c>
      <c r="P942">
        <v>6.36</v>
      </c>
      <c r="Q942">
        <v>2.71</v>
      </c>
      <c r="R942" t="s">
        <v>58</v>
      </c>
      <c r="S942" t="s">
        <v>39</v>
      </c>
      <c r="T942" t="s">
        <v>30</v>
      </c>
      <c r="U942" t="str">
        <f t="shared" si="42"/>
        <v>Normal</v>
      </c>
      <c r="V942" t="str">
        <f t="shared" si="43"/>
        <v>Normal</v>
      </c>
      <c r="W942" t="str">
        <f t="shared" si="44"/>
        <v>Normal</v>
      </c>
    </row>
    <row r="943" spans="1:23" x14ac:dyDescent="0.3">
      <c r="A943">
        <v>11385</v>
      </c>
      <c r="B943" s="2">
        <v>45971</v>
      </c>
      <c r="C943" t="s">
        <v>31</v>
      </c>
      <c r="D943" t="s">
        <v>59</v>
      </c>
      <c r="E943" t="s">
        <v>22</v>
      </c>
      <c r="F943" t="s">
        <v>41</v>
      </c>
      <c r="G943" t="s">
        <v>109</v>
      </c>
      <c r="H943" t="s">
        <v>169</v>
      </c>
      <c r="I943" t="s">
        <v>118</v>
      </c>
      <c r="J943">
        <v>489</v>
      </c>
      <c r="K943">
        <v>4</v>
      </c>
      <c r="L943" t="s">
        <v>68</v>
      </c>
      <c r="M943">
        <v>30</v>
      </c>
      <c r="N943">
        <v>48.7</v>
      </c>
      <c r="O943">
        <v>69.2</v>
      </c>
      <c r="P943">
        <v>5.15</v>
      </c>
      <c r="Q943">
        <v>2.2999999999999998</v>
      </c>
      <c r="R943" t="s">
        <v>240</v>
      </c>
      <c r="S943" t="s">
        <v>73</v>
      </c>
      <c r="T943" t="s">
        <v>30</v>
      </c>
      <c r="U943" t="str">
        <f t="shared" si="42"/>
        <v>Normal</v>
      </c>
      <c r="V943" t="str">
        <f t="shared" si="43"/>
        <v>Normal</v>
      </c>
      <c r="W943" t="str">
        <f t="shared" si="44"/>
        <v>Normal</v>
      </c>
    </row>
    <row r="944" spans="1:23" x14ac:dyDescent="0.3">
      <c r="A944">
        <v>10647</v>
      </c>
      <c r="B944" s="2">
        <v>45765</v>
      </c>
      <c r="C944" t="s">
        <v>49</v>
      </c>
      <c r="D944" t="s">
        <v>32</v>
      </c>
      <c r="E944" t="s">
        <v>107</v>
      </c>
      <c r="F944" t="s">
        <v>41</v>
      </c>
      <c r="G944" t="s">
        <v>50</v>
      </c>
      <c r="H944" t="s">
        <v>93</v>
      </c>
      <c r="I944" t="s">
        <v>347</v>
      </c>
      <c r="J944">
        <v>1031</v>
      </c>
      <c r="K944">
        <v>19</v>
      </c>
      <c r="L944" t="s">
        <v>68</v>
      </c>
      <c r="M944">
        <v>40</v>
      </c>
      <c r="N944">
        <v>28.9</v>
      </c>
      <c r="O944">
        <v>69.2</v>
      </c>
      <c r="P944">
        <v>4.82</v>
      </c>
      <c r="Q944">
        <v>2.93</v>
      </c>
      <c r="R944" t="s">
        <v>63</v>
      </c>
      <c r="S944" t="s">
        <v>29</v>
      </c>
      <c r="T944" t="s">
        <v>30</v>
      </c>
      <c r="U944" t="str">
        <f t="shared" si="42"/>
        <v>Normal</v>
      </c>
      <c r="V944" t="str">
        <f t="shared" si="43"/>
        <v>Normal</v>
      </c>
      <c r="W944" t="str">
        <f t="shared" si="44"/>
        <v>Normal</v>
      </c>
    </row>
    <row r="945" spans="1:23" x14ac:dyDescent="0.3">
      <c r="A945">
        <v>11315</v>
      </c>
      <c r="B945" s="2">
        <v>45792</v>
      </c>
      <c r="C945" t="s">
        <v>20</v>
      </c>
      <c r="D945" t="s">
        <v>64</v>
      </c>
      <c r="E945" t="s">
        <v>40</v>
      </c>
      <c r="F945" t="s">
        <v>81</v>
      </c>
      <c r="G945" t="s">
        <v>113</v>
      </c>
      <c r="H945" t="s">
        <v>101</v>
      </c>
      <c r="I945" t="s">
        <v>62</v>
      </c>
      <c r="J945">
        <v>975</v>
      </c>
      <c r="K945">
        <v>13</v>
      </c>
      <c r="L945" t="s">
        <v>68</v>
      </c>
      <c r="M945">
        <v>160</v>
      </c>
      <c r="N945">
        <v>51.6</v>
      </c>
      <c r="O945">
        <v>69.099999999999994</v>
      </c>
      <c r="P945">
        <v>5.3</v>
      </c>
      <c r="Q945">
        <v>2.91</v>
      </c>
      <c r="R945" t="s">
        <v>53</v>
      </c>
      <c r="S945" t="s">
        <v>47</v>
      </c>
      <c r="T945" t="s">
        <v>30</v>
      </c>
      <c r="U945" t="str">
        <f t="shared" si="42"/>
        <v>Normal</v>
      </c>
      <c r="V945" t="str">
        <f t="shared" si="43"/>
        <v>Normal</v>
      </c>
      <c r="W945" t="str">
        <f t="shared" si="44"/>
        <v>Normal</v>
      </c>
    </row>
    <row r="946" spans="1:23" x14ac:dyDescent="0.3">
      <c r="A946">
        <v>10376</v>
      </c>
      <c r="B946" s="2">
        <v>45949</v>
      </c>
      <c r="C946" t="s">
        <v>20</v>
      </c>
      <c r="D946" t="s">
        <v>32</v>
      </c>
      <c r="E946" t="s">
        <v>107</v>
      </c>
      <c r="F946" t="s">
        <v>81</v>
      </c>
      <c r="G946" t="s">
        <v>50</v>
      </c>
      <c r="H946" t="s">
        <v>196</v>
      </c>
      <c r="I946" t="s">
        <v>377</v>
      </c>
      <c r="J946">
        <v>845</v>
      </c>
      <c r="K946">
        <v>10</v>
      </c>
      <c r="L946" t="s">
        <v>57</v>
      </c>
      <c r="M946">
        <v>156</v>
      </c>
      <c r="N946">
        <v>46</v>
      </c>
      <c r="O946">
        <v>69.099999999999994</v>
      </c>
      <c r="P946">
        <v>7.47</v>
      </c>
      <c r="Q946">
        <v>4.5999999999999996</v>
      </c>
      <c r="R946" t="s">
        <v>209</v>
      </c>
      <c r="S946" t="s">
        <v>29</v>
      </c>
      <c r="T946" t="s">
        <v>30</v>
      </c>
      <c r="U946" t="str">
        <f t="shared" si="42"/>
        <v>Normal</v>
      </c>
      <c r="V946" t="str">
        <f t="shared" si="43"/>
        <v>Normal</v>
      </c>
      <c r="W946" t="str">
        <f t="shared" si="44"/>
        <v>Normal</v>
      </c>
    </row>
    <row r="947" spans="1:23" x14ac:dyDescent="0.3">
      <c r="A947">
        <v>10794</v>
      </c>
      <c r="B947" s="2">
        <v>45900</v>
      </c>
      <c r="C947" t="s">
        <v>20</v>
      </c>
      <c r="D947" t="s">
        <v>59</v>
      </c>
      <c r="E947" t="s">
        <v>22</v>
      </c>
      <c r="F947" t="s">
        <v>23</v>
      </c>
      <c r="G947" t="s">
        <v>89</v>
      </c>
      <c r="H947" t="s">
        <v>69</v>
      </c>
      <c r="I947" t="s">
        <v>364</v>
      </c>
      <c r="J947">
        <v>803</v>
      </c>
      <c r="K947">
        <v>11</v>
      </c>
      <c r="L947" t="s">
        <v>37</v>
      </c>
      <c r="M947">
        <v>142</v>
      </c>
      <c r="N947">
        <v>35.799999999999997</v>
      </c>
      <c r="O947">
        <v>69.099999999999994</v>
      </c>
      <c r="P947">
        <v>5.36</v>
      </c>
      <c r="Q947">
        <v>2.5499999999999998</v>
      </c>
      <c r="R947" t="s">
        <v>125</v>
      </c>
      <c r="S947" t="s">
        <v>39</v>
      </c>
      <c r="T947" t="s">
        <v>30</v>
      </c>
      <c r="U947" t="str">
        <f t="shared" si="42"/>
        <v>Normal</v>
      </c>
      <c r="V947" t="str">
        <f t="shared" si="43"/>
        <v>Normal</v>
      </c>
      <c r="W947" t="str">
        <f t="shared" si="44"/>
        <v>Normal</v>
      </c>
    </row>
    <row r="948" spans="1:23" x14ac:dyDescent="0.3">
      <c r="A948">
        <v>10895</v>
      </c>
      <c r="B948" s="2">
        <v>45712</v>
      </c>
      <c r="C948" t="s">
        <v>20</v>
      </c>
      <c r="D948" t="s">
        <v>32</v>
      </c>
      <c r="E948" t="s">
        <v>22</v>
      </c>
      <c r="F948" t="s">
        <v>23</v>
      </c>
      <c r="G948" t="s">
        <v>54</v>
      </c>
      <c r="H948" t="s">
        <v>190</v>
      </c>
      <c r="I948" t="s">
        <v>331</v>
      </c>
      <c r="J948">
        <v>1319</v>
      </c>
      <c r="K948">
        <v>76</v>
      </c>
      <c r="L948" t="s">
        <v>71</v>
      </c>
      <c r="M948">
        <v>94</v>
      </c>
      <c r="N948">
        <v>41.5</v>
      </c>
      <c r="O948">
        <v>69.099999999999994</v>
      </c>
      <c r="P948">
        <v>5.13</v>
      </c>
      <c r="Q948">
        <v>2.44</v>
      </c>
      <c r="R948" t="s">
        <v>164</v>
      </c>
      <c r="S948" t="s">
        <v>73</v>
      </c>
      <c r="T948" t="s">
        <v>48</v>
      </c>
      <c r="U948" t="str">
        <f t="shared" si="42"/>
        <v>Normal</v>
      </c>
      <c r="V948" t="str">
        <f t="shared" si="43"/>
        <v>Normal</v>
      </c>
      <c r="W948" t="str">
        <f t="shared" si="44"/>
        <v>Normal</v>
      </c>
    </row>
    <row r="949" spans="1:23" x14ac:dyDescent="0.3">
      <c r="A949">
        <v>10168</v>
      </c>
      <c r="B949" s="2">
        <v>45996</v>
      </c>
      <c r="C949" t="s">
        <v>31</v>
      </c>
      <c r="D949" t="s">
        <v>21</v>
      </c>
      <c r="E949" t="s">
        <v>40</v>
      </c>
      <c r="F949" t="s">
        <v>23</v>
      </c>
      <c r="G949" t="s">
        <v>60</v>
      </c>
      <c r="H949" t="s">
        <v>175</v>
      </c>
      <c r="I949" t="s">
        <v>334</v>
      </c>
      <c r="J949">
        <v>1412</v>
      </c>
      <c r="K949">
        <v>39</v>
      </c>
      <c r="L949" t="s">
        <v>45</v>
      </c>
      <c r="M949">
        <v>166</v>
      </c>
      <c r="N949">
        <v>31.4</v>
      </c>
      <c r="O949">
        <v>69.099999999999994</v>
      </c>
      <c r="P949">
        <v>5.91</v>
      </c>
      <c r="Q949">
        <v>3.43</v>
      </c>
      <c r="R949" t="s">
        <v>111</v>
      </c>
      <c r="S949" t="s">
        <v>73</v>
      </c>
      <c r="T949" t="s">
        <v>30</v>
      </c>
      <c r="U949" t="str">
        <f t="shared" si="42"/>
        <v>Normal</v>
      </c>
      <c r="V949" t="str">
        <f t="shared" si="43"/>
        <v>Normal</v>
      </c>
      <c r="W949" t="str">
        <f t="shared" si="44"/>
        <v>Normal</v>
      </c>
    </row>
    <row r="950" spans="1:23" x14ac:dyDescent="0.3">
      <c r="A950">
        <v>10258</v>
      </c>
      <c r="B950" s="2">
        <v>45665</v>
      </c>
      <c r="C950" t="s">
        <v>31</v>
      </c>
      <c r="D950" t="s">
        <v>21</v>
      </c>
      <c r="E950" t="s">
        <v>40</v>
      </c>
      <c r="F950" t="s">
        <v>23</v>
      </c>
      <c r="G950" t="s">
        <v>24</v>
      </c>
      <c r="H950" t="s">
        <v>55</v>
      </c>
      <c r="I950" t="s">
        <v>275</v>
      </c>
      <c r="J950">
        <v>1072</v>
      </c>
      <c r="K950">
        <v>41</v>
      </c>
      <c r="L950" t="s">
        <v>45</v>
      </c>
      <c r="M950">
        <v>15</v>
      </c>
      <c r="N950">
        <v>38.700000000000003</v>
      </c>
      <c r="O950">
        <v>69.099999999999994</v>
      </c>
      <c r="P950">
        <v>5.2</v>
      </c>
      <c r="Q950">
        <v>4.07</v>
      </c>
      <c r="R950" t="s">
        <v>28</v>
      </c>
      <c r="S950" t="s">
        <v>73</v>
      </c>
      <c r="T950" t="s">
        <v>48</v>
      </c>
      <c r="U950" t="str">
        <f t="shared" si="42"/>
        <v>Normal</v>
      </c>
      <c r="V950" t="str">
        <f t="shared" si="43"/>
        <v>Normal</v>
      </c>
      <c r="W950" t="str">
        <f t="shared" si="44"/>
        <v>Normal</v>
      </c>
    </row>
    <row r="951" spans="1:23" x14ac:dyDescent="0.3">
      <c r="A951">
        <v>10104</v>
      </c>
      <c r="B951" s="2">
        <v>45935</v>
      </c>
      <c r="C951" t="s">
        <v>49</v>
      </c>
      <c r="D951" t="s">
        <v>21</v>
      </c>
      <c r="E951" t="s">
        <v>22</v>
      </c>
      <c r="F951" t="s">
        <v>41</v>
      </c>
      <c r="G951" t="s">
        <v>95</v>
      </c>
      <c r="H951" t="s">
        <v>215</v>
      </c>
      <c r="I951" t="s">
        <v>322</v>
      </c>
      <c r="J951">
        <v>632</v>
      </c>
      <c r="K951">
        <v>2</v>
      </c>
      <c r="L951" t="s">
        <v>37</v>
      </c>
      <c r="M951">
        <v>124</v>
      </c>
      <c r="N951">
        <v>47.2</v>
      </c>
      <c r="O951">
        <v>69.099999999999994</v>
      </c>
      <c r="P951">
        <v>5.44</v>
      </c>
      <c r="Q951">
        <v>0.97</v>
      </c>
      <c r="R951" t="s">
        <v>105</v>
      </c>
      <c r="S951" t="s">
        <v>73</v>
      </c>
      <c r="T951" t="s">
        <v>30</v>
      </c>
      <c r="U951" t="str">
        <f t="shared" si="42"/>
        <v>Normal</v>
      </c>
      <c r="V951" t="str">
        <f t="shared" si="43"/>
        <v>Normal</v>
      </c>
      <c r="W951" t="str">
        <f t="shared" si="44"/>
        <v>Normal</v>
      </c>
    </row>
    <row r="952" spans="1:23" x14ac:dyDescent="0.3">
      <c r="A952">
        <v>11018</v>
      </c>
      <c r="B952" s="2">
        <v>45976</v>
      </c>
      <c r="C952" t="s">
        <v>49</v>
      </c>
      <c r="D952" t="s">
        <v>32</v>
      </c>
      <c r="E952" t="s">
        <v>33</v>
      </c>
      <c r="F952" t="s">
        <v>41</v>
      </c>
      <c r="G952" t="s">
        <v>42</v>
      </c>
      <c r="H952" t="s">
        <v>252</v>
      </c>
      <c r="I952" t="s">
        <v>372</v>
      </c>
      <c r="J952">
        <v>595</v>
      </c>
      <c r="K952">
        <v>5</v>
      </c>
      <c r="L952" t="s">
        <v>71</v>
      </c>
      <c r="M952">
        <v>10</v>
      </c>
      <c r="N952">
        <v>48.7</v>
      </c>
      <c r="O952">
        <v>69.099999999999994</v>
      </c>
      <c r="P952">
        <v>6.66</v>
      </c>
      <c r="Q952">
        <v>3.99</v>
      </c>
      <c r="R952" t="s">
        <v>133</v>
      </c>
      <c r="S952" t="s">
        <v>29</v>
      </c>
      <c r="T952" t="s">
        <v>30</v>
      </c>
      <c r="U952" t="str">
        <f t="shared" si="42"/>
        <v>Normal</v>
      </c>
      <c r="V952" t="str">
        <f t="shared" si="43"/>
        <v>Normal</v>
      </c>
      <c r="W952" t="str">
        <f t="shared" si="44"/>
        <v>Normal</v>
      </c>
    </row>
    <row r="953" spans="1:23" x14ac:dyDescent="0.3">
      <c r="A953">
        <v>11295</v>
      </c>
      <c r="B953" s="2">
        <v>45922</v>
      </c>
      <c r="C953" t="s">
        <v>49</v>
      </c>
      <c r="D953" t="s">
        <v>64</v>
      </c>
      <c r="E953" t="s">
        <v>22</v>
      </c>
      <c r="F953" t="s">
        <v>23</v>
      </c>
      <c r="G953" t="s">
        <v>134</v>
      </c>
      <c r="H953" t="s">
        <v>287</v>
      </c>
      <c r="I953" t="s">
        <v>233</v>
      </c>
      <c r="J953">
        <v>1233</v>
      </c>
      <c r="K953">
        <v>18</v>
      </c>
      <c r="L953" t="s">
        <v>71</v>
      </c>
      <c r="M953">
        <v>78</v>
      </c>
      <c r="N953">
        <v>35.700000000000003</v>
      </c>
      <c r="O953">
        <v>69.099999999999994</v>
      </c>
      <c r="P953">
        <v>5.59</v>
      </c>
      <c r="Q953">
        <v>1.89</v>
      </c>
      <c r="R953" t="s">
        <v>92</v>
      </c>
      <c r="S953" t="s">
        <v>29</v>
      </c>
      <c r="T953" t="s">
        <v>30</v>
      </c>
      <c r="U953" t="str">
        <f t="shared" si="42"/>
        <v>Normal</v>
      </c>
      <c r="V953" t="str">
        <f t="shared" si="43"/>
        <v>Normal</v>
      </c>
      <c r="W953" t="str">
        <f t="shared" si="44"/>
        <v>Normal</v>
      </c>
    </row>
    <row r="954" spans="1:23" x14ac:dyDescent="0.3">
      <c r="A954">
        <v>11484</v>
      </c>
      <c r="B954" s="2">
        <v>46007</v>
      </c>
      <c r="C954" t="s">
        <v>20</v>
      </c>
      <c r="D954" t="s">
        <v>32</v>
      </c>
      <c r="E954" t="s">
        <v>40</v>
      </c>
      <c r="F954" t="s">
        <v>23</v>
      </c>
      <c r="G954" t="s">
        <v>134</v>
      </c>
      <c r="H954" t="s">
        <v>161</v>
      </c>
      <c r="I954" t="s">
        <v>102</v>
      </c>
      <c r="J954">
        <v>720</v>
      </c>
      <c r="K954">
        <v>5</v>
      </c>
      <c r="L954" t="s">
        <v>27</v>
      </c>
      <c r="M954">
        <v>59</v>
      </c>
      <c r="N954">
        <v>24</v>
      </c>
      <c r="O954">
        <v>69</v>
      </c>
      <c r="P954">
        <v>4.9800000000000004</v>
      </c>
      <c r="Q954">
        <v>2.2799999999999998</v>
      </c>
      <c r="R954" t="s">
        <v>216</v>
      </c>
      <c r="S954" t="s">
        <v>73</v>
      </c>
      <c r="T954" t="s">
        <v>30</v>
      </c>
      <c r="U954" t="str">
        <f t="shared" si="42"/>
        <v>Normal</v>
      </c>
      <c r="V954" t="str">
        <f t="shared" si="43"/>
        <v>Normal</v>
      </c>
      <c r="W954" t="str">
        <f t="shared" si="44"/>
        <v>Normal</v>
      </c>
    </row>
    <row r="955" spans="1:23" x14ac:dyDescent="0.3">
      <c r="A955">
        <v>10424</v>
      </c>
      <c r="B955" s="2">
        <v>45883</v>
      </c>
      <c r="C955" t="s">
        <v>20</v>
      </c>
      <c r="D955" t="s">
        <v>59</v>
      </c>
      <c r="E955" t="s">
        <v>107</v>
      </c>
      <c r="F955" t="s">
        <v>81</v>
      </c>
      <c r="G955" t="s">
        <v>42</v>
      </c>
      <c r="H955" t="s">
        <v>116</v>
      </c>
      <c r="I955" t="s">
        <v>160</v>
      </c>
      <c r="J955">
        <v>1588</v>
      </c>
      <c r="K955">
        <v>50</v>
      </c>
      <c r="L955" t="s">
        <v>27</v>
      </c>
      <c r="M955">
        <v>131</v>
      </c>
      <c r="N955">
        <v>49.7</v>
      </c>
      <c r="O955">
        <v>69</v>
      </c>
      <c r="P955">
        <v>5.08</v>
      </c>
      <c r="Q955">
        <v>1.52</v>
      </c>
      <c r="R955" t="s">
        <v>105</v>
      </c>
      <c r="S955" t="s">
        <v>39</v>
      </c>
      <c r="T955" t="s">
        <v>48</v>
      </c>
      <c r="U955" t="str">
        <f t="shared" si="42"/>
        <v>Normal</v>
      </c>
      <c r="V955" t="str">
        <f t="shared" si="43"/>
        <v>Normal</v>
      </c>
      <c r="W955" t="str">
        <f t="shared" si="44"/>
        <v>Normal</v>
      </c>
    </row>
    <row r="956" spans="1:23" x14ac:dyDescent="0.3">
      <c r="A956">
        <v>10293</v>
      </c>
      <c r="B956" s="2">
        <v>45918</v>
      </c>
      <c r="C956" t="s">
        <v>20</v>
      </c>
      <c r="D956" t="s">
        <v>32</v>
      </c>
      <c r="E956" t="s">
        <v>33</v>
      </c>
      <c r="F956" t="s">
        <v>23</v>
      </c>
      <c r="G956" t="s">
        <v>54</v>
      </c>
      <c r="H956" t="s">
        <v>190</v>
      </c>
      <c r="I956" t="s">
        <v>324</v>
      </c>
      <c r="J956">
        <v>1578</v>
      </c>
      <c r="K956">
        <v>60</v>
      </c>
      <c r="L956" t="s">
        <v>57</v>
      </c>
      <c r="M956">
        <v>150</v>
      </c>
      <c r="N956">
        <v>41.1</v>
      </c>
      <c r="O956">
        <v>69</v>
      </c>
      <c r="P956">
        <v>4.05</v>
      </c>
      <c r="Q956">
        <v>2.2200000000000002</v>
      </c>
      <c r="R956" t="s">
        <v>159</v>
      </c>
      <c r="S956" t="s">
        <v>39</v>
      </c>
      <c r="T956" t="s">
        <v>48</v>
      </c>
      <c r="U956" t="str">
        <f t="shared" si="42"/>
        <v>Normal</v>
      </c>
      <c r="V956" t="str">
        <f t="shared" si="43"/>
        <v>Normal</v>
      </c>
      <c r="W956" t="str">
        <f t="shared" si="44"/>
        <v>Normal</v>
      </c>
    </row>
    <row r="957" spans="1:23" x14ac:dyDescent="0.3">
      <c r="A957">
        <v>10200</v>
      </c>
      <c r="B957" s="2">
        <v>45706</v>
      </c>
      <c r="C957" t="s">
        <v>20</v>
      </c>
      <c r="D957" t="s">
        <v>64</v>
      </c>
      <c r="E957" t="s">
        <v>107</v>
      </c>
      <c r="F957" t="s">
        <v>81</v>
      </c>
      <c r="G957" t="s">
        <v>60</v>
      </c>
      <c r="H957" t="s">
        <v>96</v>
      </c>
      <c r="I957" t="s">
        <v>56</v>
      </c>
      <c r="J957">
        <v>559</v>
      </c>
      <c r="K957">
        <v>11</v>
      </c>
      <c r="L957" t="s">
        <v>68</v>
      </c>
      <c r="M957">
        <v>86</v>
      </c>
      <c r="N957">
        <v>48.2</v>
      </c>
      <c r="O957">
        <v>69</v>
      </c>
      <c r="P957">
        <v>3.67</v>
      </c>
      <c r="Q957">
        <v>2.63</v>
      </c>
      <c r="R957" t="s">
        <v>72</v>
      </c>
      <c r="S957" t="s">
        <v>29</v>
      </c>
      <c r="T957" t="s">
        <v>30</v>
      </c>
      <c r="U957" t="str">
        <f t="shared" si="42"/>
        <v>Normal</v>
      </c>
      <c r="V957" t="str">
        <f t="shared" si="43"/>
        <v>Normal</v>
      </c>
      <c r="W957" t="str">
        <f t="shared" si="44"/>
        <v>Normal</v>
      </c>
    </row>
    <row r="958" spans="1:23" x14ac:dyDescent="0.3">
      <c r="A958">
        <v>10622</v>
      </c>
      <c r="B958" s="2">
        <v>45799</v>
      </c>
      <c r="C958" t="s">
        <v>49</v>
      </c>
      <c r="D958" t="s">
        <v>32</v>
      </c>
      <c r="E958" t="s">
        <v>40</v>
      </c>
      <c r="F958" t="s">
        <v>41</v>
      </c>
      <c r="G958" t="s">
        <v>134</v>
      </c>
      <c r="H958" t="s">
        <v>215</v>
      </c>
      <c r="I958" t="s">
        <v>214</v>
      </c>
      <c r="J958">
        <v>980</v>
      </c>
      <c r="K958">
        <v>31</v>
      </c>
      <c r="L958" t="s">
        <v>27</v>
      </c>
      <c r="M958">
        <v>73</v>
      </c>
      <c r="N958">
        <v>46.3</v>
      </c>
      <c r="O958">
        <v>69</v>
      </c>
      <c r="P958">
        <v>4.68</v>
      </c>
      <c r="Q958">
        <v>4.2</v>
      </c>
      <c r="R958" t="s">
        <v>92</v>
      </c>
      <c r="S958" t="s">
        <v>39</v>
      </c>
      <c r="T958" t="s">
        <v>48</v>
      </c>
      <c r="U958" t="str">
        <f t="shared" si="42"/>
        <v>Normal</v>
      </c>
      <c r="V958" t="str">
        <f t="shared" si="43"/>
        <v>Normal</v>
      </c>
      <c r="W958" t="str">
        <f t="shared" si="44"/>
        <v>Normal</v>
      </c>
    </row>
    <row r="959" spans="1:23" x14ac:dyDescent="0.3">
      <c r="A959">
        <v>11086</v>
      </c>
      <c r="B959" s="2">
        <v>45969</v>
      </c>
      <c r="C959" t="s">
        <v>31</v>
      </c>
      <c r="D959" t="s">
        <v>59</v>
      </c>
      <c r="E959" t="s">
        <v>33</v>
      </c>
      <c r="F959" t="s">
        <v>81</v>
      </c>
      <c r="G959" t="s">
        <v>113</v>
      </c>
      <c r="H959" t="s">
        <v>190</v>
      </c>
      <c r="I959" t="s">
        <v>355</v>
      </c>
      <c r="J959">
        <v>521</v>
      </c>
      <c r="K959">
        <v>6</v>
      </c>
      <c r="L959" t="s">
        <v>37</v>
      </c>
      <c r="M959">
        <v>85</v>
      </c>
      <c r="N959">
        <v>50.4</v>
      </c>
      <c r="O959">
        <v>69</v>
      </c>
      <c r="P959">
        <v>5.58</v>
      </c>
      <c r="Q959">
        <v>3.57</v>
      </c>
      <c r="R959" t="s">
        <v>133</v>
      </c>
      <c r="S959" t="s">
        <v>73</v>
      </c>
      <c r="T959" t="s">
        <v>30</v>
      </c>
      <c r="U959" t="str">
        <f t="shared" si="42"/>
        <v>Normal</v>
      </c>
      <c r="V959" t="str">
        <f t="shared" si="43"/>
        <v>Normal</v>
      </c>
      <c r="W959" t="str">
        <f t="shared" si="44"/>
        <v>Normal</v>
      </c>
    </row>
    <row r="960" spans="1:23" x14ac:dyDescent="0.3">
      <c r="A960">
        <v>10704</v>
      </c>
      <c r="B960" s="2">
        <v>45741</v>
      </c>
      <c r="C960" t="s">
        <v>20</v>
      </c>
      <c r="D960" t="s">
        <v>32</v>
      </c>
      <c r="E960" t="s">
        <v>40</v>
      </c>
      <c r="F960" t="s">
        <v>41</v>
      </c>
      <c r="G960" t="s">
        <v>74</v>
      </c>
      <c r="H960" t="s">
        <v>177</v>
      </c>
      <c r="I960" t="s">
        <v>26</v>
      </c>
      <c r="J960">
        <v>1294</v>
      </c>
      <c r="K960">
        <v>26</v>
      </c>
      <c r="L960" t="s">
        <v>68</v>
      </c>
      <c r="M960">
        <v>98</v>
      </c>
      <c r="N960">
        <v>51.3</v>
      </c>
      <c r="O960">
        <v>69</v>
      </c>
      <c r="P960">
        <v>4.96</v>
      </c>
      <c r="Q960">
        <v>0.7</v>
      </c>
      <c r="R960" t="s">
        <v>125</v>
      </c>
      <c r="S960" t="s">
        <v>47</v>
      </c>
      <c r="T960" t="s">
        <v>30</v>
      </c>
      <c r="U960" t="str">
        <f t="shared" si="42"/>
        <v>Normal</v>
      </c>
      <c r="V960" t="str">
        <f t="shared" si="43"/>
        <v>Normal</v>
      </c>
      <c r="W960" t="str">
        <f t="shared" si="44"/>
        <v>Normal</v>
      </c>
    </row>
    <row r="961" spans="1:23" x14ac:dyDescent="0.3">
      <c r="A961">
        <v>10254</v>
      </c>
      <c r="B961" s="2">
        <v>45827</v>
      </c>
      <c r="C961" t="s">
        <v>31</v>
      </c>
      <c r="D961" t="s">
        <v>59</v>
      </c>
      <c r="E961" t="s">
        <v>107</v>
      </c>
      <c r="F961" t="s">
        <v>41</v>
      </c>
      <c r="G961" t="s">
        <v>74</v>
      </c>
      <c r="H961" t="s">
        <v>287</v>
      </c>
      <c r="I961" t="s">
        <v>132</v>
      </c>
      <c r="J961">
        <v>762</v>
      </c>
      <c r="K961">
        <v>3</v>
      </c>
      <c r="L961" t="s">
        <v>71</v>
      </c>
      <c r="M961">
        <v>113</v>
      </c>
      <c r="N961">
        <v>32.9</v>
      </c>
      <c r="O961">
        <v>69</v>
      </c>
      <c r="P961">
        <v>4.32</v>
      </c>
      <c r="Q961">
        <v>2.84</v>
      </c>
      <c r="R961" t="s">
        <v>240</v>
      </c>
      <c r="S961" t="s">
        <v>39</v>
      </c>
      <c r="T961" t="s">
        <v>30</v>
      </c>
      <c r="U961" t="str">
        <f t="shared" si="42"/>
        <v>Normal</v>
      </c>
      <c r="V961" t="str">
        <f t="shared" si="43"/>
        <v>Normal</v>
      </c>
      <c r="W961" t="str">
        <f t="shared" si="44"/>
        <v>Normal</v>
      </c>
    </row>
    <row r="962" spans="1:23" x14ac:dyDescent="0.3">
      <c r="A962">
        <v>10528</v>
      </c>
      <c r="B962" s="2">
        <v>46016</v>
      </c>
      <c r="C962" t="s">
        <v>20</v>
      </c>
      <c r="D962" t="s">
        <v>59</v>
      </c>
      <c r="E962" t="s">
        <v>40</v>
      </c>
      <c r="F962" t="s">
        <v>41</v>
      </c>
      <c r="G962" t="s">
        <v>34</v>
      </c>
      <c r="H962" t="s">
        <v>180</v>
      </c>
      <c r="I962" t="s">
        <v>181</v>
      </c>
      <c r="J962">
        <v>1416</v>
      </c>
      <c r="K962">
        <v>4</v>
      </c>
      <c r="L962" t="s">
        <v>57</v>
      </c>
      <c r="M962">
        <v>180</v>
      </c>
      <c r="N962">
        <v>33.6</v>
      </c>
      <c r="O962">
        <v>68.900000000000006</v>
      </c>
      <c r="P962">
        <v>4.97</v>
      </c>
      <c r="Q962">
        <v>2.1800000000000002</v>
      </c>
      <c r="R962" t="s">
        <v>77</v>
      </c>
      <c r="S962" t="s">
        <v>73</v>
      </c>
      <c r="T962" t="s">
        <v>30</v>
      </c>
      <c r="U962" t="str">
        <f t="shared" ref="U962:U1025" si="45">IF(OR(O962&lt;20,O962&gt;100),"Investigate","Normal")</f>
        <v>Normal</v>
      </c>
      <c r="V962" t="str">
        <f t="shared" ref="V962:V1025" si="46">IF(OR(P962&lt;2,P962&gt;10),"Investigate","Normal")</f>
        <v>Normal</v>
      </c>
      <c r="W962" t="str">
        <f t="shared" ref="W962:W1025" si="47">IF(Q962&gt;10,"Investigate","Normal")</f>
        <v>Normal</v>
      </c>
    </row>
    <row r="963" spans="1:23" x14ac:dyDescent="0.3">
      <c r="A963">
        <v>11442</v>
      </c>
      <c r="B963" s="2">
        <v>45916</v>
      </c>
      <c r="C963" t="s">
        <v>20</v>
      </c>
      <c r="D963" t="s">
        <v>32</v>
      </c>
      <c r="E963" t="s">
        <v>22</v>
      </c>
      <c r="F963" t="s">
        <v>81</v>
      </c>
      <c r="G963" t="s">
        <v>42</v>
      </c>
      <c r="H963" t="s">
        <v>75</v>
      </c>
      <c r="I963" t="s">
        <v>324</v>
      </c>
      <c r="J963">
        <v>1288</v>
      </c>
      <c r="K963">
        <v>11</v>
      </c>
      <c r="L963" t="s">
        <v>27</v>
      </c>
      <c r="M963">
        <v>51</v>
      </c>
      <c r="N963">
        <v>34.700000000000003</v>
      </c>
      <c r="O963">
        <v>68.900000000000006</v>
      </c>
      <c r="P963">
        <v>5.26</v>
      </c>
      <c r="Q963">
        <v>1.83</v>
      </c>
      <c r="R963" t="s">
        <v>174</v>
      </c>
      <c r="S963" t="s">
        <v>29</v>
      </c>
      <c r="T963" t="s">
        <v>30</v>
      </c>
      <c r="U963" t="str">
        <f t="shared" si="45"/>
        <v>Normal</v>
      </c>
      <c r="V963" t="str">
        <f t="shared" si="46"/>
        <v>Normal</v>
      </c>
      <c r="W963" t="str">
        <f t="shared" si="47"/>
        <v>Normal</v>
      </c>
    </row>
    <row r="964" spans="1:23" x14ac:dyDescent="0.3">
      <c r="A964">
        <v>10860</v>
      </c>
      <c r="B964" s="2">
        <v>45826</v>
      </c>
      <c r="C964" t="s">
        <v>49</v>
      </c>
      <c r="D964" t="s">
        <v>32</v>
      </c>
      <c r="E964" t="s">
        <v>40</v>
      </c>
      <c r="F964" t="s">
        <v>23</v>
      </c>
      <c r="G964" t="s">
        <v>89</v>
      </c>
      <c r="H964" t="s">
        <v>175</v>
      </c>
      <c r="I964" t="s">
        <v>282</v>
      </c>
      <c r="J964">
        <v>672</v>
      </c>
      <c r="K964">
        <v>9</v>
      </c>
      <c r="L964" t="s">
        <v>68</v>
      </c>
      <c r="M964">
        <v>77</v>
      </c>
      <c r="N964">
        <v>28</v>
      </c>
      <c r="O964">
        <v>68.900000000000006</v>
      </c>
      <c r="P964">
        <v>3.65</v>
      </c>
      <c r="Q964">
        <v>1.8</v>
      </c>
      <c r="R964" t="s">
        <v>222</v>
      </c>
      <c r="S964" t="s">
        <v>29</v>
      </c>
      <c r="T964" t="s">
        <v>30</v>
      </c>
      <c r="U964" t="str">
        <f t="shared" si="45"/>
        <v>Normal</v>
      </c>
      <c r="V964" t="str">
        <f t="shared" si="46"/>
        <v>Normal</v>
      </c>
      <c r="W964" t="str">
        <f t="shared" si="47"/>
        <v>Normal</v>
      </c>
    </row>
    <row r="965" spans="1:23" x14ac:dyDescent="0.3">
      <c r="A965">
        <v>10495</v>
      </c>
      <c r="B965" s="2">
        <v>45671</v>
      </c>
      <c r="C965" t="s">
        <v>20</v>
      </c>
      <c r="D965" t="s">
        <v>64</v>
      </c>
      <c r="E965" t="s">
        <v>107</v>
      </c>
      <c r="F965" t="s">
        <v>23</v>
      </c>
      <c r="G965" t="s">
        <v>50</v>
      </c>
      <c r="H965" t="s">
        <v>144</v>
      </c>
      <c r="I965" t="s">
        <v>52</v>
      </c>
      <c r="J965">
        <v>1172</v>
      </c>
      <c r="K965">
        <v>10</v>
      </c>
      <c r="L965" t="s">
        <v>68</v>
      </c>
      <c r="M965">
        <v>159</v>
      </c>
      <c r="N965">
        <v>42.7</v>
      </c>
      <c r="O965">
        <v>68.8</v>
      </c>
      <c r="P965">
        <v>4.8</v>
      </c>
      <c r="Q965">
        <v>2.52</v>
      </c>
      <c r="R965" t="s">
        <v>229</v>
      </c>
      <c r="S965" t="s">
        <v>47</v>
      </c>
      <c r="T965" t="s">
        <v>30</v>
      </c>
      <c r="U965" t="str">
        <f t="shared" si="45"/>
        <v>Normal</v>
      </c>
      <c r="V965" t="str">
        <f t="shared" si="46"/>
        <v>Normal</v>
      </c>
      <c r="W965" t="str">
        <f t="shared" si="47"/>
        <v>Normal</v>
      </c>
    </row>
    <row r="966" spans="1:23" x14ac:dyDescent="0.3">
      <c r="A966">
        <v>11289</v>
      </c>
      <c r="B966" s="2">
        <v>45828</v>
      </c>
      <c r="C966" t="s">
        <v>49</v>
      </c>
      <c r="D966" t="s">
        <v>59</v>
      </c>
      <c r="E966" t="s">
        <v>22</v>
      </c>
      <c r="F966" t="s">
        <v>81</v>
      </c>
      <c r="G966" t="s">
        <v>134</v>
      </c>
      <c r="H966" t="s">
        <v>126</v>
      </c>
      <c r="I966" t="s">
        <v>154</v>
      </c>
      <c r="J966">
        <v>1597</v>
      </c>
      <c r="K966">
        <v>34</v>
      </c>
      <c r="L966" t="s">
        <v>57</v>
      </c>
      <c r="M966">
        <v>133</v>
      </c>
      <c r="N966">
        <v>46</v>
      </c>
      <c r="O966">
        <v>68.8</v>
      </c>
      <c r="P966">
        <v>4.96</v>
      </c>
      <c r="Q966">
        <v>2.6</v>
      </c>
      <c r="R966" t="s">
        <v>195</v>
      </c>
      <c r="S966" t="s">
        <v>73</v>
      </c>
      <c r="T966" t="s">
        <v>30</v>
      </c>
      <c r="U966" t="str">
        <f t="shared" si="45"/>
        <v>Normal</v>
      </c>
      <c r="V966" t="str">
        <f t="shared" si="46"/>
        <v>Normal</v>
      </c>
      <c r="W966" t="str">
        <f t="shared" si="47"/>
        <v>Normal</v>
      </c>
    </row>
    <row r="967" spans="1:23" x14ac:dyDescent="0.3">
      <c r="A967">
        <v>10991</v>
      </c>
      <c r="B967" s="2">
        <v>45795</v>
      </c>
      <c r="C967" t="s">
        <v>49</v>
      </c>
      <c r="D967" t="s">
        <v>59</v>
      </c>
      <c r="E967" t="s">
        <v>40</v>
      </c>
      <c r="F967" t="s">
        <v>23</v>
      </c>
      <c r="G967" t="s">
        <v>113</v>
      </c>
      <c r="H967" t="s">
        <v>192</v>
      </c>
      <c r="I967" t="s">
        <v>305</v>
      </c>
      <c r="J967">
        <v>1440</v>
      </c>
      <c r="K967">
        <v>12</v>
      </c>
      <c r="L967" t="s">
        <v>37</v>
      </c>
      <c r="M967">
        <v>121</v>
      </c>
      <c r="N967">
        <v>43.5</v>
      </c>
      <c r="O967">
        <v>68.8</v>
      </c>
      <c r="P967">
        <v>4.37</v>
      </c>
      <c r="Q967">
        <v>1.94</v>
      </c>
      <c r="R967" t="s">
        <v>84</v>
      </c>
      <c r="S967" t="s">
        <v>29</v>
      </c>
      <c r="T967" t="s">
        <v>30</v>
      </c>
      <c r="U967" t="str">
        <f t="shared" si="45"/>
        <v>Normal</v>
      </c>
      <c r="V967" t="str">
        <f t="shared" si="46"/>
        <v>Normal</v>
      </c>
      <c r="W967" t="str">
        <f t="shared" si="47"/>
        <v>Normal</v>
      </c>
    </row>
    <row r="968" spans="1:23" x14ac:dyDescent="0.3">
      <c r="A968">
        <v>10734</v>
      </c>
      <c r="B968" s="2">
        <v>45804</v>
      </c>
      <c r="C968" t="s">
        <v>49</v>
      </c>
      <c r="D968" t="s">
        <v>21</v>
      </c>
      <c r="E968" t="s">
        <v>33</v>
      </c>
      <c r="F968" t="s">
        <v>41</v>
      </c>
      <c r="G968" t="s">
        <v>113</v>
      </c>
      <c r="H968" t="s">
        <v>82</v>
      </c>
      <c r="I968" t="s">
        <v>124</v>
      </c>
      <c r="J968">
        <v>483</v>
      </c>
      <c r="K968">
        <v>3</v>
      </c>
      <c r="L968" t="s">
        <v>37</v>
      </c>
      <c r="M968">
        <v>54</v>
      </c>
      <c r="N968">
        <v>33.200000000000003</v>
      </c>
      <c r="O968">
        <v>68.8</v>
      </c>
      <c r="P968">
        <v>4.3600000000000003</v>
      </c>
      <c r="Q968">
        <v>2.2999999999999998</v>
      </c>
      <c r="R968" t="s">
        <v>130</v>
      </c>
      <c r="S968" t="s">
        <v>73</v>
      </c>
      <c r="T968" t="s">
        <v>30</v>
      </c>
      <c r="U968" t="str">
        <f t="shared" si="45"/>
        <v>Normal</v>
      </c>
      <c r="V968" t="str">
        <f t="shared" si="46"/>
        <v>Normal</v>
      </c>
      <c r="W968" t="str">
        <f t="shared" si="47"/>
        <v>Normal</v>
      </c>
    </row>
    <row r="969" spans="1:23" x14ac:dyDescent="0.3">
      <c r="A969">
        <v>11043</v>
      </c>
      <c r="B969" s="2">
        <v>45698</v>
      </c>
      <c r="C969" t="s">
        <v>31</v>
      </c>
      <c r="D969" t="s">
        <v>32</v>
      </c>
      <c r="E969" t="s">
        <v>22</v>
      </c>
      <c r="F969" t="s">
        <v>23</v>
      </c>
      <c r="G969" t="s">
        <v>134</v>
      </c>
      <c r="H969" t="s">
        <v>172</v>
      </c>
      <c r="I969" t="s">
        <v>323</v>
      </c>
      <c r="J969">
        <v>537</v>
      </c>
      <c r="K969">
        <v>18</v>
      </c>
      <c r="L969" t="s">
        <v>68</v>
      </c>
      <c r="M969">
        <v>92</v>
      </c>
      <c r="N969">
        <v>36</v>
      </c>
      <c r="O969">
        <v>68.8</v>
      </c>
      <c r="P969">
        <v>4.5999999999999996</v>
      </c>
      <c r="Q969">
        <v>3.35</v>
      </c>
      <c r="R969" t="s">
        <v>195</v>
      </c>
      <c r="S969" t="s">
        <v>73</v>
      </c>
      <c r="T969" t="s">
        <v>48</v>
      </c>
      <c r="U969" t="str">
        <f t="shared" si="45"/>
        <v>Normal</v>
      </c>
      <c r="V969" t="str">
        <f t="shared" si="46"/>
        <v>Normal</v>
      </c>
      <c r="W969" t="str">
        <f t="shared" si="47"/>
        <v>Normal</v>
      </c>
    </row>
    <row r="970" spans="1:23" x14ac:dyDescent="0.3">
      <c r="A970">
        <v>11287</v>
      </c>
      <c r="B970" s="2">
        <v>45791</v>
      </c>
      <c r="C970" t="s">
        <v>49</v>
      </c>
      <c r="D970" t="s">
        <v>64</v>
      </c>
      <c r="E970" t="s">
        <v>107</v>
      </c>
      <c r="F970" t="s">
        <v>23</v>
      </c>
      <c r="G970" t="s">
        <v>109</v>
      </c>
      <c r="H970" t="s">
        <v>165</v>
      </c>
      <c r="I970" t="s">
        <v>142</v>
      </c>
      <c r="J970">
        <v>1549</v>
      </c>
      <c r="K970">
        <v>39</v>
      </c>
      <c r="L970" t="s">
        <v>71</v>
      </c>
      <c r="M970">
        <v>54</v>
      </c>
      <c r="N970">
        <v>40.700000000000003</v>
      </c>
      <c r="O970">
        <v>68.7</v>
      </c>
      <c r="P970">
        <v>4.66</v>
      </c>
      <c r="Q970">
        <v>0.77</v>
      </c>
      <c r="R970" t="s">
        <v>122</v>
      </c>
      <c r="S970" t="s">
        <v>73</v>
      </c>
      <c r="T970" t="s">
        <v>30</v>
      </c>
      <c r="U970" t="str">
        <f t="shared" si="45"/>
        <v>Normal</v>
      </c>
      <c r="V970" t="str">
        <f t="shared" si="46"/>
        <v>Normal</v>
      </c>
      <c r="W970" t="str">
        <f t="shared" si="47"/>
        <v>Normal</v>
      </c>
    </row>
    <row r="971" spans="1:23" x14ac:dyDescent="0.3">
      <c r="A971">
        <v>11384</v>
      </c>
      <c r="B971" s="2">
        <v>45830</v>
      </c>
      <c r="C971" t="s">
        <v>20</v>
      </c>
      <c r="D971" t="s">
        <v>59</v>
      </c>
      <c r="E971" t="s">
        <v>40</v>
      </c>
      <c r="F971" t="s">
        <v>23</v>
      </c>
      <c r="G971" t="s">
        <v>113</v>
      </c>
      <c r="H971" t="s">
        <v>192</v>
      </c>
      <c r="I971" t="s">
        <v>127</v>
      </c>
      <c r="J971">
        <v>940</v>
      </c>
      <c r="K971">
        <v>69</v>
      </c>
      <c r="L971" t="s">
        <v>57</v>
      </c>
      <c r="M971">
        <v>71</v>
      </c>
      <c r="N971">
        <v>39.1</v>
      </c>
      <c r="O971">
        <v>68.7</v>
      </c>
      <c r="P971">
        <v>6.08</v>
      </c>
      <c r="Q971">
        <v>5.0199999999999996</v>
      </c>
      <c r="R971" t="s">
        <v>103</v>
      </c>
      <c r="S971" t="s">
        <v>73</v>
      </c>
      <c r="T971" t="s">
        <v>48</v>
      </c>
      <c r="U971" t="str">
        <f t="shared" si="45"/>
        <v>Normal</v>
      </c>
      <c r="V971" t="str">
        <f t="shared" si="46"/>
        <v>Normal</v>
      </c>
      <c r="W971" t="str">
        <f t="shared" si="47"/>
        <v>Normal</v>
      </c>
    </row>
    <row r="972" spans="1:23" x14ac:dyDescent="0.3">
      <c r="A972">
        <v>10880</v>
      </c>
      <c r="B972" s="2">
        <v>45964</v>
      </c>
      <c r="C972" t="s">
        <v>31</v>
      </c>
      <c r="D972" t="s">
        <v>64</v>
      </c>
      <c r="E972" t="s">
        <v>33</v>
      </c>
      <c r="F972" t="s">
        <v>41</v>
      </c>
      <c r="G972" t="s">
        <v>24</v>
      </c>
      <c r="H972" t="s">
        <v>126</v>
      </c>
      <c r="I972" t="s">
        <v>332</v>
      </c>
      <c r="J972">
        <v>533</v>
      </c>
      <c r="K972">
        <v>5</v>
      </c>
      <c r="L972" t="s">
        <v>37</v>
      </c>
      <c r="M972">
        <v>156</v>
      </c>
      <c r="N972">
        <v>46.7</v>
      </c>
      <c r="O972">
        <v>68.7</v>
      </c>
      <c r="P972">
        <v>4.2699999999999996</v>
      </c>
      <c r="Q972">
        <v>3.14</v>
      </c>
      <c r="R972" t="s">
        <v>92</v>
      </c>
      <c r="S972" t="s">
        <v>47</v>
      </c>
      <c r="T972" t="s">
        <v>30</v>
      </c>
      <c r="U972" t="str">
        <f t="shared" si="45"/>
        <v>Normal</v>
      </c>
      <c r="V972" t="str">
        <f t="shared" si="46"/>
        <v>Normal</v>
      </c>
      <c r="W972" t="str">
        <f t="shared" si="47"/>
        <v>Normal</v>
      </c>
    </row>
    <row r="973" spans="1:23" x14ac:dyDescent="0.3">
      <c r="A973">
        <v>11031</v>
      </c>
      <c r="B973" s="2">
        <v>45828</v>
      </c>
      <c r="C973" t="s">
        <v>49</v>
      </c>
      <c r="D973" t="s">
        <v>32</v>
      </c>
      <c r="E973" t="s">
        <v>22</v>
      </c>
      <c r="F973" t="s">
        <v>23</v>
      </c>
      <c r="G973" t="s">
        <v>60</v>
      </c>
      <c r="H973" t="s">
        <v>114</v>
      </c>
      <c r="I973" t="s">
        <v>198</v>
      </c>
      <c r="J973">
        <v>1138</v>
      </c>
      <c r="K973">
        <v>31</v>
      </c>
      <c r="L973" t="s">
        <v>45</v>
      </c>
      <c r="M973">
        <v>177</v>
      </c>
      <c r="N973">
        <v>55.4</v>
      </c>
      <c r="O973">
        <v>68.7</v>
      </c>
      <c r="P973">
        <v>5.57</v>
      </c>
      <c r="Q973">
        <v>2.97</v>
      </c>
      <c r="R973" t="s">
        <v>143</v>
      </c>
      <c r="S973" t="s">
        <v>29</v>
      </c>
      <c r="T973" t="s">
        <v>30</v>
      </c>
      <c r="U973" t="str">
        <f t="shared" si="45"/>
        <v>Normal</v>
      </c>
      <c r="V973" t="str">
        <f t="shared" si="46"/>
        <v>Normal</v>
      </c>
      <c r="W973" t="str">
        <f t="shared" si="47"/>
        <v>Normal</v>
      </c>
    </row>
    <row r="974" spans="1:23" x14ac:dyDescent="0.3">
      <c r="A974">
        <v>10732</v>
      </c>
      <c r="B974" s="2">
        <v>45786</v>
      </c>
      <c r="C974" t="s">
        <v>31</v>
      </c>
      <c r="D974" t="s">
        <v>64</v>
      </c>
      <c r="E974" t="s">
        <v>33</v>
      </c>
      <c r="F974" t="s">
        <v>23</v>
      </c>
      <c r="G974" t="s">
        <v>109</v>
      </c>
      <c r="H974" t="s">
        <v>93</v>
      </c>
      <c r="I974" t="s">
        <v>348</v>
      </c>
      <c r="J974">
        <v>536</v>
      </c>
      <c r="K974">
        <v>5</v>
      </c>
      <c r="L974" t="s">
        <v>68</v>
      </c>
      <c r="M974">
        <v>127</v>
      </c>
      <c r="N974">
        <v>36</v>
      </c>
      <c r="O974">
        <v>68.7</v>
      </c>
      <c r="P974">
        <v>6.35</v>
      </c>
      <c r="Q974">
        <v>1.8</v>
      </c>
      <c r="R974" t="s">
        <v>209</v>
      </c>
      <c r="S974" t="s">
        <v>39</v>
      </c>
      <c r="T974" t="s">
        <v>30</v>
      </c>
      <c r="U974" t="str">
        <f t="shared" si="45"/>
        <v>Normal</v>
      </c>
      <c r="V974" t="str">
        <f t="shared" si="46"/>
        <v>Normal</v>
      </c>
      <c r="W974" t="str">
        <f t="shared" si="47"/>
        <v>Normal</v>
      </c>
    </row>
    <row r="975" spans="1:23" x14ac:dyDescent="0.3">
      <c r="A975">
        <v>10451</v>
      </c>
      <c r="B975" s="2">
        <v>45906</v>
      </c>
      <c r="C975" t="s">
        <v>31</v>
      </c>
      <c r="D975" t="s">
        <v>21</v>
      </c>
      <c r="E975" t="s">
        <v>107</v>
      </c>
      <c r="F975" t="s">
        <v>41</v>
      </c>
      <c r="G975" t="s">
        <v>42</v>
      </c>
      <c r="H975" t="s">
        <v>180</v>
      </c>
      <c r="I975" t="s">
        <v>97</v>
      </c>
      <c r="J975">
        <v>947</v>
      </c>
      <c r="K975">
        <v>3</v>
      </c>
      <c r="L975" t="s">
        <v>37</v>
      </c>
      <c r="M975">
        <v>159</v>
      </c>
      <c r="N975">
        <v>43.1</v>
      </c>
      <c r="O975">
        <v>68.7</v>
      </c>
      <c r="P975">
        <v>4.9400000000000004</v>
      </c>
      <c r="Q975">
        <v>4.0199999999999996</v>
      </c>
      <c r="R975" t="s">
        <v>133</v>
      </c>
      <c r="S975" t="s">
        <v>29</v>
      </c>
      <c r="T975" t="s">
        <v>30</v>
      </c>
      <c r="U975" t="str">
        <f t="shared" si="45"/>
        <v>Normal</v>
      </c>
      <c r="V975" t="str">
        <f t="shared" si="46"/>
        <v>Normal</v>
      </c>
      <c r="W975" t="str">
        <f t="shared" si="47"/>
        <v>Normal</v>
      </c>
    </row>
    <row r="976" spans="1:23" x14ac:dyDescent="0.3">
      <c r="A976">
        <v>10516</v>
      </c>
      <c r="B976" s="2">
        <v>45681</v>
      </c>
      <c r="C976" t="s">
        <v>49</v>
      </c>
      <c r="D976" t="s">
        <v>32</v>
      </c>
      <c r="E976" t="s">
        <v>22</v>
      </c>
      <c r="F976" t="s">
        <v>23</v>
      </c>
      <c r="G976" t="s">
        <v>95</v>
      </c>
      <c r="H976" t="s">
        <v>193</v>
      </c>
      <c r="I976" t="s">
        <v>206</v>
      </c>
      <c r="J976">
        <v>828</v>
      </c>
      <c r="K976">
        <v>4</v>
      </c>
      <c r="L976" t="s">
        <v>27</v>
      </c>
      <c r="M976">
        <v>55</v>
      </c>
      <c r="N976">
        <v>39.200000000000003</v>
      </c>
      <c r="O976">
        <v>68.7</v>
      </c>
      <c r="P976">
        <v>4.83</v>
      </c>
      <c r="Q976">
        <v>4.9800000000000004</v>
      </c>
      <c r="R976" t="s">
        <v>186</v>
      </c>
      <c r="S976" t="s">
        <v>73</v>
      </c>
      <c r="T976" t="s">
        <v>30</v>
      </c>
      <c r="U976" t="str">
        <f t="shared" si="45"/>
        <v>Normal</v>
      </c>
      <c r="V976" t="str">
        <f t="shared" si="46"/>
        <v>Normal</v>
      </c>
      <c r="W976" t="str">
        <f t="shared" si="47"/>
        <v>Normal</v>
      </c>
    </row>
    <row r="977" spans="1:23" x14ac:dyDescent="0.3">
      <c r="A977">
        <v>11391</v>
      </c>
      <c r="B977" s="2">
        <v>45935</v>
      </c>
      <c r="C977" t="s">
        <v>20</v>
      </c>
      <c r="D977" t="s">
        <v>32</v>
      </c>
      <c r="E977" t="s">
        <v>107</v>
      </c>
      <c r="F977" t="s">
        <v>23</v>
      </c>
      <c r="G977" t="s">
        <v>50</v>
      </c>
      <c r="H977" t="s">
        <v>223</v>
      </c>
      <c r="I977" t="s">
        <v>176</v>
      </c>
      <c r="J977">
        <v>834</v>
      </c>
      <c r="K977">
        <v>4</v>
      </c>
      <c r="L977" t="s">
        <v>57</v>
      </c>
      <c r="M977">
        <v>92</v>
      </c>
      <c r="N977">
        <v>32.4</v>
      </c>
      <c r="O977">
        <v>68.7</v>
      </c>
      <c r="P977">
        <v>5.74</v>
      </c>
      <c r="Q977">
        <v>4.0199999999999996</v>
      </c>
      <c r="R977" t="s">
        <v>46</v>
      </c>
      <c r="S977" t="s">
        <v>47</v>
      </c>
      <c r="T977" t="s">
        <v>30</v>
      </c>
      <c r="U977" t="str">
        <f t="shared" si="45"/>
        <v>Normal</v>
      </c>
      <c r="V977" t="str">
        <f t="shared" si="46"/>
        <v>Normal</v>
      </c>
      <c r="W977" t="str">
        <f t="shared" si="47"/>
        <v>Normal</v>
      </c>
    </row>
    <row r="978" spans="1:23" x14ac:dyDescent="0.3">
      <c r="A978">
        <v>10242</v>
      </c>
      <c r="B978" s="2">
        <v>45845</v>
      </c>
      <c r="C978" t="s">
        <v>49</v>
      </c>
      <c r="D978" t="s">
        <v>21</v>
      </c>
      <c r="E978" t="s">
        <v>22</v>
      </c>
      <c r="F978" t="s">
        <v>41</v>
      </c>
      <c r="G978" t="s">
        <v>74</v>
      </c>
      <c r="H978" t="s">
        <v>93</v>
      </c>
      <c r="I978" t="s">
        <v>56</v>
      </c>
      <c r="J978">
        <v>840</v>
      </c>
      <c r="K978">
        <v>7</v>
      </c>
      <c r="L978" t="s">
        <v>68</v>
      </c>
      <c r="M978">
        <v>5</v>
      </c>
      <c r="N978">
        <v>41.2</v>
      </c>
      <c r="O978">
        <v>68.7</v>
      </c>
      <c r="P978">
        <v>4.5199999999999996</v>
      </c>
      <c r="Q978">
        <v>1.67</v>
      </c>
      <c r="R978" t="s">
        <v>242</v>
      </c>
      <c r="S978" t="s">
        <v>39</v>
      </c>
      <c r="T978" t="s">
        <v>30</v>
      </c>
      <c r="U978" t="str">
        <f t="shared" si="45"/>
        <v>Normal</v>
      </c>
      <c r="V978" t="str">
        <f t="shared" si="46"/>
        <v>Normal</v>
      </c>
      <c r="W978" t="str">
        <f t="shared" si="47"/>
        <v>Normal</v>
      </c>
    </row>
    <row r="979" spans="1:23" x14ac:dyDescent="0.3">
      <c r="A979">
        <v>10988</v>
      </c>
      <c r="B979" s="2">
        <v>45756</v>
      </c>
      <c r="C979" t="s">
        <v>49</v>
      </c>
      <c r="D979" t="s">
        <v>64</v>
      </c>
      <c r="E979" t="s">
        <v>107</v>
      </c>
      <c r="F979" t="s">
        <v>41</v>
      </c>
      <c r="G979" t="s">
        <v>109</v>
      </c>
      <c r="H979" t="s">
        <v>90</v>
      </c>
      <c r="I979" t="s">
        <v>110</v>
      </c>
      <c r="J979">
        <v>1101</v>
      </c>
      <c r="K979">
        <v>92</v>
      </c>
      <c r="L979" t="s">
        <v>37</v>
      </c>
      <c r="M979">
        <v>56</v>
      </c>
      <c r="N979">
        <v>46.2</v>
      </c>
      <c r="O979">
        <v>68.599999999999994</v>
      </c>
      <c r="P979">
        <v>7.26</v>
      </c>
      <c r="Q979">
        <v>2.73</v>
      </c>
      <c r="R979" t="s">
        <v>111</v>
      </c>
      <c r="S979" t="s">
        <v>47</v>
      </c>
      <c r="T979" t="s">
        <v>48</v>
      </c>
      <c r="U979" t="str">
        <f t="shared" si="45"/>
        <v>Normal</v>
      </c>
      <c r="V979" t="str">
        <f t="shared" si="46"/>
        <v>Normal</v>
      </c>
      <c r="W979" t="str">
        <f t="shared" si="47"/>
        <v>Normal</v>
      </c>
    </row>
    <row r="980" spans="1:23" x14ac:dyDescent="0.3">
      <c r="A980">
        <v>10899</v>
      </c>
      <c r="B980" s="2">
        <v>45834</v>
      </c>
      <c r="C980" t="s">
        <v>31</v>
      </c>
      <c r="D980" t="s">
        <v>32</v>
      </c>
      <c r="E980" t="s">
        <v>107</v>
      </c>
      <c r="F980" t="s">
        <v>41</v>
      </c>
      <c r="G980" t="s">
        <v>109</v>
      </c>
      <c r="H980" t="s">
        <v>85</v>
      </c>
      <c r="I980" t="s">
        <v>275</v>
      </c>
      <c r="J980">
        <v>1185</v>
      </c>
      <c r="K980">
        <v>35</v>
      </c>
      <c r="L980" t="s">
        <v>68</v>
      </c>
      <c r="M980">
        <v>70</v>
      </c>
      <c r="N980">
        <v>48</v>
      </c>
      <c r="O980">
        <v>68.599999999999994</v>
      </c>
      <c r="P980">
        <v>6.48</v>
      </c>
      <c r="Q980">
        <v>3.9</v>
      </c>
      <c r="R980" t="s">
        <v>243</v>
      </c>
      <c r="S980" t="s">
        <v>73</v>
      </c>
      <c r="T980" t="s">
        <v>30</v>
      </c>
      <c r="U980" t="str">
        <f t="shared" si="45"/>
        <v>Normal</v>
      </c>
      <c r="V980" t="str">
        <f t="shared" si="46"/>
        <v>Normal</v>
      </c>
      <c r="W980" t="str">
        <f t="shared" si="47"/>
        <v>Normal</v>
      </c>
    </row>
    <row r="981" spans="1:23" x14ac:dyDescent="0.3">
      <c r="A981">
        <v>10600</v>
      </c>
      <c r="B981" s="2">
        <v>45874</v>
      </c>
      <c r="C981" t="s">
        <v>49</v>
      </c>
      <c r="D981" t="s">
        <v>21</v>
      </c>
      <c r="E981" t="s">
        <v>33</v>
      </c>
      <c r="F981" t="s">
        <v>23</v>
      </c>
      <c r="G981" t="s">
        <v>89</v>
      </c>
      <c r="H981" t="s">
        <v>116</v>
      </c>
      <c r="I981" t="s">
        <v>338</v>
      </c>
      <c r="J981">
        <v>1064</v>
      </c>
      <c r="K981">
        <v>18</v>
      </c>
      <c r="L981" t="s">
        <v>57</v>
      </c>
      <c r="M981">
        <v>52</v>
      </c>
      <c r="N981">
        <v>49.5</v>
      </c>
      <c r="O981">
        <v>68.599999999999994</v>
      </c>
      <c r="P981">
        <v>6.15</v>
      </c>
      <c r="Q981">
        <v>1.8</v>
      </c>
      <c r="R981" t="s">
        <v>227</v>
      </c>
      <c r="S981" t="s">
        <v>47</v>
      </c>
      <c r="T981" t="s">
        <v>30</v>
      </c>
      <c r="U981" t="str">
        <f t="shared" si="45"/>
        <v>Normal</v>
      </c>
      <c r="V981" t="str">
        <f t="shared" si="46"/>
        <v>Normal</v>
      </c>
      <c r="W981" t="str">
        <f t="shared" si="47"/>
        <v>Normal</v>
      </c>
    </row>
    <row r="982" spans="1:23" x14ac:dyDescent="0.3">
      <c r="A982">
        <v>10602</v>
      </c>
      <c r="B982" s="2">
        <v>45956</v>
      </c>
      <c r="C982" t="s">
        <v>49</v>
      </c>
      <c r="D982" t="s">
        <v>64</v>
      </c>
      <c r="E982" t="s">
        <v>22</v>
      </c>
      <c r="F982" t="s">
        <v>23</v>
      </c>
      <c r="G982" t="s">
        <v>134</v>
      </c>
      <c r="H982" t="s">
        <v>351</v>
      </c>
      <c r="I982" t="s">
        <v>166</v>
      </c>
      <c r="J982">
        <v>1001</v>
      </c>
      <c r="K982">
        <v>9</v>
      </c>
      <c r="L982" t="s">
        <v>37</v>
      </c>
      <c r="M982">
        <v>21</v>
      </c>
      <c r="N982">
        <v>38.700000000000003</v>
      </c>
      <c r="O982">
        <v>68.599999999999994</v>
      </c>
      <c r="P982">
        <v>4.6399999999999997</v>
      </c>
      <c r="Q982">
        <v>3.59</v>
      </c>
      <c r="R982" t="s">
        <v>152</v>
      </c>
      <c r="S982" t="s">
        <v>47</v>
      </c>
      <c r="T982" t="s">
        <v>30</v>
      </c>
      <c r="U982" t="str">
        <f t="shared" si="45"/>
        <v>Normal</v>
      </c>
      <c r="V982" t="str">
        <f t="shared" si="46"/>
        <v>Normal</v>
      </c>
      <c r="W982" t="str">
        <f t="shared" si="47"/>
        <v>Normal</v>
      </c>
    </row>
    <row r="983" spans="1:23" x14ac:dyDescent="0.3">
      <c r="A983">
        <v>11145</v>
      </c>
      <c r="B983" s="2">
        <v>45938</v>
      </c>
      <c r="C983" t="s">
        <v>31</v>
      </c>
      <c r="D983" t="s">
        <v>59</v>
      </c>
      <c r="E983" t="s">
        <v>40</v>
      </c>
      <c r="F983" t="s">
        <v>81</v>
      </c>
      <c r="G983" t="s">
        <v>54</v>
      </c>
      <c r="H983" t="s">
        <v>351</v>
      </c>
      <c r="I983" t="s">
        <v>322</v>
      </c>
      <c r="J983">
        <v>915</v>
      </c>
      <c r="K983">
        <v>12</v>
      </c>
      <c r="L983" t="s">
        <v>68</v>
      </c>
      <c r="M983">
        <v>7</v>
      </c>
      <c r="N983">
        <v>46.7</v>
      </c>
      <c r="O983">
        <v>68.599999999999994</v>
      </c>
      <c r="P983">
        <v>5.14</v>
      </c>
      <c r="Q983">
        <v>2.2400000000000002</v>
      </c>
      <c r="R983" t="s">
        <v>229</v>
      </c>
      <c r="S983" t="s">
        <v>47</v>
      </c>
      <c r="T983" t="s">
        <v>30</v>
      </c>
      <c r="U983" t="str">
        <f t="shared" si="45"/>
        <v>Normal</v>
      </c>
      <c r="V983" t="str">
        <f t="shared" si="46"/>
        <v>Normal</v>
      </c>
      <c r="W983" t="str">
        <f t="shared" si="47"/>
        <v>Normal</v>
      </c>
    </row>
    <row r="984" spans="1:23" x14ac:dyDescent="0.3">
      <c r="A984">
        <v>10660</v>
      </c>
      <c r="B984" s="2">
        <v>45802</v>
      </c>
      <c r="C984" t="s">
        <v>49</v>
      </c>
      <c r="D984" t="s">
        <v>21</v>
      </c>
      <c r="E984" t="s">
        <v>40</v>
      </c>
      <c r="F984" t="s">
        <v>23</v>
      </c>
      <c r="G984" t="s">
        <v>89</v>
      </c>
      <c r="H984" t="s">
        <v>69</v>
      </c>
      <c r="I984" t="s">
        <v>208</v>
      </c>
      <c r="J984">
        <v>1207</v>
      </c>
      <c r="K984">
        <v>15</v>
      </c>
      <c r="L984" t="s">
        <v>71</v>
      </c>
      <c r="M984">
        <v>84</v>
      </c>
      <c r="N984">
        <v>40</v>
      </c>
      <c r="O984">
        <v>68.599999999999994</v>
      </c>
      <c r="P984">
        <v>4.6100000000000003</v>
      </c>
      <c r="Q984">
        <v>2.38</v>
      </c>
      <c r="R984" t="s">
        <v>128</v>
      </c>
      <c r="S984" t="s">
        <v>73</v>
      </c>
      <c r="T984" t="s">
        <v>30</v>
      </c>
      <c r="U984" t="str">
        <f t="shared" si="45"/>
        <v>Normal</v>
      </c>
      <c r="V984" t="str">
        <f t="shared" si="46"/>
        <v>Normal</v>
      </c>
      <c r="W984" t="str">
        <f t="shared" si="47"/>
        <v>Normal</v>
      </c>
    </row>
    <row r="985" spans="1:23" x14ac:dyDescent="0.3">
      <c r="A985">
        <v>11087</v>
      </c>
      <c r="B985" s="2">
        <v>45789</v>
      </c>
      <c r="C985" t="s">
        <v>49</v>
      </c>
      <c r="D985" t="s">
        <v>21</v>
      </c>
      <c r="E985" t="s">
        <v>107</v>
      </c>
      <c r="F985" t="s">
        <v>23</v>
      </c>
      <c r="G985" t="s">
        <v>24</v>
      </c>
      <c r="H985" t="s">
        <v>169</v>
      </c>
      <c r="I985" t="s">
        <v>237</v>
      </c>
      <c r="J985">
        <v>1247</v>
      </c>
      <c r="K985">
        <v>5</v>
      </c>
      <c r="L985" t="s">
        <v>45</v>
      </c>
      <c r="M985">
        <v>41</v>
      </c>
      <c r="N985">
        <v>38.299999999999997</v>
      </c>
      <c r="O985">
        <v>68.599999999999994</v>
      </c>
      <c r="P985">
        <v>5.1100000000000003</v>
      </c>
      <c r="Q985">
        <v>1.53</v>
      </c>
      <c r="R985" t="s">
        <v>186</v>
      </c>
      <c r="S985" t="s">
        <v>39</v>
      </c>
      <c r="T985" t="s">
        <v>30</v>
      </c>
      <c r="U985" t="str">
        <f t="shared" si="45"/>
        <v>Normal</v>
      </c>
      <c r="V985" t="str">
        <f t="shared" si="46"/>
        <v>Normal</v>
      </c>
      <c r="W985" t="str">
        <f t="shared" si="47"/>
        <v>Normal</v>
      </c>
    </row>
    <row r="986" spans="1:23" x14ac:dyDescent="0.3">
      <c r="A986">
        <v>11231</v>
      </c>
      <c r="B986" s="2">
        <v>45998</v>
      </c>
      <c r="C986" t="s">
        <v>31</v>
      </c>
      <c r="D986" t="s">
        <v>64</v>
      </c>
      <c r="E986" t="s">
        <v>40</v>
      </c>
      <c r="F986" t="s">
        <v>81</v>
      </c>
      <c r="G986" t="s">
        <v>113</v>
      </c>
      <c r="H986" t="s">
        <v>78</v>
      </c>
      <c r="I986" t="s">
        <v>238</v>
      </c>
      <c r="J986">
        <v>697</v>
      </c>
      <c r="K986">
        <v>3</v>
      </c>
      <c r="L986" t="s">
        <v>45</v>
      </c>
      <c r="M986">
        <v>21</v>
      </c>
      <c r="N986">
        <v>53.6</v>
      </c>
      <c r="O986">
        <v>68.5</v>
      </c>
      <c r="P986">
        <v>5.28</v>
      </c>
      <c r="Q986">
        <v>2.99</v>
      </c>
      <c r="R986" t="s">
        <v>159</v>
      </c>
      <c r="S986" t="s">
        <v>29</v>
      </c>
      <c r="T986" t="s">
        <v>30</v>
      </c>
      <c r="U986" t="str">
        <f t="shared" si="45"/>
        <v>Normal</v>
      </c>
      <c r="V986" t="str">
        <f t="shared" si="46"/>
        <v>Normal</v>
      </c>
      <c r="W986" t="str">
        <f t="shared" si="47"/>
        <v>Normal</v>
      </c>
    </row>
    <row r="987" spans="1:23" x14ac:dyDescent="0.3">
      <c r="A987">
        <v>11220</v>
      </c>
      <c r="B987" s="2">
        <v>45782</v>
      </c>
      <c r="C987" t="s">
        <v>31</v>
      </c>
      <c r="D987" t="s">
        <v>21</v>
      </c>
      <c r="E987" t="s">
        <v>40</v>
      </c>
      <c r="F987" t="s">
        <v>23</v>
      </c>
      <c r="G987" t="s">
        <v>109</v>
      </c>
      <c r="H987" t="s">
        <v>85</v>
      </c>
      <c r="I987" t="s">
        <v>187</v>
      </c>
      <c r="J987">
        <v>996</v>
      </c>
      <c r="K987">
        <v>12</v>
      </c>
      <c r="L987" t="s">
        <v>57</v>
      </c>
      <c r="M987">
        <v>45</v>
      </c>
      <c r="N987">
        <v>55.6</v>
      </c>
      <c r="O987">
        <v>68.5</v>
      </c>
      <c r="P987">
        <v>5.34</v>
      </c>
      <c r="Q987">
        <v>2.84</v>
      </c>
      <c r="R987" t="s">
        <v>232</v>
      </c>
      <c r="S987" t="s">
        <v>73</v>
      </c>
      <c r="T987" t="s">
        <v>30</v>
      </c>
      <c r="U987" t="str">
        <f t="shared" si="45"/>
        <v>Normal</v>
      </c>
      <c r="V987" t="str">
        <f t="shared" si="46"/>
        <v>Normal</v>
      </c>
      <c r="W987" t="str">
        <f t="shared" si="47"/>
        <v>Normal</v>
      </c>
    </row>
    <row r="988" spans="1:23" x14ac:dyDescent="0.3">
      <c r="A988">
        <v>11081</v>
      </c>
      <c r="B988" s="2">
        <v>45788</v>
      </c>
      <c r="C988" t="s">
        <v>49</v>
      </c>
      <c r="D988" t="s">
        <v>64</v>
      </c>
      <c r="E988" t="s">
        <v>107</v>
      </c>
      <c r="F988" t="s">
        <v>41</v>
      </c>
      <c r="G988" t="s">
        <v>134</v>
      </c>
      <c r="H988" t="s">
        <v>177</v>
      </c>
      <c r="I988" t="s">
        <v>52</v>
      </c>
      <c r="J988">
        <v>1227</v>
      </c>
      <c r="K988">
        <v>14</v>
      </c>
      <c r="L988" t="s">
        <v>45</v>
      </c>
      <c r="M988">
        <v>168</v>
      </c>
      <c r="N988">
        <v>41.1</v>
      </c>
      <c r="O988">
        <v>68.5</v>
      </c>
      <c r="P988">
        <v>5.0599999999999996</v>
      </c>
      <c r="Q988">
        <v>2.66</v>
      </c>
      <c r="R988" t="s">
        <v>159</v>
      </c>
      <c r="S988" t="s">
        <v>47</v>
      </c>
      <c r="T988" t="s">
        <v>30</v>
      </c>
      <c r="U988" t="str">
        <f t="shared" si="45"/>
        <v>Normal</v>
      </c>
      <c r="V988" t="str">
        <f t="shared" si="46"/>
        <v>Normal</v>
      </c>
      <c r="W988" t="str">
        <f t="shared" si="47"/>
        <v>Normal</v>
      </c>
    </row>
    <row r="989" spans="1:23" x14ac:dyDescent="0.3">
      <c r="A989">
        <v>10771</v>
      </c>
      <c r="B989" s="2">
        <v>45837</v>
      </c>
      <c r="C989" t="s">
        <v>20</v>
      </c>
      <c r="D989" t="s">
        <v>21</v>
      </c>
      <c r="E989" t="s">
        <v>107</v>
      </c>
      <c r="F989" t="s">
        <v>23</v>
      </c>
      <c r="G989" t="s">
        <v>42</v>
      </c>
      <c r="H989" t="s">
        <v>172</v>
      </c>
      <c r="I989" t="s">
        <v>160</v>
      </c>
      <c r="J989">
        <v>766</v>
      </c>
      <c r="K989">
        <v>7</v>
      </c>
      <c r="L989" t="s">
        <v>57</v>
      </c>
      <c r="M989">
        <v>5</v>
      </c>
      <c r="N989">
        <v>36.1</v>
      </c>
      <c r="O989">
        <v>68.5</v>
      </c>
      <c r="P989">
        <v>5.19</v>
      </c>
      <c r="Q989">
        <v>1.79</v>
      </c>
      <c r="R989" t="s">
        <v>122</v>
      </c>
      <c r="S989" t="s">
        <v>73</v>
      </c>
      <c r="T989" t="s">
        <v>30</v>
      </c>
      <c r="U989" t="str">
        <f t="shared" si="45"/>
        <v>Normal</v>
      </c>
      <c r="V989" t="str">
        <f t="shared" si="46"/>
        <v>Normal</v>
      </c>
      <c r="W989" t="str">
        <f t="shared" si="47"/>
        <v>Normal</v>
      </c>
    </row>
    <row r="990" spans="1:23" x14ac:dyDescent="0.3">
      <c r="A990">
        <v>11179</v>
      </c>
      <c r="B990" s="2">
        <v>45941</v>
      </c>
      <c r="C990" t="s">
        <v>49</v>
      </c>
      <c r="D990" t="s">
        <v>21</v>
      </c>
      <c r="E990" t="s">
        <v>107</v>
      </c>
      <c r="F990" t="s">
        <v>81</v>
      </c>
      <c r="G990" t="s">
        <v>60</v>
      </c>
      <c r="H990" t="s">
        <v>424</v>
      </c>
      <c r="I990" t="s">
        <v>158</v>
      </c>
      <c r="J990">
        <v>1369</v>
      </c>
      <c r="K990">
        <v>18</v>
      </c>
      <c r="L990" t="s">
        <v>57</v>
      </c>
      <c r="M990">
        <v>105</v>
      </c>
      <c r="N990">
        <v>40.700000000000003</v>
      </c>
      <c r="O990">
        <v>68.400000000000006</v>
      </c>
      <c r="P990">
        <v>5.82</v>
      </c>
      <c r="Q990">
        <v>4.37</v>
      </c>
      <c r="R990" t="s">
        <v>159</v>
      </c>
      <c r="S990" t="s">
        <v>73</v>
      </c>
      <c r="T990" t="s">
        <v>30</v>
      </c>
      <c r="U990" t="str">
        <f t="shared" si="45"/>
        <v>Normal</v>
      </c>
      <c r="V990" t="str">
        <f t="shared" si="46"/>
        <v>Normal</v>
      </c>
      <c r="W990" t="str">
        <f t="shared" si="47"/>
        <v>Normal</v>
      </c>
    </row>
    <row r="991" spans="1:23" x14ac:dyDescent="0.3">
      <c r="A991">
        <v>10766</v>
      </c>
      <c r="B991" s="2">
        <v>45664</v>
      </c>
      <c r="C991" t="s">
        <v>20</v>
      </c>
      <c r="D991" t="s">
        <v>59</v>
      </c>
      <c r="E991" t="s">
        <v>22</v>
      </c>
      <c r="F991" t="s">
        <v>23</v>
      </c>
      <c r="G991" t="s">
        <v>60</v>
      </c>
      <c r="H991" t="s">
        <v>43</v>
      </c>
      <c r="I991" t="s">
        <v>204</v>
      </c>
      <c r="J991">
        <v>1433</v>
      </c>
      <c r="K991">
        <v>21</v>
      </c>
      <c r="L991" t="s">
        <v>71</v>
      </c>
      <c r="M991">
        <v>176</v>
      </c>
      <c r="N991">
        <v>29.8</v>
      </c>
      <c r="O991">
        <v>68.400000000000006</v>
      </c>
      <c r="P991">
        <v>4.99</v>
      </c>
      <c r="Q991">
        <v>2.25</v>
      </c>
      <c r="R991" t="s">
        <v>133</v>
      </c>
      <c r="S991" t="s">
        <v>29</v>
      </c>
      <c r="T991" t="s">
        <v>30</v>
      </c>
      <c r="U991" t="str">
        <f t="shared" si="45"/>
        <v>Normal</v>
      </c>
      <c r="V991" t="str">
        <f t="shared" si="46"/>
        <v>Normal</v>
      </c>
      <c r="W991" t="str">
        <f t="shared" si="47"/>
        <v>Normal</v>
      </c>
    </row>
    <row r="992" spans="1:23" x14ac:dyDescent="0.3">
      <c r="A992">
        <v>10268</v>
      </c>
      <c r="B992" s="2">
        <v>45689</v>
      </c>
      <c r="C992" t="s">
        <v>20</v>
      </c>
      <c r="D992" t="s">
        <v>21</v>
      </c>
      <c r="E992" t="s">
        <v>33</v>
      </c>
      <c r="F992" t="s">
        <v>23</v>
      </c>
      <c r="G992" t="s">
        <v>34</v>
      </c>
      <c r="H992" t="s">
        <v>213</v>
      </c>
      <c r="I992" t="s">
        <v>338</v>
      </c>
      <c r="J992">
        <v>546</v>
      </c>
      <c r="K992">
        <v>6</v>
      </c>
      <c r="L992" t="s">
        <v>71</v>
      </c>
      <c r="M992">
        <v>38</v>
      </c>
      <c r="N992">
        <v>41.3</v>
      </c>
      <c r="O992">
        <v>68.400000000000006</v>
      </c>
      <c r="P992">
        <v>4.74</v>
      </c>
      <c r="Q992">
        <v>4</v>
      </c>
      <c r="R992" t="s">
        <v>159</v>
      </c>
      <c r="S992" t="s">
        <v>39</v>
      </c>
      <c r="T992" t="s">
        <v>30</v>
      </c>
      <c r="U992" t="str">
        <f t="shared" si="45"/>
        <v>Normal</v>
      </c>
      <c r="V992" t="str">
        <f t="shared" si="46"/>
        <v>Normal</v>
      </c>
      <c r="W992" t="str">
        <f t="shared" si="47"/>
        <v>Normal</v>
      </c>
    </row>
    <row r="993" spans="1:23" x14ac:dyDescent="0.3">
      <c r="A993">
        <v>11452</v>
      </c>
      <c r="B993" s="2">
        <v>45952</v>
      </c>
      <c r="C993" t="s">
        <v>49</v>
      </c>
      <c r="D993" t="s">
        <v>21</v>
      </c>
      <c r="E993" t="s">
        <v>40</v>
      </c>
      <c r="F993" t="s">
        <v>41</v>
      </c>
      <c r="G993" t="s">
        <v>109</v>
      </c>
      <c r="H993" t="s">
        <v>138</v>
      </c>
      <c r="I993" t="s">
        <v>201</v>
      </c>
      <c r="J993">
        <v>1325</v>
      </c>
      <c r="K993">
        <v>11</v>
      </c>
      <c r="L993" t="s">
        <v>37</v>
      </c>
      <c r="M993">
        <v>30</v>
      </c>
      <c r="N993">
        <v>37.700000000000003</v>
      </c>
      <c r="O993">
        <v>68.400000000000006</v>
      </c>
      <c r="P993">
        <v>5.59</v>
      </c>
      <c r="Q993">
        <v>2.23</v>
      </c>
      <c r="R993" t="s">
        <v>63</v>
      </c>
      <c r="S993" t="s">
        <v>39</v>
      </c>
      <c r="T993" t="s">
        <v>30</v>
      </c>
      <c r="U993" t="str">
        <f t="shared" si="45"/>
        <v>Normal</v>
      </c>
      <c r="V993" t="str">
        <f t="shared" si="46"/>
        <v>Normal</v>
      </c>
      <c r="W993" t="str">
        <f t="shared" si="47"/>
        <v>Normal</v>
      </c>
    </row>
    <row r="994" spans="1:23" x14ac:dyDescent="0.3">
      <c r="A994">
        <v>10094</v>
      </c>
      <c r="B994" s="2">
        <v>45669</v>
      </c>
      <c r="C994" t="s">
        <v>31</v>
      </c>
      <c r="D994" t="s">
        <v>64</v>
      </c>
      <c r="E994" t="s">
        <v>33</v>
      </c>
      <c r="F994" t="s">
        <v>41</v>
      </c>
      <c r="G994" t="s">
        <v>95</v>
      </c>
      <c r="H994" t="s">
        <v>55</v>
      </c>
      <c r="I994" t="s">
        <v>321</v>
      </c>
      <c r="J994">
        <v>760</v>
      </c>
      <c r="K994">
        <v>3</v>
      </c>
      <c r="L994" t="s">
        <v>68</v>
      </c>
      <c r="M994">
        <v>138</v>
      </c>
      <c r="N994">
        <v>39.5</v>
      </c>
      <c r="O994">
        <v>68.400000000000006</v>
      </c>
      <c r="P994">
        <v>4.76</v>
      </c>
      <c r="Q994">
        <v>3.88</v>
      </c>
      <c r="R994" t="s">
        <v>130</v>
      </c>
      <c r="S994" t="s">
        <v>29</v>
      </c>
      <c r="T994" t="s">
        <v>30</v>
      </c>
      <c r="U994" t="str">
        <f t="shared" si="45"/>
        <v>Normal</v>
      </c>
      <c r="V994" t="str">
        <f t="shared" si="46"/>
        <v>Normal</v>
      </c>
      <c r="W994" t="str">
        <f t="shared" si="47"/>
        <v>Normal</v>
      </c>
    </row>
    <row r="995" spans="1:23" x14ac:dyDescent="0.3">
      <c r="A995">
        <v>11249</v>
      </c>
      <c r="B995" s="2">
        <v>45952</v>
      </c>
      <c r="C995" t="s">
        <v>49</v>
      </c>
      <c r="D995" t="s">
        <v>64</v>
      </c>
      <c r="E995" t="s">
        <v>40</v>
      </c>
      <c r="F995" t="s">
        <v>23</v>
      </c>
      <c r="G995" t="s">
        <v>134</v>
      </c>
      <c r="H995" t="s">
        <v>120</v>
      </c>
      <c r="I995" t="s">
        <v>253</v>
      </c>
      <c r="J995">
        <v>1087</v>
      </c>
      <c r="K995">
        <v>15</v>
      </c>
      <c r="L995" t="s">
        <v>71</v>
      </c>
      <c r="M995">
        <v>5</v>
      </c>
      <c r="N995">
        <v>45.1</v>
      </c>
      <c r="O995">
        <v>68.400000000000006</v>
      </c>
      <c r="P995">
        <v>5.5</v>
      </c>
      <c r="Q995">
        <v>2.58</v>
      </c>
      <c r="R995" t="s">
        <v>53</v>
      </c>
      <c r="S995" t="s">
        <v>29</v>
      </c>
      <c r="T995" t="s">
        <v>30</v>
      </c>
      <c r="U995" t="str">
        <f t="shared" si="45"/>
        <v>Normal</v>
      </c>
      <c r="V995" t="str">
        <f t="shared" si="46"/>
        <v>Normal</v>
      </c>
      <c r="W995" t="str">
        <f t="shared" si="47"/>
        <v>Normal</v>
      </c>
    </row>
    <row r="996" spans="1:23" x14ac:dyDescent="0.3">
      <c r="A996">
        <v>10167</v>
      </c>
      <c r="B996" s="2">
        <v>45908</v>
      </c>
      <c r="C996" t="s">
        <v>20</v>
      </c>
      <c r="D996" t="s">
        <v>64</v>
      </c>
      <c r="E996" t="s">
        <v>22</v>
      </c>
      <c r="F996" t="s">
        <v>23</v>
      </c>
      <c r="G996" t="s">
        <v>74</v>
      </c>
      <c r="H996" t="s">
        <v>278</v>
      </c>
      <c r="I996" t="s">
        <v>166</v>
      </c>
      <c r="J996">
        <v>1474</v>
      </c>
      <c r="K996">
        <v>5</v>
      </c>
      <c r="L996" t="s">
        <v>37</v>
      </c>
      <c r="M996">
        <v>7</v>
      </c>
      <c r="N996">
        <v>44.2</v>
      </c>
      <c r="O996">
        <v>68.400000000000006</v>
      </c>
      <c r="P996">
        <v>4.63</v>
      </c>
      <c r="Q996">
        <v>4.8600000000000003</v>
      </c>
      <c r="R996" t="s">
        <v>38</v>
      </c>
      <c r="S996" t="s">
        <v>73</v>
      </c>
      <c r="T996" t="s">
        <v>30</v>
      </c>
      <c r="U996" t="str">
        <f t="shared" si="45"/>
        <v>Normal</v>
      </c>
      <c r="V996" t="str">
        <f t="shared" si="46"/>
        <v>Normal</v>
      </c>
      <c r="W996" t="str">
        <f t="shared" si="47"/>
        <v>Normal</v>
      </c>
    </row>
    <row r="997" spans="1:23" x14ac:dyDescent="0.3">
      <c r="A997">
        <v>11268</v>
      </c>
      <c r="B997" s="2">
        <v>45992</v>
      </c>
      <c r="C997" t="s">
        <v>31</v>
      </c>
      <c r="D997" t="s">
        <v>32</v>
      </c>
      <c r="E997" t="s">
        <v>107</v>
      </c>
      <c r="F997" t="s">
        <v>41</v>
      </c>
      <c r="G997" t="s">
        <v>42</v>
      </c>
      <c r="H997" t="s">
        <v>278</v>
      </c>
      <c r="I997" t="s">
        <v>314</v>
      </c>
      <c r="J997">
        <v>701</v>
      </c>
      <c r="K997">
        <v>6</v>
      </c>
      <c r="L997" t="s">
        <v>37</v>
      </c>
      <c r="M997">
        <v>121</v>
      </c>
      <c r="N997">
        <v>30.2</v>
      </c>
      <c r="O997">
        <v>68.400000000000006</v>
      </c>
      <c r="P997">
        <v>6.63</v>
      </c>
      <c r="Q997">
        <v>1.96</v>
      </c>
      <c r="R997" t="s">
        <v>280</v>
      </c>
      <c r="S997" t="s">
        <v>29</v>
      </c>
      <c r="T997" t="s">
        <v>30</v>
      </c>
      <c r="U997" t="str">
        <f t="shared" si="45"/>
        <v>Normal</v>
      </c>
      <c r="V997" t="str">
        <f t="shared" si="46"/>
        <v>Normal</v>
      </c>
      <c r="W997" t="str">
        <f t="shared" si="47"/>
        <v>Normal</v>
      </c>
    </row>
    <row r="998" spans="1:23" x14ac:dyDescent="0.3">
      <c r="A998">
        <v>10678</v>
      </c>
      <c r="B998" s="2">
        <v>45682</v>
      </c>
      <c r="C998" t="s">
        <v>31</v>
      </c>
      <c r="D998" t="s">
        <v>59</v>
      </c>
      <c r="E998" t="s">
        <v>22</v>
      </c>
      <c r="F998" t="s">
        <v>41</v>
      </c>
      <c r="G998" t="s">
        <v>109</v>
      </c>
      <c r="H998" t="s">
        <v>88</v>
      </c>
      <c r="I998" t="s">
        <v>337</v>
      </c>
      <c r="J998">
        <v>1223</v>
      </c>
      <c r="K998">
        <v>28</v>
      </c>
      <c r="L998" t="s">
        <v>27</v>
      </c>
      <c r="M998">
        <v>150</v>
      </c>
      <c r="N998">
        <v>47.7</v>
      </c>
      <c r="O998">
        <v>68.3</v>
      </c>
      <c r="P998">
        <v>4.5599999999999996</v>
      </c>
      <c r="Q998">
        <v>3.92</v>
      </c>
      <c r="R998" t="s">
        <v>105</v>
      </c>
      <c r="S998" t="s">
        <v>29</v>
      </c>
      <c r="T998" t="s">
        <v>30</v>
      </c>
      <c r="U998" t="str">
        <f t="shared" si="45"/>
        <v>Normal</v>
      </c>
      <c r="V998" t="str">
        <f t="shared" si="46"/>
        <v>Normal</v>
      </c>
      <c r="W998" t="str">
        <f t="shared" si="47"/>
        <v>Normal</v>
      </c>
    </row>
    <row r="999" spans="1:23" x14ac:dyDescent="0.3">
      <c r="A999">
        <v>10328</v>
      </c>
      <c r="B999" s="2">
        <v>45829</v>
      </c>
      <c r="C999" t="s">
        <v>31</v>
      </c>
      <c r="D999" t="s">
        <v>21</v>
      </c>
      <c r="E999" t="s">
        <v>40</v>
      </c>
      <c r="F999" t="s">
        <v>81</v>
      </c>
      <c r="G999" t="s">
        <v>42</v>
      </c>
      <c r="H999" t="s">
        <v>196</v>
      </c>
      <c r="I999" t="s">
        <v>330</v>
      </c>
      <c r="J999">
        <v>1192</v>
      </c>
      <c r="K999">
        <v>18</v>
      </c>
      <c r="L999" t="s">
        <v>45</v>
      </c>
      <c r="M999">
        <v>73</v>
      </c>
      <c r="N999">
        <v>54.4</v>
      </c>
      <c r="O999">
        <v>68.3</v>
      </c>
      <c r="P999">
        <v>4.58</v>
      </c>
      <c r="Q999">
        <v>3.4</v>
      </c>
      <c r="R999" t="s">
        <v>195</v>
      </c>
      <c r="S999" t="s">
        <v>29</v>
      </c>
      <c r="T999" t="s">
        <v>30</v>
      </c>
      <c r="U999" t="str">
        <f t="shared" si="45"/>
        <v>Normal</v>
      </c>
      <c r="V999" t="str">
        <f t="shared" si="46"/>
        <v>Normal</v>
      </c>
      <c r="W999" t="str">
        <f t="shared" si="47"/>
        <v>Normal</v>
      </c>
    </row>
    <row r="1000" spans="1:23" x14ac:dyDescent="0.3">
      <c r="A1000">
        <v>11346</v>
      </c>
      <c r="B1000" s="2">
        <v>45693</v>
      </c>
      <c r="C1000" t="s">
        <v>20</v>
      </c>
      <c r="D1000" t="s">
        <v>64</v>
      </c>
      <c r="E1000" t="s">
        <v>107</v>
      </c>
      <c r="F1000" t="s">
        <v>23</v>
      </c>
      <c r="G1000" t="s">
        <v>24</v>
      </c>
      <c r="H1000" t="s">
        <v>215</v>
      </c>
      <c r="I1000" t="s">
        <v>313</v>
      </c>
      <c r="J1000">
        <v>464</v>
      </c>
      <c r="K1000">
        <v>6</v>
      </c>
      <c r="L1000" t="s">
        <v>37</v>
      </c>
      <c r="M1000">
        <v>134</v>
      </c>
      <c r="N1000">
        <v>42.8</v>
      </c>
      <c r="O1000">
        <v>68.3</v>
      </c>
      <c r="P1000">
        <v>5.87</v>
      </c>
      <c r="Q1000">
        <v>3.05</v>
      </c>
      <c r="R1000" t="s">
        <v>28</v>
      </c>
      <c r="S1000" t="s">
        <v>47</v>
      </c>
      <c r="T1000" t="s">
        <v>30</v>
      </c>
      <c r="U1000" t="str">
        <f t="shared" si="45"/>
        <v>Normal</v>
      </c>
      <c r="V1000" t="str">
        <f t="shared" si="46"/>
        <v>Normal</v>
      </c>
      <c r="W1000" t="str">
        <f t="shared" si="47"/>
        <v>Normal</v>
      </c>
    </row>
    <row r="1001" spans="1:23" x14ac:dyDescent="0.3">
      <c r="A1001">
        <v>11448</v>
      </c>
      <c r="B1001" s="2">
        <v>45734</v>
      </c>
      <c r="C1001" t="s">
        <v>49</v>
      </c>
      <c r="D1001" t="s">
        <v>21</v>
      </c>
      <c r="E1001" t="s">
        <v>40</v>
      </c>
      <c r="F1001" t="s">
        <v>81</v>
      </c>
      <c r="G1001" t="s">
        <v>50</v>
      </c>
      <c r="H1001" t="s">
        <v>287</v>
      </c>
      <c r="I1001" t="s">
        <v>219</v>
      </c>
      <c r="J1001">
        <v>923</v>
      </c>
      <c r="K1001">
        <v>13</v>
      </c>
      <c r="L1001" t="s">
        <v>37</v>
      </c>
      <c r="M1001">
        <v>46</v>
      </c>
      <c r="N1001">
        <v>47.9</v>
      </c>
      <c r="O1001">
        <v>68.3</v>
      </c>
      <c r="P1001">
        <v>7.11</v>
      </c>
      <c r="Q1001">
        <v>2.92</v>
      </c>
      <c r="R1001" t="s">
        <v>122</v>
      </c>
      <c r="S1001" t="s">
        <v>73</v>
      </c>
      <c r="T1001" t="s">
        <v>30</v>
      </c>
      <c r="U1001" t="str">
        <f t="shared" si="45"/>
        <v>Normal</v>
      </c>
      <c r="V1001" t="str">
        <f t="shared" si="46"/>
        <v>Normal</v>
      </c>
      <c r="W1001" t="str">
        <f t="shared" si="47"/>
        <v>Normal</v>
      </c>
    </row>
    <row r="1002" spans="1:23" x14ac:dyDescent="0.3">
      <c r="A1002">
        <v>11229</v>
      </c>
      <c r="B1002" s="2">
        <v>45966</v>
      </c>
      <c r="C1002" t="s">
        <v>20</v>
      </c>
      <c r="D1002" t="s">
        <v>64</v>
      </c>
      <c r="E1002" t="s">
        <v>33</v>
      </c>
      <c r="F1002" t="s">
        <v>81</v>
      </c>
      <c r="G1002" t="s">
        <v>34</v>
      </c>
      <c r="H1002" t="s">
        <v>51</v>
      </c>
      <c r="I1002" t="s">
        <v>259</v>
      </c>
      <c r="J1002">
        <v>857</v>
      </c>
      <c r="K1002">
        <v>9</v>
      </c>
      <c r="L1002" t="s">
        <v>57</v>
      </c>
      <c r="M1002">
        <v>16</v>
      </c>
      <c r="N1002">
        <v>42</v>
      </c>
      <c r="O1002">
        <v>68.3</v>
      </c>
      <c r="P1002">
        <v>4.74</v>
      </c>
      <c r="Q1002">
        <v>2.84</v>
      </c>
      <c r="R1002" t="s">
        <v>133</v>
      </c>
      <c r="S1002" t="s">
        <v>73</v>
      </c>
      <c r="T1002" t="s">
        <v>30</v>
      </c>
      <c r="U1002" t="str">
        <f t="shared" si="45"/>
        <v>Normal</v>
      </c>
      <c r="V1002" t="str">
        <f t="shared" si="46"/>
        <v>Normal</v>
      </c>
      <c r="W1002" t="str">
        <f t="shared" si="47"/>
        <v>Normal</v>
      </c>
    </row>
    <row r="1003" spans="1:23" x14ac:dyDescent="0.3">
      <c r="A1003">
        <v>11257</v>
      </c>
      <c r="B1003" s="2">
        <v>45749</v>
      </c>
      <c r="C1003" t="s">
        <v>31</v>
      </c>
      <c r="D1003" t="s">
        <v>21</v>
      </c>
      <c r="E1003" t="s">
        <v>22</v>
      </c>
      <c r="F1003" t="s">
        <v>23</v>
      </c>
      <c r="G1003" t="s">
        <v>95</v>
      </c>
      <c r="H1003" t="s">
        <v>196</v>
      </c>
      <c r="I1003" t="s">
        <v>253</v>
      </c>
      <c r="J1003">
        <v>958</v>
      </c>
      <c r="K1003">
        <v>9</v>
      </c>
      <c r="L1003" t="s">
        <v>57</v>
      </c>
      <c r="M1003">
        <v>57</v>
      </c>
      <c r="N1003">
        <v>33.299999999999997</v>
      </c>
      <c r="O1003">
        <v>68.3</v>
      </c>
      <c r="P1003">
        <v>6.37</v>
      </c>
      <c r="Q1003">
        <v>3.51</v>
      </c>
      <c r="R1003" t="s">
        <v>240</v>
      </c>
      <c r="S1003" t="s">
        <v>39</v>
      </c>
      <c r="T1003" t="s">
        <v>30</v>
      </c>
      <c r="U1003" t="str">
        <f t="shared" si="45"/>
        <v>Normal</v>
      </c>
      <c r="V1003" t="str">
        <f t="shared" si="46"/>
        <v>Normal</v>
      </c>
      <c r="W1003" t="str">
        <f t="shared" si="47"/>
        <v>Normal</v>
      </c>
    </row>
    <row r="1004" spans="1:23" x14ac:dyDescent="0.3">
      <c r="A1004">
        <v>10564</v>
      </c>
      <c r="B1004" s="2">
        <v>45836</v>
      </c>
      <c r="C1004" t="s">
        <v>20</v>
      </c>
      <c r="D1004" t="s">
        <v>32</v>
      </c>
      <c r="E1004" t="s">
        <v>22</v>
      </c>
      <c r="F1004" t="s">
        <v>41</v>
      </c>
      <c r="G1004" t="s">
        <v>34</v>
      </c>
      <c r="H1004" t="s">
        <v>172</v>
      </c>
      <c r="I1004" t="s">
        <v>310</v>
      </c>
      <c r="J1004">
        <v>1342</v>
      </c>
      <c r="K1004">
        <v>46</v>
      </c>
      <c r="L1004" t="s">
        <v>68</v>
      </c>
      <c r="M1004">
        <v>113</v>
      </c>
      <c r="N1004">
        <v>45.3</v>
      </c>
      <c r="O1004">
        <v>68.3</v>
      </c>
      <c r="P1004">
        <v>5.26</v>
      </c>
      <c r="Q1004">
        <v>3.74</v>
      </c>
      <c r="R1004" t="s">
        <v>184</v>
      </c>
      <c r="S1004" t="s">
        <v>47</v>
      </c>
      <c r="T1004" t="s">
        <v>48</v>
      </c>
      <c r="U1004" t="str">
        <f t="shared" si="45"/>
        <v>Normal</v>
      </c>
      <c r="V1004" t="str">
        <f t="shared" si="46"/>
        <v>Normal</v>
      </c>
      <c r="W1004" t="str">
        <f t="shared" si="47"/>
        <v>Normal</v>
      </c>
    </row>
    <row r="1005" spans="1:23" x14ac:dyDescent="0.3">
      <c r="A1005">
        <v>10743</v>
      </c>
      <c r="B1005" s="2">
        <v>45739</v>
      </c>
      <c r="C1005" t="s">
        <v>49</v>
      </c>
      <c r="D1005" t="s">
        <v>59</v>
      </c>
      <c r="E1005" t="s">
        <v>107</v>
      </c>
      <c r="F1005" t="s">
        <v>81</v>
      </c>
      <c r="G1005" t="s">
        <v>50</v>
      </c>
      <c r="H1005" t="s">
        <v>165</v>
      </c>
      <c r="I1005" t="s">
        <v>296</v>
      </c>
      <c r="J1005">
        <v>1042</v>
      </c>
      <c r="K1005">
        <v>61</v>
      </c>
      <c r="L1005" t="s">
        <v>71</v>
      </c>
      <c r="M1005">
        <v>120</v>
      </c>
      <c r="N1005">
        <v>41.4</v>
      </c>
      <c r="O1005">
        <v>68.3</v>
      </c>
      <c r="P1005">
        <v>4.79</v>
      </c>
      <c r="Q1005">
        <v>2.25</v>
      </c>
      <c r="R1005" t="s">
        <v>63</v>
      </c>
      <c r="S1005" t="s">
        <v>39</v>
      </c>
      <c r="T1005" t="s">
        <v>48</v>
      </c>
      <c r="U1005" t="str">
        <f t="shared" si="45"/>
        <v>Normal</v>
      </c>
      <c r="V1005" t="str">
        <f t="shared" si="46"/>
        <v>Normal</v>
      </c>
      <c r="W1005" t="str">
        <f t="shared" si="47"/>
        <v>Normal</v>
      </c>
    </row>
    <row r="1006" spans="1:23" x14ac:dyDescent="0.3">
      <c r="A1006">
        <v>10968</v>
      </c>
      <c r="B1006" s="2">
        <v>45670</v>
      </c>
      <c r="C1006" t="s">
        <v>31</v>
      </c>
      <c r="D1006" t="s">
        <v>59</v>
      </c>
      <c r="E1006" t="s">
        <v>40</v>
      </c>
      <c r="F1006" t="s">
        <v>41</v>
      </c>
      <c r="G1006" t="s">
        <v>42</v>
      </c>
      <c r="H1006" t="s">
        <v>138</v>
      </c>
      <c r="I1006" t="s">
        <v>221</v>
      </c>
      <c r="J1006">
        <v>1569</v>
      </c>
      <c r="K1006">
        <v>20</v>
      </c>
      <c r="L1006" t="s">
        <v>71</v>
      </c>
      <c r="M1006">
        <v>85</v>
      </c>
      <c r="N1006">
        <v>37.4</v>
      </c>
      <c r="O1006">
        <v>68.2</v>
      </c>
      <c r="P1006">
        <v>4.84</v>
      </c>
      <c r="Q1006">
        <v>1.36</v>
      </c>
      <c r="R1006" t="s">
        <v>130</v>
      </c>
      <c r="S1006" t="s">
        <v>29</v>
      </c>
      <c r="T1006" t="s">
        <v>30</v>
      </c>
      <c r="U1006" t="str">
        <f t="shared" si="45"/>
        <v>Normal</v>
      </c>
      <c r="V1006" t="str">
        <f t="shared" si="46"/>
        <v>Normal</v>
      </c>
      <c r="W1006" t="str">
        <f t="shared" si="47"/>
        <v>Normal</v>
      </c>
    </row>
    <row r="1007" spans="1:23" x14ac:dyDescent="0.3">
      <c r="A1007">
        <v>10590</v>
      </c>
      <c r="B1007" s="2">
        <v>45830</v>
      </c>
      <c r="C1007" t="s">
        <v>49</v>
      </c>
      <c r="D1007" t="s">
        <v>21</v>
      </c>
      <c r="E1007" t="s">
        <v>107</v>
      </c>
      <c r="F1007" t="s">
        <v>41</v>
      </c>
      <c r="G1007" t="s">
        <v>113</v>
      </c>
      <c r="H1007" t="s">
        <v>165</v>
      </c>
      <c r="I1007" t="s">
        <v>142</v>
      </c>
      <c r="J1007">
        <v>1296</v>
      </c>
      <c r="K1007">
        <v>13</v>
      </c>
      <c r="L1007" t="s">
        <v>68</v>
      </c>
      <c r="M1007">
        <v>89</v>
      </c>
      <c r="N1007">
        <v>52.2</v>
      </c>
      <c r="O1007">
        <v>68.2</v>
      </c>
      <c r="P1007">
        <v>4.62</v>
      </c>
      <c r="Q1007">
        <v>2.95</v>
      </c>
      <c r="R1007" t="s">
        <v>153</v>
      </c>
      <c r="S1007" t="s">
        <v>73</v>
      </c>
      <c r="T1007" t="s">
        <v>30</v>
      </c>
      <c r="U1007" t="str">
        <f t="shared" si="45"/>
        <v>Normal</v>
      </c>
      <c r="V1007" t="str">
        <f t="shared" si="46"/>
        <v>Normal</v>
      </c>
      <c r="W1007" t="str">
        <f t="shared" si="47"/>
        <v>Normal</v>
      </c>
    </row>
    <row r="1008" spans="1:23" x14ac:dyDescent="0.3">
      <c r="A1008">
        <v>11190</v>
      </c>
      <c r="B1008" s="2">
        <v>45814</v>
      </c>
      <c r="C1008" t="s">
        <v>49</v>
      </c>
      <c r="D1008" t="s">
        <v>21</v>
      </c>
      <c r="E1008" t="s">
        <v>107</v>
      </c>
      <c r="F1008" t="s">
        <v>23</v>
      </c>
      <c r="G1008" t="s">
        <v>42</v>
      </c>
      <c r="H1008" t="s">
        <v>205</v>
      </c>
      <c r="I1008" t="s">
        <v>348</v>
      </c>
      <c r="J1008">
        <v>1155</v>
      </c>
      <c r="K1008">
        <v>11</v>
      </c>
      <c r="L1008" t="s">
        <v>68</v>
      </c>
      <c r="M1008">
        <v>136</v>
      </c>
      <c r="N1008">
        <v>36.1</v>
      </c>
      <c r="O1008">
        <v>68.2</v>
      </c>
      <c r="P1008">
        <v>4.3899999999999997</v>
      </c>
      <c r="Q1008">
        <v>1.59</v>
      </c>
      <c r="R1008" t="s">
        <v>128</v>
      </c>
      <c r="S1008" t="s">
        <v>39</v>
      </c>
      <c r="T1008" t="s">
        <v>30</v>
      </c>
      <c r="U1008" t="str">
        <f t="shared" si="45"/>
        <v>Normal</v>
      </c>
      <c r="V1008" t="str">
        <f t="shared" si="46"/>
        <v>Normal</v>
      </c>
      <c r="W1008" t="str">
        <f t="shared" si="47"/>
        <v>Normal</v>
      </c>
    </row>
    <row r="1009" spans="1:23" x14ac:dyDescent="0.3">
      <c r="A1009">
        <v>11196</v>
      </c>
      <c r="B1009" s="2">
        <v>45814</v>
      </c>
      <c r="C1009" t="s">
        <v>31</v>
      </c>
      <c r="D1009" t="s">
        <v>64</v>
      </c>
      <c r="E1009" t="s">
        <v>22</v>
      </c>
      <c r="F1009" t="s">
        <v>81</v>
      </c>
      <c r="G1009" t="s">
        <v>24</v>
      </c>
      <c r="H1009" t="s">
        <v>265</v>
      </c>
      <c r="I1009" t="s">
        <v>212</v>
      </c>
      <c r="J1009">
        <v>956</v>
      </c>
      <c r="K1009">
        <v>5</v>
      </c>
      <c r="L1009" t="s">
        <v>57</v>
      </c>
      <c r="M1009">
        <v>87</v>
      </c>
      <c r="N1009">
        <v>35.200000000000003</v>
      </c>
      <c r="O1009">
        <v>68.2</v>
      </c>
      <c r="P1009">
        <v>5.94</v>
      </c>
      <c r="Q1009">
        <v>0.86</v>
      </c>
      <c r="R1009" t="s">
        <v>186</v>
      </c>
      <c r="S1009" t="s">
        <v>29</v>
      </c>
      <c r="T1009" t="s">
        <v>30</v>
      </c>
      <c r="U1009" t="str">
        <f t="shared" si="45"/>
        <v>Normal</v>
      </c>
      <c r="V1009" t="str">
        <f t="shared" si="46"/>
        <v>Normal</v>
      </c>
      <c r="W1009" t="str">
        <f t="shared" si="47"/>
        <v>Normal</v>
      </c>
    </row>
    <row r="1010" spans="1:23" x14ac:dyDescent="0.3">
      <c r="A1010">
        <v>11298</v>
      </c>
      <c r="B1010" s="2">
        <v>45681</v>
      </c>
      <c r="C1010" t="s">
        <v>20</v>
      </c>
      <c r="D1010" t="s">
        <v>59</v>
      </c>
      <c r="E1010" t="s">
        <v>107</v>
      </c>
      <c r="F1010" t="s">
        <v>41</v>
      </c>
      <c r="G1010" t="s">
        <v>95</v>
      </c>
      <c r="H1010" t="s">
        <v>193</v>
      </c>
      <c r="I1010" t="s">
        <v>83</v>
      </c>
      <c r="J1010">
        <v>1458</v>
      </c>
      <c r="K1010">
        <v>30</v>
      </c>
      <c r="L1010" t="s">
        <v>27</v>
      </c>
      <c r="M1010">
        <v>160</v>
      </c>
      <c r="N1010">
        <v>34.299999999999997</v>
      </c>
      <c r="O1010">
        <v>68.2</v>
      </c>
      <c r="P1010">
        <v>4.6399999999999997</v>
      </c>
      <c r="Q1010">
        <v>2.52</v>
      </c>
      <c r="R1010" t="s">
        <v>159</v>
      </c>
      <c r="S1010" t="s">
        <v>47</v>
      </c>
      <c r="T1010" t="s">
        <v>30</v>
      </c>
      <c r="U1010" t="str">
        <f t="shared" si="45"/>
        <v>Normal</v>
      </c>
      <c r="V1010" t="str">
        <f t="shared" si="46"/>
        <v>Normal</v>
      </c>
      <c r="W1010" t="str">
        <f t="shared" si="47"/>
        <v>Normal</v>
      </c>
    </row>
    <row r="1011" spans="1:23" x14ac:dyDescent="0.3">
      <c r="A1011">
        <v>10244</v>
      </c>
      <c r="B1011" s="2">
        <v>45857</v>
      </c>
      <c r="C1011" t="s">
        <v>49</v>
      </c>
      <c r="D1011" t="s">
        <v>32</v>
      </c>
      <c r="E1011" t="s">
        <v>22</v>
      </c>
      <c r="F1011" t="s">
        <v>41</v>
      </c>
      <c r="G1011" t="s">
        <v>109</v>
      </c>
      <c r="H1011" t="s">
        <v>55</v>
      </c>
      <c r="I1011" t="s">
        <v>357</v>
      </c>
      <c r="J1011">
        <v>706</v>
      </c>
      <c r="K1011">
        <v>4</v>
      </c>
      <c r="L1011" t="s">
        <v>68</v>
      </c>
      <c r="M1011">
        <v>37</v>
      </c>
      <c r="N1011">
        <v>44.8</v>
      </c>
      <c r="O1011">
        <v>68.099999999999994</v>
      </c>
      <c r="P1011">
        <v>3.96</v>
      </c>
      <c r="Q1011">
        <v>4.07</v>
      </c>
      <c r="R1011" t="s">
        <v>105</v>
      </c>
      <c r="S1011" t="s">
        <v>47</v>
      </c>
      <c r="T1011" t="s">
        <v>30</v>
      </c>
      <c r="U1011" t="str">
        <f t="shared" si="45"/>
        <v>Normal</v>
      </c>
      <c r="V1011" t="str">
        <f t="shared" si="46"/>
        <v>Normal</v>
      </c>
      <c r="W1011" t="str">
        <f t="shared" si="47"/>
        <v>Normal</v>
      </c>
    </row>
    <row r="1012" spans="1:23" x14ac:dyDescent="0.3">
      <c r="A1012">
        <v>11446</v>
      </c>
      <c r="B1012" s="2">
        <v>45695</v>
      </c>
      <c r="C1012" t="s">
        <v>49</v>
      </c>
      <c r="D1012" t="s">
        <v>59</v>
      </c>
      <c r="E1012" t="s">
        <v>40</v>
      </c>
      <c r="F1012" t="s">
        <v>23</v>
      </c>
      <c r="G1012" t="s">
        <v>60</v>
      </c>
      <c r="H1012" t="s">
        <v>205</v>
      </c>
      <c r="I1012" t="s">
        <v>284</v>
      </c>
      <c r="J1012">
        <v>1245</v>
      </c>
      <c r="K1012">
        <v>3</v>
      </c>
      <c r="L1012" t="s">
        <v>37</v>
      </c>
      <c r="M1012">
        <v>145</v>
      </c>
      <c r="N1012">
        <v>33.799999999999997</v>
      </c>
      <c r="O1012">
        <v>68.099999999999994</v>
      </c>
      <c r="P1012">
        <v>5.52</v>
      </c>
      <c r="Q1012">
        <v>4.13</v>
      </c>
      <c r="R1012" t="s">
        <v>125</v>
      </c>
      <c r="S1012" t="s">
        <v>47</v>
      </c>
      <c r="T1012" t="s">
        <v>30</v>
      </c>
      <c r="U1012" t="str">
        <f t="shared" si="45"/>
        <v>Normal</v>
      </c>
      <c r="V1012" t="str">
        <f t="shared" si="46"/>
        <v>Normal</v>
      </c>
      <c r="W1012" t="str">
        <f t="shared" si="47"/>
        <v>Normal</v>
      </c>
    </row>
    <row r="1013" spans="1:23" x14ac:dyDescent="0.3">
      <c r="A1013">
        <v>10036</v>
      </c>
      <c r="B1013" s="2">
        <v>46020</v>
      </c>
      <c r="C1013" t="s">
        <v>31</v>
      </c>
      <c r="D1013" t="s">
        <v>21</v>
      </c>
      <c r="E1013" t="s">
        <v>22</v>
      </c>
      <c r="F1013" t="s">
        <v>81</v>
      </c>
      <c r="G1013" t="s">
        <v>74</v>
      </c>
      <c r="H1013" t="s">
        <v>61</v>
      </c>
      <c r="I1013" t="s">
        <v>304</v>
      </c>
      <c r="J1013">
        <v>1115</v>
      </c>
      <c r="K1013">
        <v>24</v>
      </c>
      <c r="L1013" t="s">
        <v>57</v>
      </c>
      <c r="M1013">
        <v>19</v>
      </c>
      <c r="N1013">
        <v>44.1</v>
      </c>
      <c r="O1013">
        <v>68.099999999999994</v>
      </c>
      <c r="P1013">
        <v>5.41</v>
      </c>
      <c r="Q1013">
        <v>1.38</v>
      </c>
      <c r="R1013" t="s">
        <v>245</v>
      </c>
      <c r="S1013" t="s">
        <v>39</v>
      </c>
      <c r="T1013" t="s">
        <v>30</v>
      </c>
      <c r="U1013" t="str">
        <f t="shared" si="45"/>
        <v>Normal</v>
      </c>
      <c r="V1013" t="str">
        <f t="shared" si="46"/>
        <v>Normal</v>
      </c>
      <c r="W1013" t="str">
        <f t="shared" si="47"/>
        <v>Normal</v>
      </c>
    </row>
    <row r="1014" spans="1:23" x14ac:dyDescent="0.3">
      <c r="A1014">
        <v>10477</v>
      </c>
      <c r="B1014" s="2">
        <v>45681</v>
      </c>
      <c r="C1014" t="s">
        <v>31</v>
      </c>
      <c r="D1014" t="s">
        <v>21</v>
      </c>
      <c r="E1014" t="s">
        <v>22</v>
      </c>
      <c r="F1014" t="s">
        <v>23</v>
      </c>
      <c r="G1014" t="s">
        <v>109</v>
      </c>
      <c r="H1014" t="s">
        <v>116</v>
      </c>
      <c r="I1014" t="s">
        <v>367</v>
      </c>
      <c r="J1014">
        <v>1467</v>
      </c>
      <c r="K1014">
        <v>15</v>
      </c>
      <c r="L1014" t="s">
        <v>45</v>
      </c>
      <c r="M1014">
        <v>126</v>
      </c>
      <c r="N1014">
        <v>45.3</v>
      </c>
      <c r="O1014">
        <v>68.099999999999994</v>
      </c>
      <c r="P1014">
        <v>5.12</v>
      </c>
      <c r="Q1014">
        <v>1.58</v>
      </c>
      <c r="R1014" t="s">
        <v>167</v>
      </c>
      <c r="S1014" t="s">
        <v>29</v>
      </c>
      <c r="T1014" t="s">
        <v>30</v>
      </c>
      <c r="U1014" t="str">
        <f t="shared" si="45"/>
        <v>Normal</v>
      </c>
      <c r="V1014" t="str">
        <f t="shared" si="46"/>
        <v>Normal</v>
      </c>
      <c r="W1014" t="str">
        <f t="shared" si="47"/>
        <v>Normal</v>
      </c>
    </row>
    <row r="1015" spans="1:23" x14ac:dyDescent="0.3">
      <c r="A1015">
        <v>11269</v>
      </c>
      <c r="B1015" s="2">
        <v>45763</v>
      </c>
      <c r="C1015" t="s">
        <v>31</v>
      </c>
      <c r="D1015" t="s">
        <v>59</v>
      </c>
      <c r="E1015" t="s">
        <v>33</v>
      </c>
      <c r="F1015" t="s">
        <v>23</v>
      </c>
      <c r="G1015" t="s">
        <v>134</v>
      </c>
      <c r="H1015" t="s">
        <v>169</v>
      </c>
      <c r="I1015" t="s">
        <v>293</v>
      </c>
      <c r="J1015">
        <v>861</v>
      </c>
      <c r="K1015">
        <v>13</v>
      </c>
      <c r="L1015" t="s">
        <v>45</v>
      </c>
      <c r="M1015">
        <v>137</v>
      </c>
      <c r="N1015">
        <v>40.4</v>
      </c>
      <c r="O1015">
        <v>68.099999999999994</v>
      </c>
      <c r="P1015">
        <v>5.09</v>
      </c>
      <c r="Q1015">
        <v>0.16</v>
      </c>
      <c r="R1015" t="s">
        <v>137</v>
      </c>
      <c r="S1015" t="s">
        <v>47</v>
      </c>
      <c r="T1015" t="s">
        <v>30</v>
      </c>
      <c r="U1015" t="str">
        <f t="shared" si="45"/>
        <v>Normal</v>
      </c>
      <c r="V1015" t="str">
        <f t="shared" si="46"/>
        <v>Normal</v>
      </c>
      <c r="W1015" t="str">
        <f t="shared" si="47"/>
        <v>Normal</v>
      </c>
    </row>
    <row r="1016" spans="1:23" x14ac:dyDescent="0.3">
      <c r="A1016">
        <v>10551</v>
      </c>
      <c r="B1016" s="2">
        <v>45792</v>
      </c>
      <c r="C1016" t="s">
        <v>49</v>
      </c>
      <c r="D1016" t="s">
        <v>64</v>
      </c>
      <c r="E1016" t="s">
        <v>107</v>
      </c>
      <c r="F1016" t="s">
        <v>23</v>
      </c>
      <c r="G1016" t="s">
        <v>24</v>
      </c>
      <c r="H1016" t="s">
        <v>120</v>
      </c>
      <c r="I1016" t="s">
        <v>344</v>
      </c>
      <c r="J1016">
        <v>671</v>
      </c>
      <c r="K1016">
        <v>10</v>
      </c>
      <c r="L1016" t="s">
        <v>71</v>
      </c>
      <c r="M1016">
        <v>76</v>
      </c>
      <c r="N1016">
        <v>40.299999999999997</v>
      </c>
      <c r="O1016">
        <v>68.099999999999994</v>
      </c>
      <c r="P1016">
        <v>5.2</v>
      </c>
      <c r="Q1016">
        <v>3.31</v>
      </c>
      <c r="R1016" t="s">
        <v>195</v>
      </c>
      <c r="S1016" t="s">
        <v>39</v>
      </c>
      <c r="T1016" t="s">
        <v>30</v>
      </c>
      <c r="U1016" t="str">
        <f t="shared" si="45"/>
        <v>Normal</v>
      </c>
      <c r="V1016" t="str">
        <f t="shared" si="46"/>
        <v>Normal</v>
      </c>
      <c r="W1016" t="str">
        <f t="shared" si="47"/>
        <v>Normal</v>
      </c>
    </row>
    <row r="1017" spans="1:23" x14ac:dyDescent="0.3">
      <c r="A1017">
        <v>10071</v>
      </c>
      <c r="B1017" s="2">
        <v>46001</v>
      </c>
      <c r="C1017" t="s">
        <v>31</v>
      </c>
      <c r="D1017" t="s">
        <v>21</v>
      </c>
      <c r="E1017" t="s">
        <v>22</v>
      </c>
      <c r="F1017" t="s">
        <v>23</v>
      </c>
      <c r="G1017" t="s">
        <v>109</v>
      </c>
      <c r="H1017" t="s">
        <v>88</v>
      </c>
      <c r="I1017" t="s">
        <v>168</v>
      </c>
      <c r="J1017">
        <v>970</v>
      </c>
      <c r="K1017">
        <v>4</v>
      </c>
      <c r="L1017" t="s">
        <v>27</v>
      </c>
      <c r="M1017">
        <v>86</v>
      </c>
      <c r="N1017">
        <v>59.3</v>
      </c>
      <c r="O1017">
        <v>68</v>
      </c>
      <c r="P1017">
        <v>6.02</v>
      </c>
      <c r="Q1017">
        <v>1.6</v>
      </c>
      <c r="R1017" t="s">
        <v>111</v>
      </c>
      <c r="S1017" t="s">
        <v>47</v>
      </c>
      <c r="T1017" t="s">
        <v>30</v>
      </c>
      <c r="U1017" t="str">
        <f t="shared" si="45"/>
        <v>Normal</v>
      </c>
      <c r="V1017" t="str">
        <f t="shared" si="46"/>
        <v>Normal</v>
      </c>
      <c r="W1017" t="str">
        <f t="shared" si="47"/>
        <v>Normal</v>
      </c>
    </row>
    <row r="1018" spans="1:23" x14ac:dyDescent="0.3">
      <c r="A1018">
        <v>10102</v>
      </c>
      <c r="B1018" s="2">
        <v>45695</v>
      </c>
      <c r="C1018" t="s">
        <v>31</v>
      </c>
      <c r="D1018" t="s">
        <v>21</v>
      </c>
      <c r="E1018" t="s">
        <v>107</v>
      </c>
      <c r="F1018" t="s">
        <v>81</v>
      </c>
      <c r="G1018" t="s">
        <v>134</v>
      </c>
      <c r="H1018" t="s">
        <v>205</v>
      </c>
      <c r="I1018" t="s">
        <v>76</v>
      </c>
      <c r="J1018">
        <v>948</v>
      </c>
      <c r="K1018">
        <v>4</v>
      </c>
      <c r="L1018" t="s">
        <v>37</v>
      </c>
      <c r="M1018">
        <v>77</v>
      </c>
      <c r="N1018">
        <v>33.200000000000003</v>
      </c>
      <c r="O1018">
        <v>68</v>
      </c>
      <c r="P1018">
        <v>5.42</v>
      </c>
      <c r="Q1018">
        <v>1.78</v>
      </c>
      <c r="R1018" t="s">
        <v>216</v>
      </c>
      <c r="S1018" t="s">
        <v>73</v>
      </c>
      <c r="T1018" t="s">
        <v>30</v>
      </c>
      <c r="U1018" t="str">
        <f t="shared" si="45"/>
        <v>Normal</v>
      </c>
      <c r="V1018" t="str">
        <f t="shared" si="46"/>
        <v>Normal</v>
      </c>
      <c r="W1018" t="str">
        <f t="shared" si="47"/>
        <v>Normal</v>
      </c>
    </row>
    <row r="1019" spans="1:23" x14ac:dyDescent="0.3">
      <c r="A1019">
        <v>10583</v>
      </c>
      <c r="B1019" s="2">
        <v>45729</v>
      </c>
      <c r="C1019" t="s">
        <v>49</v>
      </c>
      <c r="D1019" t="s">
        <v>59</v>
      </c>
      <c r="E1019" t="s">
        <v>40</v>
      </c>
      <c r="F1019" t="s">
        <v>41</v>
      </c>
      <c r="G1019" t="s">
        <v>134</v>
      </c>
      <c r="H1019" t="s">
        <v>205</v>
      </c>
      <c r="I1019" t="s">
        <v>333</v>
      </c>
      <c r="J1019">
        <v>1149</v>
      </c>
      <c r="K1019">
        <v>24</v>
      </c>
      <c r="L1019" t="s">
        <v>27</v>
      </c>
      <c r="M1019">
        <v>42</v>
      </c>
      <c r="N1019">
        <v>36.700000000000003</v>
      </c>
      <c r="O1019">
        <v>68</v>
      </c>
      <c r="P1019">
        <v>4.82</v>
      </c>
      <c r="Q1019">
        <v>2.02</v>
      </c>
      <c r="R1019" t="s">
        <v>58</v>
      </c>
      <c r="S1019" t="s">
        <v>39</v>
      </c>
      <c r="T1019" t="s">
        <v>30</v>
      </c>
      <c r="U1019" t="str">
        <f t="shared" si="45"/>
        <v>Normal</v>
      </c>
      <c r="V1019" t="str">
        <f t="shared" si="46"/>
        <v>Normal</v>
      </c>
      <c r="W1019" t="str">
        <f t="shared" si="47"/>
        <v>Normal</v>
      </c>
    </row>
    <row r="1020" spans="1:23" x14ac:dyDescent="0.3">
      <c r="A1020">
        <v>10249</v>
      </c>
      <c r="B1020" s="2">
        <v>45936</v>
      </c>
      <c r="C1020" t="s">
        <v>31</v>
      </c>
      <c r="D1020" t="s">
        <v>59</v>
      </c>
      <c r="E1020" t="s">
        <v>40</v>
      </c>
      <c r="F1020" t="s">
        <v>41</v>
      </c>
      <c r="G1020" t="s">
        <v>24</v>
      </c>
      <c r="H1020" t="s">
        <v>88</v>
      </c>
      <c r="I1020" t="s">
        <v>231</v>
      </c>
      <c r="J1020">
        <v>461</v>
      </c>
      <c r="K1020">
        <v>7</v>
      </c>
      <c r="L1020" t="s">
        <v>68</v>
      </c>
      <c r="M1020">
        <v>145</v>
      </c>
      <c r="N1020">
        <v>40.200000000000003</v>
      </c>
      <c r="O1020">
        <v>68</v>
      </c>
      <c r="P1020">
        <v>4.43</v>
      </c>
      <c r="Q1020">
        <v>3.35</v>
      </c>
      <c r="R1020" t="s">
        <v>72</v>
      </c>
      <c r="S1020" t="s">
        <v>39</v>
      </c>
      <c r="T1020" t="s">
        <v>30</v>
      </c>
      <c r="U1020" t="str">
        <f t="shared" si="45"/>
        <v>Normal</v>
      </c>
      <c r="V1020" t="str">
        <f t="shared" si="46"/>
        <v>Normal</v>
      </c>
      <c r="W1020" t="str">
        <f t="shared" si="47"/>
        <v>Normal</v>
      </c>
    </row>
    <row r="1021" spans="1:23" x14ac:dyDescent="0.3">
      <c r="A1021">
        <v>11079</v>
      </c>
      <c r="B1021" s="2">
        <v>45746</v>
      </c>
      <c r="C1021" t="s">
        <v>20</v>
      </c>
      <c r="D1021" t="s">
        <v>59</v>
      </c>
      <c r="E1021" t="s">
        <v>40</v>
      </c>
      <c r="F1021" t="s">
        <v>23</v>
      </c>
      <c r="G1021" t="s">
        <v>54</v>
      </c>
      <c r="H1021" t="s">
        <v>172</v>
      </c>
      <c r="I1021" t="s">
        <v>97</v>
      </c>
      <c r="J1021">
        <v>1297</v>
      </c>
      <c r="K1021">
        <v>10</v>
      </c>
      <c r="L1021" t="s">
        <v>57</v>
      </c>
      <c r="M1021">
        <v>84</v>
      </c>
      <c r="N1021">
        <v>34.1</v>
      </c>
      <c r="O1021">
        <v>68</v>
      </c>
      <c r="P1021">
        <v>5.77</v>
      </c>
      <c r="Q1021">
        <v>0.72</v>
      </c>
      <c r="R1021" t="s">
        <v>174</v>
      </c>
      <c r="S1021" t="s">
        <v>39</v>
      </c>
      <c r="T1021" t="s">
        <v>30</v>
      </c>
      <c r="U1021" t="str">
        <f t="shared" si="45"/>
        <v>Normal</v>
      </c>
      <c r="V1021" t="str">
        <f t="shared" si="46"/>
        <v>Normal</v>
      </c>
      <c r="W1021" t="str">
        <f t="shared" si="47"/>
        <v>Normal</v>
      </c>
    </row>
    <row r="1022" spans="1:23" x14ac:dyDescent="0.3">
      <c r="A1022">
        <v>10470</v>
      </c>
      <c r="B1022" s="2">
        <v>45785</v>
      </c>
      <c r="C1022" t="s">
        <v>49</v>
      </c>
      <c r="D1022" t="s">
        <v>32</v>
      </c>
      <c r="E1022" t="s">
        <v>40</v>
      </c>
      <c r="F1022" t="s">
        <v>81</v>
      </c>
      <c r="G1022" t="s">
        <v>74</v>
      </c>
      <c r="H1022" t="s">
        <v>200</v>
      </c>
      <c r="I1022" t="s">
        <v>255</v>
      </c>
      <c r="J1022">
        <v>1270</v>
      </c>
      <c r="K1022">
        <v>16</v>
      </c>
      <c r="L1022" t="s">
        <v>68</v>
      </c>
      <c r="M1022">
        <v>28</v>
      </c>
      <c r="N1022">
        <v>39.4</v>
      </c>
      <c r="O1022">
        <v>68</v>
      </c>
      <c r="P1022">
        <v>6.04</v>
      </c>
      <c r="Q1022">
        <v>0.34</v>
      </c>
      <c r="R1022" t="s">
        <v>147</v>
      </c>
      <c r="S1022" t="s">
        <v>47</v>
      </c>
      <c r="T1022" t="s">
        <v>30</v>
      </c>
      <c r="U1022" t="str">
        <f t="shared" si="45"/>
        <v>Normal</v>
      </c>
      <c r="V1022" t="str">
        <f t="shared" si="46"/>
        <v>Normal</v>
      </c>
      <c r="W1022" t="str">
        <f t="shared" si="47"/>
        <v>Normal</v>
      </c>
    </row>
    <row r="1023" spans="1:23" x14ac:dyDescent="0.3">
      <c r="A1023">
        <v>10563</v>
      </c>
      <c r="B1023" s="2">
        <v>45764</v>
      </c>
      <c r="C1023" t="s">
        <v>20</v>
      </c>
      <c r="D1023" t="s">
        <v>64</v>
      </c>
      <c r="E1023" t="s">
        <v>107</v>
      </c>
      <c r="F1023" t="s">
        <v>41</v>
      </c>
      <c r="G1023" t="s">
        <v>134</v>
      </c>
      <c r="H1023" t="s">
        <v>165</v>
      </c>
      <c r="I1023" t="s">
        <v>254</v>
      </c>
      <c r="J1023">
        <v>1202</v>
      </c>
      <c r="K1023">
        <v>116</v>
      </c>
      <c r="L1023" t="s">
        <v>71</v>
      </c>
      <c r="M1023">
        <v>85</v>
      </c>
      <c r="N1023">
        <v>39.299999999999997</v>
      </c>
      <c r="O1023">
        <v>68</v>
      </c>
      <c r="P1023">
        <v>6.43</v>
      </c>
      <c r="Q1023">
        <v>3.17</v>
      </c>
      <c r="R1023" t="s">
        <v>243</v>
      </c>
      <c r="S1023" t="s">
        <v>47</v>
      </c>
      <c r="T1023" t="s">
        <v>48</v>
      </c>
      <c r="U1023" t="str">
        <f t="shared" si="45"/>
        <v>Normal</v>
      </c>
      <c r="V1023" t="str">
        <f t="shared" si="46"/>
        <v>Normal</v>
      </c>
      <c r="W1023" t="str">
        <f t="shared" si="47"/>
        <v>Normal</v>
      </c>
    </row>
    <row r="1024" spans="1:23" x14ac:dyDescent="0.3">
      <c r="A1024">
        <v>10375</v>
      </c>
      <c r="B1024" s="2">
        <v>45700</v>
      </c>
      <c r="C1024" t="s">
        <v>49</v>
      </c>
      <c r="D1024" t="s">
        <v>32</v>
      </c>
      <c r="E1024" t="s">
        <v>33</v>
      </c>
      <c r="F1024" t="s">
        <v>23</v>
      </c>
      <c r="G1024" t="s">
        <v>109</v>
      </c>
      <c r="H1024" t="s">
        <v>351</v>
      </c>
      <c r="I1024" t="s">
        <v>301</v>
      </c>
      <c r="J1024">
        <v>520</v>
      </c>
      <c r="K1024">
        <v>2</v>
      </c>
      <c r="L1024" t="s">
        <v>68</v>
      </c>
      <c r="M1024">
        <v>38</v>
      </c>
      <c r="N1024">
        <v>49.9</v>
      </c>
      <c r="O1024">
        <v>67.900000000000006</v>
      </c>
      <c r="P1024">
        <v>6.21</v>
      </c>
      <c r="Q1024">
        <v>2.27</v>
      </c>
      <c r="R1024" t="s">
        <v>105</v>
      </c>
      <c r="S1024" t="s">
        <v>47</v>
      </c>
      <c r="T1024" t="s">
        <v>30</v>
      </c>
      <c r="U1024" t="str">
        <f t="shared" si="45"/>
        <v>Normal</v>
      </c>
      <c r="V1024" t="str">
        <f t="shared" si="46"/>
        <v>Normal</v>
      </c>
      <c r="W1024" t="str">
        <f t="shared" si="47"/>
        <v>Normal</v>
      </c>
    </row>
    <row r="1025" spans="1:23" x14ac:dyDescent="0.3">
      <c r="A1025">
        <v>10332</v>
      </c>
      <c r="B1025" s="2">
        <v>45703</v>
      </c>
      <c r="C1025" t="s">
        <v>49</v>
      </c>
      <c r="D1025" t="s">
        <v>59</v>
      </c>
      <c r="E1025" t="s">
        <v>33</v>
      </c>
      <c r="F1025" t="s">
        <v>41</v>
      </c>
      <c r="G1025" t="s">
        <v>113</v>
      </c>
      <c r="H1025" t="s">
        <v>161</v>
      </c>
      <c r="I1025" t="s">
        <v>368</v>
      </c>
      <c r="J1025">
        <v>1000</v>
      </c>
      <c r="K1025">
        <v>9</v>
      </c>
      <c r="L1025" t="s">
        <v>57</v>
      </c>
      <c r="M1025">
        <v>78</v>
      </c>
      <c r="N1025">
        <v>46.8</v>
      </c>
      <c r="O1025">
        <v>67.900000000000006</v>
      </c>
      <c r="P1025">
        <v>4.34</v>
      </c>
      <c r="Q1025">
        <v>0.51</v>
      </c>
      <c r="R1025" t="s">
        <v>28</v>
      </c>
      <c r="S1025" t="s">
        <v>39</v>
      </c>
      <c r="T1025" t="s">
        <v>30</v>
      </c>
      <c r="U1025" t="str">
        <f t="shared" si="45"/>
        <v>Normal</v>
      </c>
      <c r="V1025" t="str">
        <f t="shared" si="46"/>
        <v>Normal</v>
      </c>
      <c r="W1025" t="str">
        <f t="shared" si="47"/>
        <v>Normal</v>
      </c>
    </row>
    <row r="1026" spans="1:23" x14ac:dyDescent="0.3">
      <c r="A1026">
        <v>10905</v>
      </c>
      <c r="B1026" s="2">
        <v>45949</v>
      </c>
      <c r="C1026" t="s">
        <v>20</v>
      </c>
      <c r="D1026" t="s">
        <v>21</v>
      </c>
      <c r="E1026" t="s">
        <v>22</v>
      </c>
      <c r="F1026" t="s">
        <v>23</v>
      </c>
      <c r="G1026" t="s">
        <v>109</v>
      </c>
      <c r="H1026" t="s">
        <v>51</v>
      </c>
      <c r="I1026" t="s">
        <v>282</v>
      </c>
      <c r="J1026">
        <v>1249</v>
      </c>
      <c r="K1026">
        <v>15</v>
      </c>
      <c r="L1026" t="s">
        <v>71</v>
      </c>
      <c r="M1026">
        <v>157</v>
      </c>
      <c r="N1026">
        <v>46.4</v>
      </c>
      <c r="O1026">
        <v>67.900000000000006</v>
      </c>
      <c r="P1026">
        <v>4.3099999999999996</v>
      </c>
      <c r="Q1026">
        <v>3.63</v>
      </c>
      <c r="R1026" t="s">
        <v>63</v>
      </c>
      <c r="S1026" t="s">
        <v>47</v>
      </c>
      <c r="T1026" t="s">
        <v>30</v>
      </c>
      <c r="U1026" t="str">
        <f t="shared" ref="U1026:U1089" si="48">IF(OR(O1026&lt;20,O1026&gt;100),"Investigate","Normal")</f>
        <v>Normal</v>
      </c>
      <c r="V1026" t="str">
        <f t="shared" ref="V1026:V1089" si="49">IF(OR(P1026&lt;2,P1026&gt;10),"Investigate","Normal")</f>
        <v>Normal</v>
      </c>
      <c r="W1026" t="str">
        <f t="shared" ref="W1026:W1089" si="50">IF(Q1026&gt;10,"Investigate","Normal")</f>
        <v>Normal</v>
      </c>
    </row>
    <row r="1027" spans="1:23" x14ac:dyDescent="0.3">
      <c r="A1027">
        <v>10350</v>
      </c>
      <c r="B1027" s="2">
        <v>45877</v>
      </c>
      <c r="C1027" t="s">
        <v>49</v>
      </c>
      <c r="D1027" t="s">
        <v>59</v>
      </c>
      <c r="E1027" t="s">
        <v>22</v>
      </c>
      <c r="F1027" t="s">
        <v>41</v>
      </c>
      <c r="G1027" t="s">
        <v>34</v>
      </c>
      <c r="H1027" t="s">
        <v>287</v>
      </c>
      <c r="I1027" t="s">
        <v>384</v>
      </c>
      <c r="J1027">
        <v>1195</v>
      </c>
      <c r="K1027">
        <v>4</v>
      </c>
      <c r="L1027" t="s">
        <v>37</v>
      </c>
      <c r="M1027">
        <v>9</v>
      </c>
      <c r="N1027">
        <v>39.9</v>
      </c>
      <c r="O1027">
        <v>67.900000000000006</v>
      </c>
      <c r="P1027">
        <v>7.35</v>
      </c>
      <c r="Q1027">
        <v>3.71</v>
      </c>
      <c r="R1027" t="s">
        <v>103</v>
      </c>
      <c r="S1027" t="s">
        <v>73</v>
      </c>
      <c r="T1027" t="s">
        <v>30</v>
      </c>
      <c r="U1027" t="str">
        <f t="shared" si="48"/>
        <v>Normal</v>
      </c>
      <c r="V1027" t="str">
        <f t="shared" si="49"/>
        <v>Normal</v>
      </c>
      <c r="W1027" t="str">
        <f t="shared" si="50"/>
        <v>Normal</v>
      </c>
    </row>
    <row r="1028" spans="1:23" x14ac:dyDescent="0.3">
      <c r="A1028">
        <v>10496</v>
      </c>
      <c r="B1028" s="2">
        <v>45951</v>
      </c>
      <c r="C1028" t="s">
        <v>49</v>
      </c>
      <c r="D1028" t="s">
        <v>21</v>
      </c>
      <c r="E1028" t="s">
        <v>40</v>
      </c>
      <c r="F1028" t="s">
        <v>23</v>
      </c>
      <c r="G1028" t="s">
        <v>74</v>
      </c>
      <c r="H1028" t="s">
        <v>180</v>
      </c>
      <c r="I1028" t="s">
        <v>173</v>
      </c>
      <c r="J1028">
        <v>456</v>
      </c>
      <c r="K1028">
        <v>21</v>
      </c>
      <c r="L1028" t="s">
        <v>57</v>
      </c>
      <c r="M1028">
        <v>132</v>
      </c>
      <c r="N1028">
        <v>43.3</v>
      </c>
      <c r="O1028">
        <v>67.900000000000006</v>
      </c>
      <c r="P1028">
        <v>4.21</v>
      </c>
      <c r="Q1028">
        <v>3.99</v>
      </c>
      <c r="R1028" t="s">
        <v>143</v>
      </c>
      <c r="S1028" t="s">
        <v>73</v>
      </c>
      <c r="T1028" t="s">
        <v>48</v>
      </c>
      <c r="U1028" t="str">
        <f t="shared" si="48"/>
        <v>Normal</v>
      </c>
      <c r="V1028" t="str">
        <f t="shared" si="49"/>
        <v>Normal</v>
      </c>
      <c r="W1028" t="str">
        <f t="shared" si="50"/>
        <v>Normal</v>
      </c>
    </row>
    <row r="1029" spans="1:23" x14ac:dyDescent="0.3">
      <c r="A1029">
        <v>10628</v>
      </c>
      <c r="B1029" s="2">
        <v>45995</v>
      </c>
      <c r="C1029" t="s">
        <v>49</v>
      </c>
      <c r="D1029" t="s">
        <v>64</v>
      </c>
      <c r="E1029" t="s">
        <v>40</v>
      </c>
      <c r="F1029" t="s">
        <v>41</v>
      </c>
      <c r="G1029" t="s">
        <v>134</v>
      </c>
      <c r="H1029" t="s">
        <v>200</v>
      </c>
      <c r="I1029" t="s">
        <v>187</v>
      </c>
      <c r="J1029">
        <v>1497</v>
      </c>
      <c r="K1029">
        <v>21</v>
      </c>
      <c r="L1029" t="s">
        <v>57</v>
      </c>
      <c r="M1029">
        <v>131</v>
      </c>
      <c r="N1029">
        <v>47.4</v>
      </c>
      <c r="O1029">
        <v>67.900000000000006</v>
      </c>
      <c r="P1029">
        <v>4.9800000000000004</v>
      </c>
      <c r="Q1029">
        <v>2.66</v>
      </c>
      <c r="R1029" t="s">
        <v>128</v>
      </c>
      <c r="S1029" t="s">
        <v>73</v>
      </c>
      <c r="T1029" t="s">
        <v>30</v>
      </c>
      <c r="U1029" t="str">
        <f t="shared" si="48"/>
        <v>Normal</v>
      </c>
      <c r="V1029" t="str">
        <f t="shared" si="49"/>
        <v>Normal</v>
      </c>
      <c r="W1029" t="str">
        <f t="shared" si="50"/>
        <v>Normal</v>
      </c>
    </row>
    <row r="1030" spans="1:23" x14ac:dyDescent="0.3">
      <c r="A1030">
        <v>11495</v>
      </c>
      <c r="B1030" s="2">
        <v>45667</v>
      </c>
      <c r="C1030" t="s">
        <v>49</v>
      </c>
      <c r="D1030" t="s">
        <v>32</v>
      </c>
      <c r="E1030" t="s">
        <v>107</v>
      </c>
      <c r="F1030" t="s">
        <v>81</v>
      </c>
      <c r="G1030" t="s">
        <v>42</v>
      </c>
      <c r="H1030" t="s">
        <v>200</v>
      </c>
      <c r="I1030" t="s">
        <v>381</v>
      </c>
      <c r="J1030">
        <v>1578</v>
      </c>
      <c r="K1030">
        <v>19</v>
      </c>
      <c r="L1030" t="s">
        <v>27</v>
      </c>
      <c r="M1030">
        <v>130</v>
      </c>
      <c r="N1030">
        <v>39</v>
      </c>
      <c r="O1030">
        <v>67.8</v>
      </c>
      <c r="P1030">
        <v>4.43</v>
      </c>
      <c r="Q1030">
        <v>2.21</v>
      </c>
      <c r="R1030" t="s">
        <v>152</v>
      </c>
      <c r="S1030" t="s">
        <v>29</v>
      </c>
      <c r="T1030" t="s">
        <v>30</v>
      </c>
      <c r="U1030" t="str">
        <f t="shared" si="48"/>
        <v>Normal</v>
      </c>
      <c r="V1030" t="str">
        <f t="shared" si="49"/>
        <v>Normal</v>
      </c>
      <c r="W1030" t="str">
        <f t="shared" si="50"/>
        <v>Normal</v>
      </c>
    </row>
    <row r="1031" spans="1:23" x14ac:dyDescent="0.3">
      <c r="A1031">
        <v>10425</v>
      </c>
      <c r="B1031" s="2">
        <v>45932</v>
      </c>
      <c r="C1031" t="s">
        <v>49</v>
      </c>
      <c r="D1031" t="s">
        <v>21</v>
      </c>
      <c r="E1031" t="s">
        <v>33</v>
      </c>
      <c r="F1031" t="s">
        <v>41</v>
      </c>
      <c r="G1031" t="s">
        <v>74</v>
      </c>
      <c r="H1031" t="s">
        <v>51</v>
      </c>
      <c r="I1031" t="s">
        <v>315</v>
      </c>
      <c r="J1031">
        <v>833</v>
      </c>
      <c r="K1031">
        <v>5</v>
      </c>
      <c r="L1031" t="s">
        <v>37</v>
      </c>
      <c r="M1031">
        <v>93</v>
      </c>
      <c r="N1031">
        <v>46.9</v>
      </c>
      <c r="O1031">
        <v>67.8</v>
      </c>
      <c r="P1031">
        <v>5.41</v>
      </c>
      <c r="Q1031">
        <v>2.93</v>
      </c>
      <c r="R1031" t="s">
        <v>103</v>
      </c>
      <c r="S1031" t="s">
        <v>47</v>
      </c>
      <c r="T1031" t="s">
        <v>30</v>
      </c>
      <c r="U1031" t="str">
        <f t="shared" si="48"/>
        <v>Normal</v>
      </c>
      <c r="V1031" t="str">
        <f t="shared" si="49"/>
        <v>Normal</v>
      </c>
      <c r="W1031" t="str">
        <f t="shared" si="50"/>
        <v>Normal</v>
      </c>
    </row>
    <row r="1032" spans="1:23" x14ac:dyDescent="0.3">
      <c r="A1032">
        <v>10687</v>
      </c>
      <c r="B1032" s="2">
        <v>45866</v>
      </c>
      <c r="C1032" t="s">
        <v>20</v>
      </c>
      <c r="D1032" t="s">
        <v>32</v>
      </c>
      <c r="E1032" t="s">
        <v>33</v>
      </c>
      <c r="F1032" t="s">
        <v>41</v>
      </c>
      <c r="G1032" t="s">
        <v>34</v>
      </c>
      <c r="H1032" t="s">
        <v>148</v>
      </c>
      <c r="I1032" t="s">
        <v>301</v>
      </c>
      <c r="J1032">
        <v>727</v>
      </c>
      <c r="K1032">
        <v>21</v>
      </c>
      <c r="L1032" t="s">
        <v>68</v>
      </c>
      <c r="M1032">
        <v>69</v>
      </c>
      <c r="N1032">
        <v>45.3</v>
      </c>
      <c r="O1032">
        <v>67.8</v>
      </c>
      <c r="P1032">
        <v>5.92</v>
      </c>
      <c r="Q1032">
        <v>4.9000000000000004</v>
      </c>
      <c r="R1032" t="s">
        <v>103</v>
      </c>
      <c r="S1032" t="s">
        <v>29</v>
      </c>
      <c r="T1032" t="s">
        <v>30</v>
      </c>
      <c r="U1032" t="str">
        <f t="shared" si="48"/>
        <v>Normal</v>
      </c>
      <c r="V1032" t="str">
        <f t="shared" si="49"/>
        <v>Normal</v>
      </c>
      <c r="W1032" t="str">
        <f t="shared" si="50"/>
        <v>Normal</v>
      </c>
    </row>
    <row r="1033" spans="1:23" x14ac:dyDescent="0.3">
      <c r="A1033">
        <v>10848</v>
      </c>
      <c r="B1033" s="2">
        <v>45866</v>
      </c>
      <c r="C1033" t="s">
        <v>31</v>
      </c>
      <c r="D1033" t="s">
        <v>21</v>
      </c>
      <c r="E1033" t="s">
        <v>33</v>
      </c>
      <c r="F1033" t="s">
        <v>23</v>
      </c>
      <c r="G1033" t="s">
        <v>54</v>
      </c>
      <c r="H1033" t="s">
        <v>148</v>
      </c>
      <c r="I1033" t="s">
        <v>208</v>
      </c>
      <c r="J1033">
        <v>899</v>
      </c>
      <c r="K1033">
        <v>3</v>
      </c>
      <c r="L1033" t="s">
        <v>57</v>
      </c>
      <c r="M1033">
        <v>121</v>
      </c>
      <c r="N1033">
        <v>35.299999999999997</v>
      </c>
      <c r="O1033">
        <v>67.7</v>
      </c>
      <c r="P1033">
        <v>4.46</v>
      </c>
      <c r="Q1033">
        <v>2.56</v>
      </c>
      <c r="R1033" t="s">
        <v>243</v>
      </c>
      <c r="S1033" t="s">
        <v>29</v>
      </c>
      <c r="T1033" t="s">
        <v>30</v>
      </c>
      <c r="U1033" t="str">
        <f t="shared" si="48"/>
        <v>Normal</v>
      </c>
      <c r="V1033" t="str">
        <f t="shared" si="49"/>
        <v>Normal</v>
      </c>
      <c r="W1033" t="str">
        <f t="shared" si="50"/>
        <v>Normal</v>
      </c>
    </row>
    <row r="1034" spans="1:23" x14ac:dyDescent="0.3">
      <c r="A1034">
        <v>10439</v>
      </c>
      <c r="B1034" s="2">
        <v>46004</v>
      </c>
      <c r="C1034" t="s">
        <v>20</v>
      </c>
      <c r="D1034" t="s">
        <v>32</v>
      </c>
      <c r="E1034" t="s">
        <v>107</v>
      </c>
      <c r="F1034" t="s">
        <v>81</v>
      </c>
      <c r="G1034" t="s">
        <v>50</v>
      </c>
      <c r="H1034" t="s">
        <v>169</v>
      </c>
      <c r="I1034" t="s">
        <v>260</v>
      </c>
      <c r="J1034">
        <v>982</v>
      </c>
      <c r="K1034">
        <v>9</v>
      </c>
      <c r="L1034" t="s">
        <v>71</v>
      </c>
      <c r="M1034">
        <v>28</v>
      </c>
      <c r="N1034">
        <v>55.8</v>
      </c>
      <c r="O1034">
        <v>67.7</v>
      </c>
      <c r="P1034">
        <v>4.4000000000000004</v>
      </c>
      <c r="Q1034">
        <v>1.1200000000000001</v>
      </c>
      <c r="R1034" t="s">
        <v>125</v>
      </c>
      <c r="S1034" t="s">
        <v>47</v>
      </c>
      <c r="T1034" t="s">
        <v>30</v>
      </c>
      <c r="U1034" t="str">
        <f t="shared" si="48"/>
        <v>Normal</v>
      </c>
      <c r="V1034" t="str">
        <f t="shared" si="49"/>
        <v>Normal</v>
      </c>
      <c r="W1034" t="str">
        <f t="shared" si="50"/>
        <v>Normal</v>
      </c>
    </row>
    <row r="1035" spans="1:23" x14ac:dyDescent="0.3">
      <c r="A1035">
        <v>10774</v>
      </c>
      <c r="B1035" s="2">
        <v>45907</v>
      </c>
      <c r="C1035" t="s">
        <v>31</v>
      </c>
      <c r="D1035" t="s">
        <v>59</v>
      </c>
      <c r="E1035" t="s">
        <v>22</v>
      </c>
      <c r="F1035" t="s">
        <v>23</v>
      </c>
      <c r="G1035" t="s">
        <v>113</v>
      </c>
      <c r="H1035" t="s">
        <v>165</v>
      </c>
      <c r="I1035" t="s">
        <v>327</v>
      </c>
      <c r="J1035">
        <v>1251</v>
      </c>
      <c r="K1035">
        <v>17</v>
      </c>
      <c r="L1035" t="s">
        <v>57</v>
      </c>
      <c r="M1035">
        <v>128</v>
      </c>
      <c r="N1035">
        <v>35.5</v>
      </c>
      <c r="O1035">
        <v>67.7</v>
      </c>
      <c r="P1035">
        <v>3.99</v>
      </c>
      <c r="Q1035">
        <v>3.4</v>
      </c>
      <c r="R1035" t="s">
        <v>72</v>
      </c>
      <c r="S1035" t="s">
        <v>47</v>
      </c>
      <c r="T1035" t="s">
        <v>30</v>
      </c>
      <c r="U1035" t="str">
        <f t="shared" si="48"/>
        <v>Normal</v>
      </c>
      <c r="V1035" t="str">
        <f t="shared" si="49"/>
        <v>Normal</v>
      </c>
      <c r="W1035" t="str">
        <f t="shared" si="50"/>
        <v>Normal</v>
      </c>
    </row>
    <row r="1036" spans="1:23" x14ac:dyDescent="0.3">
      <c r="A1036">
        <v>10648</v>
      </c>
      <c r="B1036" s="2">
        <v>45672</v>
      </c>
      <c r="C1036" t="s">
        <v>20</v>
      </c>
      <c r="D1036" t="s">
        <v>59</v>
      </c>
      <c r="E1036" t="s">
        <v>40</v>
      </c>
      <c r="F1036" t="s">
        <v>81</v>
      </c>
      <c r="G1036" t="s">
        <v>134</v>
      </c>
      <c r="H1036" t="s">
        <v>177</v>
      </c>
      <c r="I1036" t="s">
        <v>236</v>
      </c>
      <c r="J1036">
        <v>818</v>
      </c>
      <c r="K1036">
        <v>8</v>
      </c>
      <c r="L1036" t="s">
        <v>45</v>
      </c>
      <c r="M1036">
        <v>153</v>
      </c>
      <c r="N1036">
        <v>31.3</v>
      </c>
      <c r="O1036">
        <v>67.7</v>
      </c>
      <c r="P1036">
        <v>5.05</v>
      </c>
      <c r="Q1036">
        <v>3.96</v>
      </c>
      <c r="R1036" t="s">
        <v>63</v>
      </c>
      <c r="S1036" t="s">
        <v>39</v>
      </c>
      <c r="T1036" t="s">
        <v>30</v>
      </c>
      <c r="U1036" t="str">
        <f t="shared" si="48"/>
        <v>Normal</v>
      </c>
      <c r="V1036" t="str">
        <f t="shared" si="49"/>
        <v>Normal</v>
      </c>
      <c r="W1036" t="str">
        <f t="shared" si="50"/>
        <v>Normal</v>
      </c>
    </row>
    <row r="1037" spans="1:23" x14ac:dyDescent="0.3">
      <c r="A1037">
        <v>11370</v>
      </c>
      <c r="B1037" s="2">
        <v>45667</v>
      </c>
      <c r="C1037" t="s">
        <v>31</v>
      </c>
      <c r="D1037" t="s">
        <v>32</v>
      </c>
      <c r="E1037" t="s">
        <v>107</v>
      </c>
      <c r="F1037" t="s">
        <v>81</v>
      </c>
      <c r="G1037" t="s">
        <v>113</v>
      </c>
      <c r="H1037" t="s">
        <v>161</v>
      </c>
      <c r="I1037" t="s">
        <v>210</v>
      </c>
      <c r="J1037">
        <v>606</v>
      </c>
      <c r="K1037">
        <v>18</v>
      </c>
      <c r="L1037" t="s">
        <v>68</v>
      </c>
      <c r="M1037">
        <v>11</v>
      </c>
      <c r="N1037">
        <v>31.5</v>
      </c>
      <c r="O1037">
        <v>67.7</v>
      </c>
      <c r="P1037">
        <v>4.5599999999999996</v>
      </c>
      <c r="Q1037">
        <v>3.93</v>
      </c>
      <c r="R1037" t="s">
        <v>46</v>
      </c>
      <c r="S1037" t="s">
        <v>73</v>
      </c>
      <c r="T1037" t="s">
        <v>30</v>
      </c>
      <c r="U1037" t="str">
        <f t="shared" si="48"/>
        <v>Normal</v>
      </c>
      <c r="V1037" t="str">
        <f t="shared" si="49"/>
        <v>Normal</v>
      </c>
      <c r="W1037" t="str">
        <f t="shared" si="50"/>
        <v>Normal</v>
      </c>
    </row>
    <row r="1038" spans="1:23" x14ac:dyDescent="0.3">
      <c r="A1038">
        <v>10599</v>
      </c>
      <c r="B1038" s="2">
        <v>45938</v>
      </c>
      <c r="C1038" t="s">
        <v>20</v>
      </c>
      <c r="D1038" t="s">
        <v>32</v>
      </c>
      <c r="E1038" t="s">
        <v>22</v>
      </c>
      <c r="F1038" t="s">
        <v>23</v>
      </c>
      <c r="G1038" t="s">
        <v>74</v>
      </c>
      <c r="H1038" t="s">
        <v>35</v>
      </c>
      <c r="I1038" t="s">
        <v>160</v>
      </c>
      <c r="J1038">
        <v>648</v>
      </c>
      <c r="K1038">
        <v>1</v>
      </c>
      <c r="L1038" t="s">
        <v>57</v>
      </c>
      <c r="M1038">
        <v>90</v>
      </c>
      <c r="N1038">
        <v>32.6</v>
      </c>
      <c r="O1038">
        <v>67.599999999999994</v>
      </c>
      <c r="P1038">
        <v>4.83</v>
      </c>
      <c r="Q1038">
        <v>3.73</v>
      </c>
      <c r="R1038" t="s">
        <v>80</v>
      </c>
      <c r="S1038" t="s">
        <v>29</v>
      </c>
      <c r="T1038" t="s">
        <v>30</v>
      </c>
      <c r="U1038" t="str">
        <f t="shared" si="48"/>
        <v>Normal</v>
      </c>
      <c r="V1038" t="str">
        <f t="shared" si="49"/>
        <v>Normal</v>
      </c>
      <c r="W1038" t="str">
        <f t="shared" si="50"/>
        <v>Normal</v>
      </c>
    </row>
    <row r="1039" spans="1:23" x14ac:dyDescent="0.3">
      <c r="A1039">
        <v>10839</v>
      </c>
      <c r="B1039" s="2">
        <v>46008</v>
      </c>
      <c r="C1039" t="s">
        <v>31</v>
      </c>
      <c r="D1039" t="s">
        <v>59</v>
      </c>
      <c r="E1039" t="s">
        <v>33</v>
      </c>
      <c r="F1039" t="s">
        <v>41</v>
      </c>
      <c r="G1039" t="s">
        <v>42</v>
      </c>
      <c r="H1039" t="s">
        <v>265</v>
      </c>
      <c r="I1039" t="s">
        <v>258</v>
      </c>
      <c r="J1039">
        <v>1541</v>
      </c>
      <c r="K1039">
        <v>19</v>
      </c>
      <c r="L1039" t="s">
        <v>27</v>
      </c>
      <c r="M1039">
        <v>124</v>
      </c>
      <c r="N1039">
        <v>51.3</v>
      </c>
      <c r="O1039">
        <v>67.599999999999994</v>
      </c>
      <c r="P1039">
        <v>3.71</v>
      </c>
      <c r="Q1039">
        <v>1.96</v>
      </c>
      <c r="R1039" t="s">
        <v>242</v>
      </c>
      <c r="S1039" t="s">
        <v>29</v>
      </c>
      <c r="T1039" t="s">
        <v>30</v>
      </c>
      <c r="U1039" t="str">
        <f t="shared" si="48"/>
        <v>Normal</v>
      </c>
      <c r="V1039" t="str">
        <f t="shared" si="49"/>
        <v>Normal</v>
      </c>
      <c r="W1039" t="str">
        <f t="shared" si="50"/>
        <v>Normal</v>
      </c>
    </row>
    <row r="1040" spans="1:23" x14ac:dyDescent="0.3">
      <c r="A1040">
        <v>10925</v>
      </c>
      <c r="B1040" s="2">
        <v>45739</v>
      </c>
      <c r="C1040" t="s">
        <v>49</v>
      </c>
      <c r="D1040" t="s">
        <v>59</v>
      </c>
      <c r="E1040" t="s">
        <v>40</v>
      </c>
      <c r="F1040" t="s">
        <v>23</v>
      </c>
      <c r="G1040" t="s">
        <v>95</v>
      </c>
      <c r="H1040" t="s">
        <v>35</v>
      </c>
      <c r="I1040" t="s">
        <v>110</v>
      </c>
      <c r="J1040">
        <v>1318</v>
      </c>
      <c r="K1040">
        <v>37</v>
      </c>
      <c r="L1040" t="s">
        <v>57</v>
      </c>
      <c r="M1040">
        <v>138</v>
      </c>
      <c r="N1040">
        <v>50.7</v>
      </c>
      <c r="O1040">
        <v>67.599999999999994</v>
      </c>
      <c r="P1040">
        <v>5.14</v>
      </c>
      <c r="Q1040">
        <v>2.2200000000000002</v>
      </c>
      <c r="R1040" t="s">
        <v>179</v>
      </c>
      <c r="S1040" t="s">
        <v>29</v>
      </c>
      <c r="T1040" t="s">
        <v>30</v>
      </c>
      <c r="U1040" t="str">
        <f t="shared" si="48"/>
        <v>Normal</v>
      </c>
      <c r="V1040" t="str">
        <f t="shared" si="49"/>
        <v>Normal</v>
      </c>
      <c r="W1040" t="str">
        <f t="shared" si="50"/>
        <v>Normal</v>
      </c>
    </row>
    <row r="1041" spans="1:23" x14ac:dyDescent="0.3">
      <c r="A1041">
        <v>10575</v>
      </c>
      <c r="B1041" s="2">
        <v>45763</v>
      </c>
      <c r="C1041" t="s">
        <v>20</v>
      </c>
      <c r="D1041" t="s">
        <v>32</v>
      </c>
      <c r="E1041" t="s">
        <v>107</v>
      </c>
      <c r="F1041" t="s">
        <v>23</v>
      </c>
      <c r="G1041" t="s">
        <v>95</v>
      </c>
      <c r="H1041" t="s">
        <v>213</v>
      </c>
      <c r="I1041" t="s">
        <v>76</v>
      </c>
      <c r="J1041">
        <v>893</v>
      </c>
      <c r="K1041">
        <v>31</v>
      </c>
      <c r="L1041" t="s">
        <v>71</v>
      </c>
      <c r="M1041">
        <v>163</v>
      </c>
      <c r="N1041">
        <v>44.6</v>
      </c>
      <c r="O1041">
        <v>67.599999999999994</v>
      </c>
      <c r="P1041">
        <v>5.04</v>
      </c>
      <c r="Q1041">
        <v>3.34</v>
      </c>
      <c r="R1041" t="s">
        <v>119</v>
      </c>
      <c r="S1041" t="s">
        <v>73</v>
      </c>
      <c r="T1041" t="s">
        <v>48</v>
      </c>
      <c r="U1041" t="str">
        <f t="shared" si="48"/>
        <v>Normal</v>
      </c>
      <c r="V1041" t="str">
        <f t="shared" si="49"/>
        <v>Normal</v>
      </c>
      <c r="W1041" t="str">
        <f t="shared" si="50"/>
        <v>Normal</v>
      </c>
    </row>
    <row r="1042" spans="1:23" x14ac:dyDescent="0.3">
      <c r="A1042">
        <v>11283</v>
      </c>
      <c r="B1042" s="2">
        <v>45763</v>
      </c>
      <c r="C1042" t="s">
        <v>20</v>
      </c>
      <c r="D1042" t="s">
        <v>32</v>
      </c>
      <c r="E1042" t="s">
        <v>33</v>
      </c>
      <c r="F1042" t="s">
        <v>23</v>
      </c>
      <c r="G1042" t="s">
        <v>34</v>
      </c>
      <c r="H1042" t="s">
        <v>172</v>
      </c>
      <c r="I1042" t="s">
        <v>151</v>
      </c>
      <c r="J1042">
        <v>1394</v>
      </c>
      <c r="K1042">
        <v>14</v>
      </c>
      <c r="L1042" t="s">
        <v>57</v>
      </c>
      <c r="M1042">
        <v>52</v>
      </c>
      <c r="N1042">
        <v>49.7</v>
      </c>
      <c r="O1042">
        <v>67.599999999999994</v>
      </c>
      <c r="P1042">
        <v>7.44</v>
      </c>
      <c r="Q1042">
        <v>3.64</v>
      </c>
      <c r="R1042" t="s">
        <v>174</v>
      </c>
      <c r="S1042" t="s">
        <v>39</v>
      </c>
      <c r="T1042" t="s">
        <v>30</v>
      </c>
      <c r="U1042" t="str">
        <f t="shared" si="48"/>
        <v>Normal</v>
      </c>
      <c r="V1042" t="str">
        <f t="shared" si="49"/>
        <v>Normal</v>
      </c>
      <c r="W1042" t="str">
        <f t="shared" si="50"/>
        <v>Normal</v>
      </c>
    </row>
    <row r="1043" spans="1:23" x14ac:dyDescent="0.3">
      <c r="A1043">
        <v>10930</v>
      </c>
      <c r="B1043" s="2">
        <v>45753</v>
      </c>
      <c r="C1043" t="s">
        <v>49</v>
      </c>
      <c r="D1043" t="s">
        <v>32</v>
      </c>
      <c r="E1043" t="s">
        <v>40</v>
      </c>
      <c r="F1043" t="s">
        <v>81</v>
      </c>
      <c r="G1043" t="s">
        <v>42</v>
      </c>
      <c r="H1043" t="s">
        <v>180</v>
      </c>
      <c r="I1043" t="s">
        <v>376</v>
      </c>
      <c r="J1043">
        <v>1067</v>
      </c>
      <c r="K1043">
        <v>11</v>
      </c>
      <c r="L1043" t="s">
        <v>71</v>
      </c>
      <c r="M1043">
        <v>26</v>
      </c>
      <c r="N1043">
        <v>35.1</v>
      </c>
      <c r="O1043">
        <v>67.599999999999994</v>
      </c>
      <c r="P1043">
        <v>5.43</v>
      </c>
      <c r="Q1043">
        <v>3.3</v>
      </c>
      <c r="R1043" t="s">
        <v>209</v>
      </c>
      <c r="S1043" t="s">
        <v>73</v>
      </c>
      <c r="T1043" t="s">
        <v>30</v>
      </c>
      <c r="U1043" t="str">
        <f t="shared" si="48"/>
        <v>Normal</v>
      </c>
      <c r="V1043" t="str">
        <f t="shared" si="49"/>
        <v>Normal</v>
      </c>
      <c r="W1043" t="str">
        <f t="shared" si="50"/>
        <v>Normal</v>
      </c>
    </row>
    <row r="1044" spans="1:23" x14ac:dyDescent="0.3">
      <c r="A1044">
        <v>11266</v>
      </c>
      <c r="B1044" s="2">
        <v>46018</v>
      </c>
      <c r="C1044" t="s">
        <v>31</v>
      </c>
      <c r="D1044" t="s">
        <v>64</v>
      </c>
      <c r="E1044" t="s">
        <v>33</v>
      </c>
      <c r="F1044" t="s">
        <v>23</v>
      </c>
      <c r="G1044" t="s">
        <v>50</v>
      </c>
      <c r="H1044" t="s">
        <v>75</v>
      </c>
      <c r="I1044" t="s">
        <v>289</v>
      </c>
      <c r="J1044">
        <v>479</v>
      </c>
      <c r="K1044">
        <v>4</v>
      </c>
      <c r="L1044" t="s">
        <v>68</v>
      </c>
      <c r="M1044">
        <v>45</v>
      </c>
      <c r="N1044">
        <v>48.6</v>
      </c>
      <c r="O1044">
        <v>67.5</v>
      </c>
      <c r="P1044">
        <v>4.17</v>
      </c>
      <c r="Q1044">
        <v>3.8</v>
      </c>
      <c r="R1044" t="s">
        <v>72</v>
      </c>
      <c r="S1044" t="s">
        <v>39</v>
      </c>
      <c r="T1044" t="s">
        <v>30</v>
      </c>
      <c r="U1044" t="str">
        <f t="shared" si="48"/>
        <v>Normal</v>
      </c>
      <c r="V1044" t="str">
        <f t="shared" si="49"/>
        <v>Normal</v>
      </c>
      <c r="W1044" t="str">
        <f t="shared" si="50"/>
        <v>Normal</v>
      </c>
    </row>
    <row r="1045" spans="1:23" x14ac:dyDescent="0.3">
      <c r="A1045">
        <v>10737</v>
      </c>
      <c r="B1045" s="2">
        <v>45764</v>
      </c>
      <c r="C1045" t="s">
        <v>20</v>
      </c>
      <c r="D1045" t="s">
        <v>21</v>
      </c>
      <c r="E1045" t="s">
        <v>40</v>
      </c>
      <c r="F1045" t="s">
        <v>41</v>
      </c>
      <c r="G1045" t="s">
        <v>74</v>
      </c>
      <c r="H1045" t="s">
        <v>116</v>
      </c>
      <c r="I1045" t="s">
        <v>160</v>
      </c>
      <c r="J1045">
        <v>579</v>
      </c>
      <c r="K1045">
        <v>3</v>
      </c>
      <c r="L1045" t="s">
        <v>71</v>
      </c>
      <c r="M1045">
        <v>159</v>
      </c>
      <c r="N1045">
        <v>44.3</v>
      </c>
      <c r="O1045">
        <v>67.5</v>
      </c>
      <c r="P1045">
        <v>5.31</v>
      </c>
      <c r="Q1045">
        <v>3.43</v>
      </c>
      <c r="R1045" t="s">
        <v>174</v>
      </c>
      <c r="S1045" t="s">
        <v>47</v>
      </c>
      <c r="T1045" t="s">
        <v>30</v>
      </c>
      <c r="U1045" t="str">
        <f t="shared" si="48"/>
        <v>Normal</v>
      </c>
      <c r="V1045" t="str">
        <f t="shared" si="49"/>
        <v>Normal</v>
      </c>
      <c r="W1045" t="str">
        <f t="shared" si="50"/>
        <v>Normal</v>
      </c>
    </row>
    <row r="1046" spans="1:23" x14ac:dyDescent="0.3">
      <c r="A1046">
        <v>10180</v>
      </c>
      <c r="B1046" s="2">
        <v>45680</v>
      </c>
      <c r="C1046" t="s">
        <v>20</v>
      </c>
      <c r="D1046" t="s">
        <v>64</v>
      </c>
      <c r="E1046" t="s">
        <v>22</v>
      </c>
      <c r="F1046" t="s">
        <v>23</v>
      </c>
      <c r="G1046" t="s">
        <v>34</v>
      </c>
      <c r="H1046" t="s">
        <v>180</v>
      </c>
      <c r="I1046" t="s">
        <v>76</v>
      </c>
      <c r="J1046">
        <v>1252</v>
      </c>
      <c r="K1046">
        <v>16</v>
      </c>
      <c r="L1046" t="s">
        <v>37</v>
      </c>
      <c r="M1046">
        <v>59</v>
      </c>
      <c r="N1046">
        <v>46.3</v>
      </c>
      <c r="O1046">
        <v>67.5</v>
      </c>
      <c r="P1046">
        <v>5.66</v>
      </c>
      <c r="Q1046">
        <v>4.16</v>
      </c>
      <c r="R1046" t="s">
        <v>240</v>
      </c>
      <c r="S1046" t="s">
        <v>29</v>
      </c>
      <c r="T1046" t="s">
        <v>30</v>
      </c>
      <c r="U1046" t="str">
        <f t="shared" si="48"/>
        <v>Normal</v>
      </c>
      <c r="V1046" t="str">
        <f t="shared" si="49"/>
        <v>Normal</v>
      </c>
      <c r="W1046" t="str">
        <f t="shared" si="50"/>
        <v>Normal</v>
      </c>
    </row>
    <row r="1047" spans="1:23" x14ac:dyDescent="0.3">
      <c r="A1047">
        <v>10356</v>
      </c>
      <c r="B1047" s="2">
        <v>45965</v>
      </c>
      <c r="C1047" t="s">
        <v>49</v>
      </c>
      <c r="D1047" t="s">
        <v>21</v>
      </c>
      <c r="E1047" t="s">
        <v>22</v>
      </c>
      <c r="F1047" t="s">
        <v>23</v>
      </c>
      <c r="G1047" t="s">
        <v>54</v>
      </c>
      <c r="H1047" t="s">
        <v>35</v>
      </c>
      <c r="I1047" t="s">
        <v>365</v>
      </c>
      <c r="J1047">
        <v>797</v>
      </c>
      <c r="K1047">
        <v>5</v>
      </c>
      <c r="L1047" t="s">
        <v>57</v>
      </c>
      <c r="M1047">
        <v>89</v>
      </c>
      <c r="N1047">
        <v>43.7</v>
      </c>
      <c r="O1047">
        <v>67.5</v>
      </c>
      <c r="P1047">
        <v>4.46</v>
      </c>
      <c r="Q1047">
        <v>4.32</v>
      </c>
      <c r="R1047" t="s">
        <v>164</v>
      </c>
      <c r="S1047" t="s">
        <v>73</v>
      </c>
      <c r="T1047" t="s">
        <v>30</v>
      </c>
      <c r="U1047" t="str">
        <f t="shared" si="48"/>
        <v>Normal</v>
      </c>
      <c r="V1047" t="str">
        <f t="shared" si="49"/>
        <v>Normal</v>
      </c>
      <c r="W1047" t="str">
        <f t="shared" si="50"/>
        <v>Normal</v>
      </c>
    </row>
    <row r="1048" spans="1:23" x14ac:dyDescent="0.3">
      <c r="A1048">
        <v>10717</v>
      </c>
      <c r="B1048" s="2">
        <v>45784</v>
      </c>
      <c r="C1048" t="s">
        <v>49</v>
      </c>
      <c r="D1048" t="s">
        <v>32</v>
      </c>
      <c r="E1048" t="s">
        <v>40</v>
      </c>
      <c r="F1048" t="s">
        <v>41</v>
      </c>
      <c r="G1048" t="s">
        <v>95</v>
      </c>
      <c r="H1048" t="s">
        <v>148</v>
      </c>
      <c r="I1048" t="s">
        <v>370</v>
      </c>
      <c r="J1048">
        <v>1270</v>
      </c>
      <c r="K1048">
        <v>10</v>
      </c>
      <c r="L1048" t="s">
        <v>45</v>
      </c>
      <c r="M1048">
        <v>170</v>
      </c>
      <c r="N1048">
        <v>34.4</v>
      </c>
      <c r="O1048">
        <v>67.5</v>
      </c>
      <c r="P1048">
        <v>5.71</v>
      </c>
      <c r="Q1048">
        <v>1.89</v>
      </c>
      <c r="R1048" t="s">
        <v>153</v>
      </c>
      <c r="S1048" t="s">
        <v>39</v>
      </c>
      <c r="T1048" t="s">
        <v>30</v>
      </c>
      <c r="U1048" t="str">
        <f t="shared" si="48"/>
        <v>Normal</v>
      </c>
      <c r="V1048" t="str">
        <f t="shared" si="49"/>
        <v>Normal</v>
      </c>
      <c r="W1048" t="str">
        <f t="shared" si="50"/>
        <v>Normal</v>
      </c>
    </row>
    <row r="1049" spans="1:23" x14ac:dyDescent="0.3">
      <c r="A1049">
        <v>10367</v>
      </c>
      <c r="B1049" s="2">
        <v>45816</v>
      </c>
      <c r="C1049" t="s">
        <v>20</v>
      </c>
      <c r="D1049" t="s">
        <v>21</v>
      </c>
      <c r="E1049" t="s">
        <v>33</v>
      </c>
      <c r="F1049" t="s">
        <v>81</v>
      </c>
      <c r="G1049" t="s">
        <v>42</v>
      </c>
      <c r="H1049" t="s">
        <v>75</v>
      </c>
      <c r="I1049" t="s">
        <v>163</v>
      </c>
      <c r="J1049">
        <v>1044</v>
      </c>
      <c r="K1049">
        <v>17</v>
      </c>
      <c r="L1049" t="s">
        <v>71</v>
      </c>
      <c r="M1049">
        <v>61</v>
      </c>
      <c r="N1049">
        <v>38.9</v>
      </c>
      <c r="O1049">
        <v>67.5</v>
      </c>
      <c r="P1049">
        <v>5.71</v>
      </c>
      <c r="Q1049">
        <v>2.11</v>
      </c>
      <c r="R1049" t="s">
        <v>227</v>
      </c>
      <c r="S1049" t="s">
        <v>39</v>
      </c>
      <c r="T1049" t="s">
        <v>30</v>
      </c>
      <c r="U1049" t="str">
        <f t="shared" si="48"/>
        <v>Normal</v>
      </c>
      <c r="V1049" t="str">
        <f t="shared" si="49"/>
        <v>Normal</v>
      </c>
      <c r="W1049" t="str">
        <f t="shared" si="50"/>
        <v>Normal</v>
      </c>
    </row>
    <row r="1050" spans="1:23" x14ac:dyDescent="0.3">
      <c r="A1050">
        <v>11486</v>
      </c>
      <c r="B1050" s="2">
        <v>45887</v>
      </c>
      <c r="C1050" t="s">
        <v>20</v>
      </c>
      <c r="D1050" t="s">
        <v>64</v>
      </c>
      <c r="E1050" t="s">
        <v>33</v>
      </c>
      <c r="F1050" t="s">
        <v>23</v>
      </c>
      <c r="G1050" t="s">
        <v>109</v>
      </c>
      <c r="H1050" t="s">
        <v>172</v>
      </c>
      <c r="I1050" t="s">
        <v>86</v>
      </c>
      <c r="J1050">
        <v>1052</v>
      </c>
      <c r="K1050">
        <v>6</v>
      </c>
      <c r="L1050" t="s">
        <v>27</v>
      </c>
      <c r="M1050">
        <v>154</v>
      </c>
      <c r="N1050">
        <v>44.8</v>
      </c>
      <c r="O1050">
        <v>67.5</v>
      </c>
      <c r="P1050">
        <v>4.22</v>
      </c>
      <c r="Q1050">
        <v>1.71</v>
      </c>
      <c r="R1050" t="s">
        <v>103</v>
      </c>
      <c r="S1050" t="s">
        <v>29</v>
      </c>
      <c r="T1050" t="s">
        <v>30</v>
      </c>
      <c r="U1050" t="str">
        <f t="shared" si="48"/>
        <v>Normal</v>
      </c>
      <c r="V1050" t="str">
        <f t="shared" si="49"/>
        <v>Normal</v>
      </c>
      <c r="W1050" t="str">
        <f t="shared" si="50"/>
        <v>Normal</v>
      </c>
    </row>
    <row r="1051" spans="1:23" x14ac:dyDescent="0.3">
      <c r="A1051">
        <v>11251</v>
      </c>
      <c r="B1051" s="2">
        <v>45977</v>
      </c>
      <c r="C1051" t="s">
        <v>20</v>
      </c>
      <c r="D1051" t="s">
        <v>21</v>
      </c>
      <c r="E1051" t="s">
        <v>40</v>
      </c>
      <c r="F1051" t="s">
        <v>23</v>
      </c>
      <c r="G1051" t="s">
        <v>113</v>
      </c>
      <c r="H1051" t="s">
        <v>90</v>
      </c>
      <c r="I1051" t="s">
        <v>340</v>
      </c>
      <c r="J1051">
        <v>989</v>
      </c>
      <c r="K1051">
        <v>4</v>
      </c>
      <c r="L1051" t="s">
        <v>45</v>
      </c>
      <c r="M1051">
        <v>49</v>
      </c>
      <c r="N1051">
        <v>50.4</v>
      </c>
      <c r="O1051">
        <v>67.5</v>
      </c>
      <c r="P1051">
        <v>4.3099999999999996</v>
      </c>
      <c r="Q1051">
        <v>1.89</v>
      </c>
      <c r="R1051" t="s">
        <v>63</v>
      </c>
      <c r="S1051" t="s">
        <v>47</v>
      </c>
      <c r="T1051" t="s">
        <v>30</v>
      </c>
      <c r="U1051" t="str">
        <f t="shared" si="48"/>
        <v>Normal</v>
      </c>
      <c r="V1051" t="str">
        <f t="shared" si="49"/>
        <v>Normal</v>
      </c>
      <c r="W1051" t="str">
        <f t="shared" si="50"/>
        <v>Normal</v>
      </c>
    </row>
    <row r="1052" spans="1:23" x14ac:dyDescent="0.3">
      <c r="A1052">
        <v>10566</v>
      </c>
      <c r="B1052" s="2">
        <v>45865</v>
      </c>
      <c r="C1052" t="s">
        <v>31</v>
      </c>
      <c r="D1052" t="s">
        <v>21</v>
      </c>
      <c r="E1052" t="s">
        <v>107</v>
      </c>
      <c r="F1052" t="s">
        <v>23</v>
      </c>
      <c r="G1052" t="s">
        <v>24</v>
      </c>
      <c r="H1052" t="s">
        <v>287</v>
      </c>
      <c r="I1052" t="s">
        <v>330</v>
      </c>
      <c r="J1052">
        <v>720</v>
      </c>
      <c r="K1052">
        <v>9</v>
      </c>
      <c r="L1052" t="s">
        <v>68</v>
      </c>
      <c r="M1052">
        <v>101</v>
      </c>
      <c r="N1052">
        <v>31</v>
      </c>
      <c r="O1052">
        <v>67.5</v>
      </c>
      <c r="P1052">
        <v>4.34</v>
      </c>
      <c r="Q1052">
        <v>1.79</v>
      </c>
      <c r="R1052" t="s">
        <v>184</v>
      </c>
      <c r="S1052" t="s">
        <v>47</v>
      </c>
      <c r="T1052" t="s">
        <v>30</v>
      </c>
      <c r="U1052" t="str">
        <f t="shared" si="48"/>
        <v>Normal</v>
      </c>
      <c r="V1052" t="str">
        <f t="shared" si="49"/>
        <v>Normal</v>
      </c>
      <c r="W1052" t="str">
        <f t="shared" si="50"/>
        <v>Normal</v>
      </c>
    </row>
    <row r="1053" spans="1:23" x14ac:dyDescent="0.3">
      <c r="A1053">
        <v>10108</v>
      </c>
      <c r="B1053" s="2">
        <v>45677</v>
      </c>
      <c r="C1053" t="s">
        <v>49</v>
      </c>
      <c r="D1053" t="s">
        <v>21</v>
      </c>
      <c r="E1053" t="s">
        <v>33</v>
      </c>
      <c r="F1053" t="s">
        <v>41</v>
      </c>
      <c r="G1053" t="s">
        <v>109</v>
      </c>
      <c r="H1053" t="s">
        <v>165</v>
      </c>
      <c r="I1053" t="s">
        <v>284</v>
      </c>
      <c r="J1053">
        <v>1464</v>
      </c>
      <c r="K1053">
        <v>12</v>
      </c>
      <c r="L1053" t="s">
        <v>68</v>
      </c>
      <c r="M1053">
        <v>107</v>
      </c>
      <c r="N1053">
        <v>50.2</v>
      </c>
      <c r="O1053">
        <v>67.400000000000006</v>
      </c>
      <c r="P1053">
        <v>5.34</v>
      </c>
      <c r="Q1053">
        <v>1.88</v>
      </c>
      <c r="R1053" t="s">
        <v>63</v>
      </c>
      <c r="S1053" t="s">
        <v>73</v>
      </c>
      <c r="T1053" t="s">
        <v>30</v>
      </c>
      <c r="U1053" t="str">
        <f t="shared" si="48"/>
        <v>Normal</v>
      </c>
      <c r="V1053" t="str">
        <f t="shared" si="49"/>
        <v>Normal</v>
      </c>
      <c r="W1053" t="str">
        <f t="shared" si="50"/>
        <v>Normal</v>
      </c>
    </row>
    <row r="1054" spans="1:23" x14ac:dyDescent="0.3">
      <c r="A1054">
        <v>10431</v>
      </c>
      <c r="B1054" s="2">
        <v>45835</v>
      </c>
      <c r="C1054" t="s">
        <v>20</v>
      </c>
      <c r="D1054" t="s">
        <v>32</v>
      </c>
      <c r="E1054" t="s">
        <v>33</v>
      </c>
      <c r="F1054" t="s">
        <v>41</v>
      </c>
      <c r="G1054" t="s">
        <v>134</v>
      </c>
      <c r="H1054" t="s">
        <v>99</v>
      </c>
      <c r="I1054" t="s">
        <v>129</v>
      </c>
      <c r="J1054">
        <v>1047</v>
      </c>
      <c r="K1054">
        <v>11</v>
      </c>
      <c r="L1054" t="s">
        <v>37</v>
      </c>
      <c r="M1054">
        <v>8</v>
      </c>
      <c r="N1054">
        <v>44.3</v>
      </c>
      <c r="O1054">
        <v>67.400000000000006</v>
      </c>
      <c r="P1054">
        <v>5.36</v>
      </c>
      <c r="Q1054">
        <v>2.59</v>
      </c>
      <c r="R1054" t="s">
        <v>174</v>
      </c>
      <c r="S1054" t="s">
        <v>47</v>
      </c>
      <c r="T1054" t="s">
        <v>30</v>
      </c>
      <c r="U1054" t="str">
        <f t="shared" si="48"/>
        <v>Normal</v>
      </c>
      <c r="V1054" t="str">
        <f t="shared" si="49"/>
        <v>Normal</v>
      </c>
      <c r="W1054" t="str">
        <f t="shared" si="50"/>
        <v>Normal</v>
      </c>
    </row>
    <row r="1055" spans="1:23" x14ac:dyDescent="0.3">
      <c r="A1055">
        <v>10812</v>
      </c>
      <c r="B1055" s="2">
        <v>45837</v>
      </c>
      <c r="C1055" t="s">
        <v>31</v>
      </c>
      <c r="D1055" t="s">
        <v>32</v>
      </c>
      <c r="E1055" t="s">
        <v>22</v>
      </c>
      <c r="F1055" t="s">
        <v>23</v>
      </c>
      <c r="G1055" t="s">
        <v>109</v>
      </c>
      <c r="H1055" t="s">
        <v>175</v>
      </c>
      <c r="I1055" t="s">
        <v>347</v>
      </c>
      <c r="J1055">
        <v>720</v>
      </c>
      <c r="K1055">
        <v>3</v>
      </c>
      <c r="L1055" t="s">
        <v>37</v>
      </c>
      <c r="M1055">
        <v>114</v>
      </c>
      <c r="N1055">
        <v>37.1</v>
      </c>
      <c r="O1055">
        <v>67.400000000000006</v>
      </c>
      <c r="P1055">
        <v>4.2</v>
      </c>
      <c r="Q1055">
        <v>2.0499999999999998</v>
      </c>
      <c r="R1055" t="s">
        <v>147</v>
      </c>
      <c r="S1055" t="s">
        <v>39</v>
      </c>
      <c r="T1055" t="s">
        <v>30</v>
      </c>
      <c r="U1055" t="str">
        <f t="shared" si="48"/>
        <v>Normal</v>
      </c>
      <c r="V1055" t="str">
        <f t="shared" si="49"/>
        <v>Normal</v>
      </c>
      <c r="W1055" t="str">
        <f t="shared" si="50"/>
        <v>Normal</v>
      </c>
    </row>
    <row r="1056" spans="1:23" x14ac:dyDescent="0.3">
      <c r="A1056">
        <v>10212</v>
      </c>
      <c r="B1056" s="2">
        <v>45903</v>
      </c>
      <c r="C1056" t="s">
        <v>20</v>
      </c>
      <c r="D1056" t="s">
        <v>59</v>
      </c>
      <c r="E1056" t="s">
        <v>33</v>
      </c>
      <c r="F1056" t="s">
        <v>81</v>
      </c>
      <c r="G1056" t="s">
        <v>109</v>
      </c>
      <c r="H1056" t="s">
        <v>200</v>
      </c>
      <c r="I1056" t="s">
        <v>225</v>
      </c>
      <c r="J1056">
        <v>883</v>
      </c>
      <c r="K1056">
        <v>12</v>
      </c>
      <c r="L1056" t="s">
        <v>45</v>
      </c>
      <c r="M1056">
        <v>120</v>
      </c>
      <c r="N1056">
        <v>44.5</v>
      </c>
      <c r="O1056">
        <v>67.400000000000006</v>
      </c>
      <c r="P1056">
        <v>3.74</v>
      </c>
      <c r="Q1056">
        <v>3.1</v>
      </c>
      <c r="R1056" t="s">
        <v>122</v>
      </c>
      <c r="S1056" t="s">
        <v>29</v>
      </c>
      <c r="T1056" t="s">
        <v>30</v>
      </c>
      <c r="U1056" t="str">
        <f t="shared" si="48"/>
        <v>Normal</v>
      </c>
      <c r="V1056" t="str">
        <f t="shared" si="49"/>
        <v>Normal</v>
      </c>
      <c r="W1056" t="str">
        <f t="shared" si="50"/>
        <v>Normal</v>
      </c>
    </row>
    <row r="1057" spans="1:23" x14ac:dyDescent="0.3">
      <c r="A1057">
        <v>10677</v>
      </c>
      <c r="B1057" s="2">
        <v>45899</v>
      </c>
      <c r="C1057" t="s">
        <v>20</v>
      </c>
      <c r="D1057" t="s">
        <v>64</v>
      </c>
      <c r="E1057" t="s">
        <v>107</v>
      </c>
      <c r="F1057" t="s">
        <v>23</v>
      </c>
      <c r="G1057" t="s">
        <v>89</v>
      </c>
      <c r="H1057" t="s">
        <v>116</v>
      </c>
      <c r="I1057" t="s">
        <v>70</v>
      </c>
      <c r="J1057">
        <v>1076</v>
      </c>
      <c r="K1057">
        <v>29</v>
      </c>
      <c r="L1057" t="s">
        <v>57</v>
      </c>
      <c r="M1057">
        <v>123</v>
      </c>
      <c r="N1057">
        <v>34.1</v>
      </c>
      <c r="O1057">
        <v>67.400000000000006</v>
      </c>
      <c r="P1057">
        <v>5.12</v>
      </c>
      <c r="Q1057">
        <v>1.98</v>
      </c>
      <c r="R1057" t="s">
        <v>243</v>
      </c>
      <c r="S1057" t="s">
        <v>73</v>
      </c>
      <c r="T1057" t="s">
        <v>30</v>
      </c>
      <c r="U1057" t="str">
        <f t="shared" si="48"/>
        <v>Normal</v>
      </c>
      <c r="V1057" t="str">
        <f t="shared" si="49"/>
        <v>Normal</v>
      </c>
      <c r="W1057" t="str">
        <f t="shared" si="50"/>
        <v>Normal</v>
      </c>
    </row>
    <row r="1058" spans="1:23" x14ac:dyDescent="0.3">
      <c r="A1058">
        <v>10373</v>
      </c>
      <c r="B1058" s="2">
        <v>45782</v>
      </c>
      <c r="C1058" t="s">
        <v>31</v>
      </c>
      <c r="D1058" t="s">
        <v>59</v>
      </c>
      <c r="E1058" t="s">
        <v>107</v>
      </c>
      <c r="F1058" t="s">
        <v>41</v>
      </c>
      <c r="G1058" t="s">
        <v>74</v>
      </c>
      <c r="H1058" t="s">
        <v>213</v>
      </c>
      <c r="I1058" t="s">
        <v>331</v>
      </c>
      <c r="J1058">
        <v>698</v>
      </c>
      <c r="K1058">
        <v>11</v>
      </c>
      <c r="L1058" t="s">
        <v>45</v>
      </c>
      <c r="M1058">
        <v>64</v>
      </c>
      <c r="N1058">
        <v>40.6</v>
      </c>
      <c r="O1058">
        <v>67.400000000000006</v>
      </c>
      <c r="P1058">
        <v>4.87</v>
      </c>
      <c r="Q1058">
        <v>4.57</v>
      </c>
      <c r="R1058" t="s">
        <v>77</v>
      </c>
      <c r="S1058" t="s">
        <v>47</v>
      </c>
      <c r="T1058" t="s">
        <v>30</v>
      </c>
      <c r="U1058" t="str">
        <f t="shared" si="48"/>
        <v>Normal</v>
      </c>
      <c r="V1058" t="str">
        <f t="shared" si="49"/>
        <v>Normal</v>
      </c>
      <c r="W1058" t="str">
        <f t="shared" si="50"/>
        <v>Normal</v>
      </c>
    </row>
    <row r="1059" spans="1:23" x14ac:dyDescent="0.3">
      <c r="A1059">
        <v>10531</v>
      </c>
      <c r="B1059" s="2">
        <v>45673</v>
      </c>
      <c r="C1059" t="s">
        <v>31</v>
      </c>
      <c r="D1059" t="s">
        <v>21</v>
      </c>
      <c r="E1059" t="s">
        <v>107</v>
      </c>
      <c r="F1059" t="s">
        <v>23</v>
      </c>
      <c r="G1059" t="s">
        <v>60</v>
      </c>
      <c r="H1059" t="s">
        <v>200</v>
      </c>
      <c r="I1059" t="s">
        <v>97</v>
      </c>
      <c r="J1059">
        <v>1203</v>
      </c>
      <c r="K1059">
        <v>7</v>
      </c>
      <c r="L1059" t="s">
        <v>57</v>
      </c>
      <c r="M1059">
        <v>25</v>
      </c>
      <c r="N1059">
        <v>43.6</v>
      </c>
      <c r="O1059">
        <v>67.400000000000006</v>
      </c>
      <c r="P1059">
        <v>3.61</v>
      </c>
      <c r="Q1059">
        <v>0.69</v>
      </c>
      <c r="R1059" t="s">
        <v>103</v>
      </c>
      <c r="S1059" t="s">
        <v>47</v>
      </c>
      <c r="T1059" t="s">
        <v>30</v>
      </c>
      <c r="U1059" t="str">
        <f t="shared" si="48"/>
        <v>Normal</v>
      </c>
      <c r="V1059" t="str">
        <f t="shared" si="49"/>
        <v>Normal</v>
      </c>
      <c r="W1059" t="str">
        <f t="shared" si="50"/>
        <v>Normal</v>
      </c>
    </row>
    <row r="1060" spans="1:23" x14ac:dyDescent="0.3">
      <c r="A1060">
        <v>10062</v>
      </c>
      <c r="B1060" s="2">
        <v>45704</v>
      </c>
      <c r="C1060" t="s">
        <v>31</v>
      </c>
      <c r="D1060" t="s">
        <v>64</v>
      </c>
      <c r="E1060" t="s">
        <v>22</v>
      </c>
      <c r="F1060" t="s">
        <v>81</v>
      </c>
      <c r="G1060" t="s">
        <v>60</v>
      </c>
      <c r="H1060" t="s">
        <v>35</v>
      </c>
      <c r="I1060" t="s">
        <v>348</v>
      </c>
      <c r="J1060">
        <v>667</v>
      </c>
      <c r="K1060">
        <v>26</v>
      </c>
      <c r="L1060" t="s">
        <v>57</v>
      </c>
      <c r="M1060">
        <v>127</v>
      </c>
      <c r="N1060">
        <v>51.9</v>
      </c>
      <c r="O1060">
        <v>67.400000000000006</v>
      </c>
      <c r="P1060">
        <v>4.53</v>
      </c>
      <c r="Q1060">
        <v>3.32</v>
      </c>
      <c r="R1060" t="s">
        <v>202</v>
      </c>
      <c r="S1060" t="s">
        <v>39</v>
      </c>
      <c r="T1060" t="s">
        <v>48</v>
      </c>
      <c r="U1060" t="str">
        <f t="shared" si="48"/>
        <v>Normal</v>
      </c>
      <c r="V1060" t="str">
        <f t="shared" si="49"/>
        <v>Normal</v>
      </c>
      <c r="W1060" t="str">
        <f t="shared" si="50"/>
        <v>Normal</v>
      </c>
    </row>
    <row r="1061" spans="1:23" x14ac:dyDescent="0.3">
      <c r="A1061">
        <v>10336</v>
      </c>
      <c r="B1061" s="2">
        <v>45744</v>
      </c>
      <c r="C1061" t="s">
        <v>20</v>
      </c>
      <c r="D1061" t="s">
        <v>64</v>
      </c>
      <c r="E1061" t="s">
        <v>22</v>
      </c>
      <c r="F1061" t="s">
        <v>23</v>
      </c>
      <c r="G1061" t="s">
        <v>60</v>
      </c>
      <c r="H1061" t="s">
        <v>213</v>
      </c>
      <c r="I1061" t="s">
        <v>314</v>
      </c>
      <c r="J1061">
        <v>1242</v>
      </c>
      <c r="K1061">
        <v>22</v>
      </c>
      <c r="L1061" t="s">
        <v>57</v>
      </c>
      <c r="M1061">
        <v>104</v>
      </c>
      <c r="N1061">
        <v>43.7</v>
      </c>
      <c r="O1061">
        <v>67.400000000000006</v>
      </c>
      <c r="P1061">
        <v>4.34</v>
      </c>
      <c r="Q1061">
        <v>4.22</v>
      </c>
      <c r="R1061" t="s">
        <v>46</v>
      </c>
      <c r="S1061" t="s">
        <v>47</v>
      </c>
      <c r="T1061" t="s">
        <v>30</v>
      </c>
      <c r="U1061" t="str">
        <f t="shared" si="48"/>
        <v>Normal</v>
      </c>
      <c r="V1061" t="str">
        <f t="shared" si="49"/>
        <v>Normal</v>
      </c>
      <c r="W1061" t="str">
        <f t="shared" si="50"/>
        <v>Normal</v>
      </c>
    </row>
    <row r="1062" spans="1:23" x14ac:dyDescent="0.3">
      <c r="A1062">
        <v>10453</v>
      </c>
      <c r="B1062" s="2">
        <v>45669</v>
      </c>
      <c r="C1062" t="s">
        <v>31</v>
      </c>
      <c r="D1062" t="s">
        <v>64</v>
      </c>
      <c r="E1062" t="s">
        <v>22</v>
      </c>
      <c r="F1062" t="s">
        <v>23</v>
      </c>
      <c r="G1062" t="s">
        <v>42</v>
      </c>
      <c r="H1062" t="s">
        <v>93</v>
      </c>
      <c r="I1062" t="s">
        <v>163</v>
      </c>
      <c r="J1062">
        <v>1408</v>
      </c>
      <c r="K1062">
        <v>48</v>
      </c>
      <c r="L1062" t="s">
        <v>71</v>
      </c>
      <c r="M1062">
        <v>37</v>
      </c>
      <c r="N1062">
        <v>44.1</v>
      </c>
      <c r="O1062">
        <v>67.400000000000006</v>
      </c>
      <c r="P1062">
        <v>5.98</v>
      </c>
      <c r="Q1062">
        <v>3.49</v>
      </c>
      <c r="R1062" t="s">
        <v>38</v>
      </c>
      <c r="S1062" t="s">
        <v>39</v>
      </c>
      <c r="T1062" t="s">
        <v>48</v>
      </c>
      <c r="U1062" t="str">
        <f t="shared" si="48"/>
        <v>Normal</v>
      </c>
      <c r="V1062" t="str">
        <f t="shared" si="49"/>
        <v>Normal</v>
      </c>
      <c r="W1062" t="str">
        <f t="shared" si="50"/>
        <v>Normal</v>
      </c>
    </row>
    <row r="1063" spans="1:23" x14ac:dyDescent="0.3">
      <c r="A1063">
        <v>10624</v>
      </c>
      <c r="B1063" s="2">
        <v>45663</v>
      </c>
      <c r="C1063" t="s">
        <v>49</v>
      </c>
      <c r="D1063" t="s">
        <v>32</v>
      </c>
      <c r="E1063" t="s">
        <v>107</v>
      </c>
      <c r="F1063" t="s">
        <v>41</v>
      </c>
      <c r="G1063" t="s">
        <v>60</v>
      </c>
      <c r="H1063" t="s">
        <v>85</v>
      </c>
      <c r="I1063" t="s">
        <v>293</v>
      </c>
      <c r="J1063">
        <v>1039</v>
      </c>
      <c r="K1063">
        <v>14</v>
      </c>
      <c r="L1063" t="s">
        <v>57</v>
      </c>
      <c r="M1063">
        <v>60</v>
      </c>
      <c r="N1063">
        <v>50.6</v>
      </c>
      <c r="O1063">
        <v>67.400000000000006</v>
      </c>
      <c r="P1063">
        <v>4.38</v>
      </c>
      <c r="Q1063">
        <v>3.18</v>
      </c>
      <c r="R1063" t="s">
        <v>232</v>
      </c>
      <c r="S1063" t="s">
        <v>47</v>
      </c>
      <c r="T1063" t="s">
        <v>30</v>
      </c>
      <c r="U1063" t="str">
        <f t="shared" si="48"/>
        <v>Normal</v>
      </c>
      <c r="V1063" t="str">
        <f t="shared" si="49"/>
        <v>Normal</v>
      </c>
      <c r="W1063" t="str">
        <f t="shared" si="50"/>
        <v>Normal</v>
      </c>
    </row>
    <row r="1064" spans="1:23" x14ac:dyDescent="0.3">
      <c r="A1064">
        <v>10643</v>
      </c>
      <c r="B1064" s="2">
        <v>45813</v>
      </c>
      <c r="C1064" t="s">
        <v>49</v>
      </c>
      <c r="D1064" t="s">
        <v>32</v>
      </c>
      <c r="E1064" t="s">
        <v>22</v>
      </c>
      <c r="F1064" t="s">
        <v>41</v>
      </c>
      <c r="G1064" t="s">
        <v>50</v>
      </c>
      <c r="H1064" t="s">
        <v>101</v>
      </c>
      <c r="I1064" t="s">
        <v>191</v>
      </c>
      <c r="J1064">
        <v>526</v>
      </c>
      <c r="K1064">
        <v>7</v>
      </c>
      <c r="L1064" t="s">
        <v>45</v>
      </c>
      <c r="M1064">
        <v>138</v>
      </c>
      <c r="N1064">
        <v>54.3</v>
      </c>
      <c r="O1064">
        <v>67.400000000000006</v>
      </c>
      <c r="P1064">
        <v>5.53</v>
      </c>
      <c r="Q1064">
        <v>1.49</v>
      </c>
      <c r="R1064" t="s">
        <v>267</v>
      </c>
      <c r="S1064" t="s">
        <v>47</v>
      </c>
      <c r="T1064" t="s">
        <v>30</v>
      </c>
      <c r="U1064" t="str">
        <f t="shared" si="48"/>
        <v>Normal</v>
      </c>
      <c r="V1064" t="str">
        <f t="shared" si="49"/>
        <v>Normal</v>
      </c>
      <c r="W1064" t="str">
        <f t="shared" si="50"/>
        <v>Normal</v>
      </c>
    </row>
    <row r="1065" spans="1:23" x14ac:dyDescent="0.3">
      <c r="A1065">
        <v>10241</v>
      </c>
      <c r="B1065" s="2">
        <v>46015</v>
      </c>
      <c r="C1065" t="s">
        <v>49</v>
      </c>
      <c r="D1065" t="s">
        <v>32</v>
      </c>
      <c r="E1065" t="s">
        <v>40</v>
      </c>
      <c r="F1065" t="s">
        <v>41</v>
      </c>
      <c r="G1065" t="s">
        <v>74</v>
      </c>
      <c r="H1065" t="s">
        <v>165</v>
      </c>
      <c r="I1065" t="s">
        <v>168</v>
      </c>
      <c r="J1065">
        <v>1169</v>
      </c>
      <c r="K1065">
        <v>4</v>
      </c>
      <c r="L1065" t="s">
        <v>45</v>
      </c>
      <c r="M1065">
        <v>91</v>
      </c>
      <c r="N1065">
        <v>53.1</v>
      </c>
      <c r="O1065">
        <v>67.3</v>
      </c>
      <c r="P1065">
        <v>4.96</v>
      </c>
      <c r="Q1065">
        <v>2.41</v>
      </c>
      <c r="R1065" t="s">
        <v>179</v>
      </c>
      <c r="S1065" t="s">
        <v>29</v>
      </c>
      <c r="T1065" t="s">
        <v>30</v>
      </c>
      <c r="U1065" t="str">
        <f t="shared" si="48"/>
        <v>Normal</v>
      </c>
      <c r="V1065" t="str">
        <f t="shared" si="49"/>
        <v>Normal</v>
      </c>
      <c r="W1065" t="str">
        <f t="shared" si="50"/>
        <v>Normal</v>
      </c>
    </row>
    <row r="1066" spans="1:23" x14ac:dyDescent="0.3">
      <c r="A1066">
        <v>11317</v>
      </c>
      <c r="B1066" s="2">
        <v>45979</v>
      </c>
      <c r="C1066" t="s">
        <v>31</v>
      </c>
      <c r="D1066" t="s">
        <v>59</v>
      </c>
      <c r="E1066" t="s">
        <v>33</v>
      </c>
      <c r="F1066" t="s">
        <v>81</v>
      </c>
      <c r="G1066" t="s">
        <v>134</v>
      </c>
      <c r="H1066" t="s">
        <v>131</v>
      </c>
      <c r="I1066" t="s">
        <v>239</v>
      </c>
      <c r="J1066">
        <v>843</v>
      </c>
      <c r="K1066">
        <v>7</v>
      </c>
      <c r="L1066" t="s">
        <v>45</v>
      </c>
      <c r="M1066">
        <v>19</v>
      </c>
      <c r="N1066">
        <v>37.9</v>
      </c>
      <c r="O1066">
        <v>67.3</v>
      </c>
      <c r="P1066">
        <v>5.3</v>
      </c>
      <c r="Q1066">
        <v>2.52</v>
      </c>
      <c r="R1066" t="s">
        <v>240</v>
      </c>
      <c r="S1066" t="s">
        <v>73</v>
      </c>
      <c r="T1066" t="s">
        <v>30</v>
      </c>
      <c r="U1066" t="str">
        <f t="shared" si="48"/>
        <v>Normal</v>
      </c>
      <c r="V1066" t="str">
        <f t="shared" si="49"/>
        <v>Normal</v>
      </c>
      <c r="W1066" t="str">
        <f t="shared" si="50"/>
        <v>Normal</v>
      </c>
    </row>
    <row r="1067" spans="1:23" x14ac:dyDescent="0.3">
      <c r="A1067">
        <v>11406</v>
      </c>
      <c r="B1067" s="2">
        <v>46016</v>
      </c>
      <c r="C1067" t="s">
        <v>31</v>
      </c>
      <c r="D1067" t="s">
        <v>64</v>
      </c>
      <c r="E1067" t="s">
        <v>40</v>
      </c>
      <c r="F1067" t="s">
        <v>41</v>
      </c>
      <c r="G1067" t="s">
        <v>74</v>
      </c>
      <c r="H1067" t="s">
        <v>75</v>
      </c>
      <c r="I1067" t="s">
        <v>289</v>
      </c>
      <c r="J1067">
        <v>1068</v>
      </c>
      <c r="K1067">
        <v>10</v>
      </c>
      <c r="L1067" t="s">
        <v>57</v>
      </c>
      <c r="M1067">
        <v>8</v>
      </c>
      <c r="N1067">
        <v>41.1</v>
      </c>
      <c r="O1067">
        <v>67.3</v>
      </c>
      <c r="P1067">
        <v>6.15</v>
      </c>
      <c r="Q1067">
        <v>1.25</v>
      </c>
      <c r="R1067" t="s">
        <v>130</v>
      </c>
      <c r="S1067" t="s">
        <v>73</v>
      </c>
      <c r="T1067" t="s">
        <v>30</v>
      </c>
      <c r="U1067" t="str">
        <f t="shared" si="48"/>
        <v>Normal</v>
      </c>
      <c r="V1067" t="str">
        <f t="shared" si="49"/>
        <v>Normal</v>
      </c>
      <c r="W1067" t="str">
        <f t="shared" si="50"/>
        <v>Normal</v>
      </c>
    </row>
    <row r="1068" spans="1:23" x14ac:dyDescent="0.3">
      <c r="A1068">
        <v>10576</v>
      </c>
      <c r="B1068" s="2">
        <v>46013</v>
      </c>
      <c r="C1068" t="s">
        <v>20</v>
      </c>
      <c r="D1068" t="s">
        <v>32</v>
      </c>
      <c r="E1068" t="s">
        <v>107</v>
      </c>
      <c r="F1068" t="s">
        <v>41</v>
      </c>
      <c r="G1068" t="s">
        <v>89</v>
      </c>
      <c r="H1068" t="s">
        <v>351</v>
      </c>
      <c r="I1068" t="s">
        <v>361</v>
      </c>
      <c r="J1068">
        <v>835</v>
      </c>
      <c r="K1068">
        <v>4</v>
      </c>
      <c r="L1068" t="s">
        <v>45</v>
      </c>
      <c r="M1068">
        <v>152</v>
      </c>
      <c r="N1068">
        <v>41.7</v>
      </c>
      <c r="O1068">
        <v>67.3</v>
      </c>
      <c r="P1068">
        <v>3.91</v>
      </c>
      <c r="Q1068">
        <v>1.84</v>
      </c>
      <c r="R1068" t="s">
        <v>153</v>
      </c>
      <c r="S1068" t="s">
        <v>47</v>
      </c>
      <c r="T1068" t="s">
        <v>30</v>
      </c>
      <c r="U1068" t="str">
        <f t="shared" si="48"/>
        <v>Normal</v>
      </c>
      <c r="V1068" t="str">
        <f t="shared" si="49"/>
        <v>Normal</v>
      </c>
      <c r="W1068" t="str">
        <f t="shared" si="50"/>
        <v>Normal</v>
      </c>
    </row>
    <row r="1069" spans="1:23" x14ac:dyDescent="0.3">
      <c r="A1069">
        <v>11371</v>
      </c>
      <c r="B1069" s="2">
        <v>45968</v>
      </c>
      <c r="C1069" t="s">
        <v>31</v>
      </c>
      <c r="D1069" t="s">
        <v>21</v>
      </c>
      <c r="E1069" t="s">
        <v>33</v>
      </c>
      <c r="F1069" t="s">
        <v>81</v>
      </c>
      <c r="G1069" t="s">
        <v>34</v>
      </c>
      <c r="H1069" t="s">
        <v>205</v>
      </c>
      <c r="I1069" t="s">
        <v>310</v>
      </c>
      <c r="J1069">
        <v>903</v>
      </c>
      <c r="K1069">
        <v>11</v>
      </c>
      <c r="L1069" t="s">
        <v>71</v>
      </c>
      <c r="M1069">
        <v>44</v>
      </c>
      <c r="N1069">
        <v>37</v>
      </c>
      <c r="O1069">
        <v>67.3</v>
      </c>
      <c r="P1069">
        <v>5.53</v>
      </c>
      <c r="Q1069">
        <v>3.53</v>
      </c>
      <c r="R1069" t="s">
        <v>202</v>
      </c>
      <c r="S1069" t="s">
        <v>73</v>
      </c>
      <c r="T1069" t="s">
        <v>30</v>
      </c>
      <c r="U1069" t="str">
        <f t="shared" si="48"/>
        <v>Normal</v>
      </c>
      <c r="V1069" t="str">
        <f t="shared" si="49"/>
        <v>Normal</v>
      </c>
      <c r="W1069" t="str">
        <f t="shared" si="50"/>
        <v>Normal</v>
      </c>
    </row>
    <row r="1070" spans="1:23" x14ac:dyDescent="0.3">
      <c r="A1070">
        <v>10130</v>
      </c>
      <c r="B1070" s="2">
        <v>45747</v>
      </c>
      <c r="C1070" t="s">
        <v>31</v>
      </c>
      <c r="D1070" t="s">
        <v>64</v>
      </c>
      <c r="E1070" t="s">
        <v>22</v>
      </c>
      <c r="F1070" t="s">
        <v>41</v>
      </c>
      <c r="G1070" t="s">
        <v>60</v>
      </c>
      <c r="H1070" t="s">
        <v>69</v>
      </c>
      <c r="I1070" t="s">
        <v>284</v>
      </c>
      <c r="J1070">
        <v>1447</v>
      </c>
      <c r="K1070">
        <v>23</v>
      </c>
      <c r="L1070" t="s">
        <v>45</v>
      </c>
      <c r="M1070">
        <v>130</v>
      </c>
      <c r="N1070">
        <v>47.8</v>
      </c>
      <c r="O1070">
        <v>67.3</v>
      </c>
      <c r="P1070">
        <v>5.88</v>
      </c>
      <c r="Q1070">
        <v>2.17</v>
      </c>
      <c r="R1070" t="s">
        <v>105</v>
      </c>
      <c r="S1070" t="s">
        <v>39</v>
      </c>
      <c r="T1070" t="s">
        <v>30</v>
      </c>
      <c r="U1070" t="str">
        <f t="shared" si="48"/>
        <v>Normal</v>
      </c>
      <c r="V1070" t="str">
        <f t="shared" si="49"/>
        <v>Normal</v>
      </c>
      <c r="W1070" t="str">
        <f t="shared" si="50"/>
        <v>Normal</v>
      </c>
    </row>
    <row r="1071" spans="1:23" x14ac:dyDescent="0.3">
      <c r="A1071">
        <v>10391</v>
      </c>
      <c r="B1071" s="2">
        <v>45745</v>
      </c>
      <c r="C1071" t="s">
        <v>31</v>
      </c>
      <c r="D1071" t="s">
        <v>64</v>
      </c>
      <c r="E1071" t="s">
        <v>22</v>
      </c>
      <c r="F1071" t="s">
        <v>23</v>
      </c>
      <c r="G1071" t="s">
        <v>54</v>
      </c>
      <c r="H1071" t="s">
        <v>252</v>
      </c>
      <c r="I1071" t="s">
        <v>358</v>
      </c>
      <c r="J1071">
        <v>1265</v>
      </c>
      <c r="K1071">
        <v>13</v>
      </c>
      <c r="L1071" t="s">
        <v>424</v>
      </c>
      <c r="M1071">
        <v>130</v>
      </c>
      <c r="N1071">
        <v>48.7</v>
      </c>
      <c r="O1071">
        <v>67.3</v>
      </c>
      <c r="P1071">
        <v>5.51</v>
      </c>
      <c r="Q1071">
        <v>3.71</v>
      </c>
      <c r="R1071" t="s">
        <v>164</v>
      </c>
      <c r="S1071" t="s">
        <v>39</v>
      </c>
      <c r="T1071" t="s">
        <v>30</v>
      </c>
      <c r="U1071" t="str">
        <f t="shared" si="48"/>
        <v>Normal</v>
      </c>
      <c r="V1071" t="str">
        <f t="shared" si="49"/>
        <v>Normal</v>
      </c>
      <c r="W1071" t="str">
        <f t="shared" si="50"/>
        <v>Normal</v>
      </c>
    </row>
    <row r="1072" spans="1:23" x14ac:dyDescent="0.3">
      <c r="A1072">
        <v>11204</v>
      </c>
      <c r="B1072" s="2">
        <v>45775</v>
      </c>
      <c r="C1072" t="s">
        <v>49</v>
      </c>
      <c r="D1072" t="s">
        <v>59</v>
      </c>
      <c r="E1072" t="s">
        <v>107</v>
      </c>
      <c r="F1072" t="s">
        <v>23</v>
      </c>
      <c r="G1072" t="s">
        <v>113</v>
      </c>
      <c r="H1072" t="s">
        <v>75</v>
      </c>
      <c r="I1072" t="s">
        <v>323</v>
      </c>
      <c r="J1072">
        <v>1391</v>
      </c>
      <c r="K1072">
        <v>18</v>
      </c>
      <c r="L1072" t="s">
        <v>71</v>
      </c>
      <c r="M1072">
        <v>8</v>
      </c>
      <c r="N1072">
        <v>35.200000000000003</v>
      </c>
      <c r="O1072">
        <v>67.3</v>
      </c>
      <c r="P1072">
        <v>4.59</v>
      </c>
      <c r="Q1072">
        <v>2.75</v>
      </c>
      <c r="R1072" t="s">
        <v>143</v>
      </c>
      <c r="S1072" t="s">
        <v>73</v>
      </c>
      <c r="T1072" t="s">
        <v>30</v>
      </c>
      <c r="U1072" t="str">
        <f t="shared" si="48"/>
        <v>Normal</v>
      </c>
      <c r="V1072" t="str">
        <f t="shared" si="49"/>
        <v>Normal</v>
      </c>
      <c r="W1072" t="str">
        <f t="shared" si="50"/>
        <v>Normal</v>
      </c>
    </row>
    <row r="1073" spans="1:23" x14ac:dyDescent="0.3">
      <c r="A1073">
        <v>10937</v>
      </c>
      <c r="B1073" s="2">
        <v>45764</v>
      </c>
      <c r="C1073" t="s">
        <v>31</v>
      </c>
      <c r="D1073" t="s">
        <v>32</v>
      </c>
      <c r="E1073" t="s">
        <v>33</v>
      </c>
      <c r="F1073" t="s">
        <v>41</v>
      </c>
      <c r="G1073" t="s">
        <v>42</v>
      </c>
      <c r="H1073" t="s">
        <v>138</v>
      </c>
      <c r="I1073" t="s">
        <v>331</v>
      </c>
      <c r="J1073">
        <v>1025</v>
      </c>
      <c r="K1073">
        <v>3</v>
      </c>
      <c r="L1073" t="s">
        <v>71</v>
      </c>
      <c r="M1073">
        <v>32</v>
      </c>
      <c r="N1073">
        <v>45.6</v>
      </c>
      <c r="O1073">
        <v>67.3</v>
      </c>
      <c r="P1073">
        <v>6.21</v>
      </c>
      <c r="Q1073">
        <v>4.04</v>
      </c>
      <c r="R1073" t="s">
        <v>137</v>
      </c>
      <c r="S1073" t="s">
        <v>39</v>
      </c>
      <c r="T1073" t="s">
        <v>30</v>
      </c>
      <c r="U1073" t="str">
        <f t="shared" si="48"/>
        <v>Normal</v>
      </c>
      <c r="V1073" t="str">
        <f t="shared" si="49"/>
        <v>Normal</v>
      </c>
      <c r="W1073" t="str">
        <f t="shared" si="50"/>
        <v>Normal</v>
      </c>
    </row>
    <row r="1074" spans="1:23" x14ac:dyDescent="0.3">
      <c r="A1074">
        <v>10741</v>
      </c>
      <c r="B1074" s="2">
        <v>45997</v>
      </c>
      <c r="C1074" t="s">
        <v>49</v>
      </c>
      <c r="D1074" t="s">
        <v>32</v>
      </c>
      <c r="E1074" t="s">
        <v>22</v>
      </c>
      <c r="F1074" t="s">
        <v>81</v>
      </c>
      <c r="G1074" t="s">
        <v>54</v>
      </c>
      <c r="H1074" t="s">
        <v>101</v>
      </c>
      <c r="I1074" t="s">
        <v>26</v>
      </c>
      <c r="J1074">
        <v>1456</v>
      </c>
      <c r="K1074">
        <v>20</v>
      </c>
      <c r="L1074" t="s">
        <v>27</v>
      </c>
      <c r="M1074">
        <v>166</v>
      </c>
      <c r="N1074">
        <v>37.700000000000003</v>
      </c>
      <c r="O1074">
        <v>67.3</v>
      </c>
      <c r="P1074">
        <v>4.37</v>
      </c>
      <c r="Q1074">
        <v>3.66</v>
      </c>
      <c r="R1074" t="s">
        <v>179</v>
      </c>
      <c r="S1074" t="s">
        <v>29</v>
      </c>
      <c r="T1074" t="s">
        <v>30</v>
      </c>
      <c r="U1074" t="str">
        <f t="shared" si="48"/>
        <v>Normal</v>
      </c>
      <c r="V1074" t="str">
        <f t="shared" si="49"/>
        <v>Normal</v>
      </c>
      <c r="W1074" t="str">
        <f t="shared" si="50"/>
        <v>Normal</v>
      </c>
    </row>
    <row r="1075" spans="1:23" x14ac:dyDescent="0.3">
      <c r="A1075">
        <v>11060</v>
      </c>
      <c r="B1075" s="2">
        <v>45846</v>
      </c>
      <c r="C1075" t="s">
        <v>49</v>
      </c>
      <c r="D1075" t="s">
        <v>32</v>
      </c>
      <c r="E1075" t="s">
        <v>33</v>
      </c>
      <c r="F1075" t="s">
        <v>41</v>
      </c>
      <c r="G1075" t="s">
        <v>42</v>
      </c>
      <c r="H1075" t="s">
        <v>131</v>
      </c>
      <c r="I1075" t="s">
        <v>273</v>
      </c>
      <c r="J1075">
        <v>1379</v>
      </c>
      <c r="K1075">
        <v>21</v>
      </c>
      <c r="L1075" t="s">
        <v>57</v>
      </c>
      <c r="M1075">
        <v>90</v>
      </c>
      <c r="N1075">
        <v>40.1</v>
      </c>
      <c r="O1075">
        <v>67.3</v>
      </c>
      <c r="P1075">
        <v>5.0599999999999996</v>
      </c>
      <c r="Q1075">
        <v>0.75</v>
      </c>
      <c r="R1075" t="s">
        <v>240</v>
      </c>
      <c r="S1075" t="s">
        <v>73</v>
      </c>
      <c r="T1075" t="s">
        <v>30</v>
      </c>
      <c r="U1075" t="str">
        <f t="shared" si="48"/>
        <v>Normal</v>
      </c>
      <c r="V1075" t="str">
        <f t="shared" si="49"/>
        <v>Normal</v>
      </c>
      <c r="W1075" t="str">
        <f t="shared" si="50"/>
        <v>Normal</v>
      </c>
    </row>
    <row r="1076" spans="1:23" x14ac:dyDescent="0.3">
      <c r="A1076">
        <v>10846</v>
      </c>
      <c r="B1076" s="2">
        <v>45927</v>
      </c>
      <c r="C1076" t="s">
        <v>31</v>
      </c>
      <c r="D1076" t="s">
        <v>21</v>
      </c>
      <c r="E1076" t="s">
        <v>33</v>
      </c>
      <c r="F1076" t="s">
        <v>23</v>
      </c>
      <c r="G1076" t="s">
        <v>24</v>
      </c>
      <c r="H1076" t="s">
        <v>193</v>
      </c>
      <c r="I1076" t="s">
        <v>139</v>
      </c>
      <c r="J1076">
        <v>904</v>
      </c>
      <c r="K1076">
        <v>13</v>
      </c>
      <c r="L1076" t="s">
        <v>37</v>
      </c>
      <c r="M1076">
        <v>29</v>
      </c>
      <c r="N1076">
        <v>25.8</v>
      </c>
      <c r="O1076">
        <v>67.2</v>
      </c>
      <c r="P1076">
        <v>4.9400000000000004</v>
      </c>
      <c r="Q1076">
        <v>2.2599999999999998</v>
      </c>
      <c r="R1076" t="s">
        <v>184</v>
      </c>
      <c r="S1076" t="s">
        <v>47</v>
      </c>
      <c r="T1076" t="s">
        <v>30</v>
      </c>
      <c r="U1076" t="str">
        <f t="shared" si="48"/>
        <v>Normal</v>
      </c>
      <c r="V1076" t="str">
        <f t="shared" si="49"/>
        <v>Normal</v>
      </c>
      <c r="W1076" t="str">
        <f t="shared" si="50"/>
        <v>Normal</v>
      </c>
    </row>
    <row r="1077" spans="1:23" x14ac:dyDescent="0.3">
      <c r="A1077">
        <v>10056</v>
      </c>
      <c r="B1077" s="2">
        <v>45858</v>
      </c>
      <c r="C1077" t="s">
        <v>20</v>
      </c>
      <c r="D1077" t="s">
        <v>64</v>
      </c>
      <c r="E1077" t="s">
        <v>22</v>
      </c>
      <c r="F1077" t="s">
        <v>41</v>
      </c>
      <c r="G1077" t="s">
        <v>134</v>
      </c>
      <c r="H1077" t="s">
        <v>43</v>
      </c>
      <c r="I1077" t="s">
        <v>347</v>
      </c>
      <c r="J1077">
        <v>1407</v>
      </c>
      <c r="K1077">
        <v>20</v>
      </c>
      <c r="L1077" t="s">
        <v>45</v>
      </c>
      <c r="M1077">
        <v>43</v>
      </c>
      <c r="N1077">
        <v>48.9</v>
      </c>
      <c r="O1077">
        <v>67.2</v>
      </c>
      <c r="P1077">
        <v>5.37</v>
      </c>
      <c r="Q1077">
        <v>4.9400000000000004</v>
      </c>
      <c r="R1077" t="s">
        <v>28</v>
      </c>
      <c r="S1077" t="s">
        <v>29</v>
      </c>
      <c r="T1077" t="s">
        <v>30</v>
      </c>
      <c r="U1077" t="str">
        <f t="shared" si="48"/>
        <v>Normal</v>
      </c>
      <c r="V1077" t="str">
        <f t="shared" si="49"/>
        <v>Normal</v>
      </c>
      <c r="W1077" t="str">
        <f t="shared" si="50"/>
        <v>Normal</v>
      </c>
    </row>
    <row r="1078" spans="1:23" x14ac:dyDescent="0.3">
      <c r="A1078">
        <v>11327</v>
      </c>
      <c r="B1078" s="2">
        <v>45924</v>
      </c>
      <c r="C1078" t="s">
        <v>20</v>
      </c>
      <c r="D1078" t="s">
        <v>21</v>
      </c>
      <c r="E1078" t="s">
        <v>33</v>
      </c>
      <c r="F1078" t="s">
        <v>23</v>
      </c>
      <c r="G1078" t="s">
        <v>95</v>
      </c>
      <c r="H1078" t="s">
        <v>120</v>
      </c>
      <c r="I1078" t="s">
        <v>110</v>
      </c>
      <c r="J1078">
        <v>675</v>
      </c>
      <c r="K1078">
        <v>7</v>
      </c>
      <c r="L1078" t="s">
        <v>45</v>
      </c>
      <c r="M1078">
        <v>169</v>
      </c>
      <c r="N1078">
        <v>37</v>
      </c>
      <c r="O1078">
        <v>67.2</v>
      </c>
      <c r="P1078">
        <v>5.08</v>
      </c>
      <c r="Q1078">
        <v>1.56</v>
      </c>
      <c r="R1078" t="s">
        <v>242</v>
      </c>
      <c r="S1078" t="s">
        <v>73</v>
      </c>
      <c r="T1078" t="s">
        <v>30</v>
      </c>
      <c r="U1078" t="str">
        <f t="shared" si="48"/>
        <v>Normal</v>
      </c>
      <c r="V1078" t="str">
        <f t="shared" si="49"/>
        <v>Normal</v>
      </c>
      <c r="W1078" t="str">
        <f t="shared" si="50"/>
        <v>Normal</v>
      </c>
    </row>
    <row r="1079" spans="1:23" x14ac:dyDescent="0.3">
      <c r="A1079">
        <v>10948</v>
      </c>
      <c r="B1079" s="2">
        <v>45997</v>
      </c>
      <c r="C1079" t="s">
        <v>20</v>
      </c>
      <c r="D1079" t="s">
        <v>32</v>
      </c>
      <c r="E1079" t="s">
        <v>22</v>
      </c>
      <c r="F1079" t="s">
        <v>41</v>
      </c>
      <c r="G1079" t="s">
        <v>109</v>
      </c>
      <c r="H1079" t="s">
        <v>252</v>
      </c>
      <c r="I1079" t="s">
        <v>282</v>
      </c>
      <c r="J1079">
        <v>1146</v>
      </c>
      <c r="K1079">
        <v>9</v>
      </c>
      <c r="L1079" t="s">
        <v>71</v>
      </c>
      <c r="M1079">
        <v>130</v>
      </c>
      <c r="N1079">
        <v>49.8</v>
      </c>
      <c r="O1079">
        <v>67.2</v>
      </c>
      <c r="P1079">
        <v>5.49</v>
      </c>
      <c r="Q1079">
        <v>3.93</v>
      </c>
      <c r="R1079" t="s">
        <v>245</v>
      </c>
      <c r="S1079" t="s">
        <v>47</v>
      </c>
      <c r="T1079" t="s">
        <v>30</v>
      </c>
      <c r="U1079" t="str">
        <f t="shared" si="48"/>
        <v>Normal</v>
      </c>
      <c r="V1079" t="str">
        <f t="shared" si="49"/>
        <v>Normal</v>
      </c>
      <c r="W1079" t="str">
        <f t="shared" si="50"/>
        <v>Normal</v>
      </c>
    </row>
    <row r="1080" spans="1:23" x14ac:dyDescent="0.3">
      <c r="A1080">
        <v>10020</v>
      </c>
      <c r="B1080" s="2">
        <v>45907</v>
      </c>
      <c r="C1080" t="s">
        <v>31</v>
      </c>
      <c r="D1080" t="s">
        <v>59</v>
      </c>
      <c r="E1080" t="s">
        <v>107</v>
      </c>
      <c r="F1080" t="s">
        <v>81</v>
      </c>
      <c r="G1080" t="s">
        <v>109</v>
      </c>
      <c r="H1080" t="s">
        <v>90</v>
      </c>
      <c r="I1080" t="s">
        <v>56</v>
      </c>
      <c r="J1080">
        <v>806</v>
      </c>
      <c r="K1080">
        <v>6</v>
      </c>
      <c r="L1080" t="s">
        <v>37</v>
      </c>
      <c r="M1080">
        <v>20</v>
      </c>
      <c r="N1080">
        <v>43.4</v>
      </c>
      <c r="O1080">
        <v>67.2</v>
      </c>
      <c r="P1080">
        <v>5.26</v>
      </c>
      <c r="Q1080">
        <v>2.38</v>
      </c>
      <c r="R1080" t="s">
        <v>140</v>
      </c>
      <c r="S1080" t="s">
        <v>47</v>
      </c>
      <c r="T1080" t="s">
        <v>30</v>
      </c>
      <c r="U1080" t="str">
        <f t="shared" si="48"/>
        <v>Normal</v>
      </c>
      <c r="V1080" t="str">
        <f t="shared" si="49"/>
        <v>Normal</v>
      </c>
      <c r="W1080" t="str">
        <f t="shared" si="50"/>
        <v>Normal</v>
      </c>
    </row>
    <row r="1081" spans="1:23" x14ac:dyDescent="0.3">
      <c r="A1081">
        <v>10863</v>
      </c>
      <c r="B1081" s="2">
        <v>45962</v>
      </c>
      <c r="C1081" t="s">
        <v>31</v>
      </c>
      <c r="D1081" t="s">
        <v>64</v>
      </c>
      <c r="E1081" t="s">
        <v>107</v>
      </c>
      <c r="F1081" t="s">
        <v>23</v>
      </c>
      <c r="G1081" t="s">
        <v>109</v>
      </c>
      <c r="H1081" t="s">
        <v>223</v>
      </c>
      <c r="I1081" t="s">
        <v>346</v>
      </c>
      <c r="J1081">
        <v>682</v>
      </c>
      <c r="K1081">
        <v>8</v>
      </c>
      <c r="L1081" t="s">
        <v>57</v>
      </c>
      <c r="M1081">
        <v>161</v>
      </c>
      <c r="N1081">
        <v>48.3</v>
      </c>
      <c r="O1081">
        <v>67.099999999999994</v>
      </c>
      <c r="P1081">
        <v>5.09</v>
      </c>
      <c r="Q1081">
        <v>3.66</v>
      </c>
      <c r="R1081" t="s">
        <v>179</v>
      </c>
      <c r="S1081" t="s">
        <v>47</v>
      </c>
      <c r="T1081" t="s">
        <v>30</v>
      </c>
      <c r="U1081" t="str">
        <f t="shared" si="48"/>
        <v>Normal</v>
      </c>
      <c r="V1081" t="str">
        <f t="shared" si="49"/>
        <v>Normal</v>
      </c>
      <c r="W1081" t="str">
        <f t="shared" si="50"/>
        <v>Normal</v>
      </c>
    </row>
    <row r="1082" spans="1:23" x14ac:dyDescent="0.3">
      <c r="A1082">
        <v>11126</v>
      </c>
      <c r="B1082" s="2">
        <v>45969</v>
      </c>
      <c r="C1082" t="s">
        <v>20</v>
      </c>
      <c r="D1082" t="s">
        <v>64</v>
      </c>
      <c r="E1082" t="s">
        <v>33</v>
      </c>
      <c r="F1082" t="s">
        <v>41</v>
      </c>
      <c r="G1082" t="s">
        <v>89</v>
      </c>
      <c r="H1082" t="s">
        <v>141</v>
      </c>
      <c r="I1082" t="s">
        <v>283</v>
      </c>
      <c r="J1082">
        <v>1347</v>
      </c>
      <c r="K1082">
        <v>15</v>
      </c>
      <c r="L1082" t="s">
        <v>68</v>
      </c>
      <c r="M1082">
        <v>109</v>
      </c>
      <c r="N1082">
        <v>35.1</v>
      </c>
      <c r="O1082">
        <v>67.099999999999994</v>
      </c>
      <c r="P1082">
        <v>5.91</v>
      </c>
      <c r="Q1082">
        <v>2.84</v>
      </c>
      <c r="R1082" t="s">
        <v>105</v>
      </c>
      <c r="S1082" t="s">
        <v>39</v>
      </c>
      <c r="T1082" t="s">
        <v>30</v>
      </c>
      <c r="U1082" t="str">
        <f t="shared" si="48"/>
        <v>Normal</v>
      </c>
      <c r="V1082" t="str">
        <f t="shared" si="49"/>
        <v>Normal</v>
      </c>
      <c r="W1082" t="str">
        <f t="shared" si="50"/>
        <v>Normal</v>
      </c>
    </row>
    <row r="1083" spans="1:23" x14ac:dyDescent="0.3">
      <c r="A1083">
        <v>10913</v>
      </c>
      <c r="B1083" s="2">
        <v>45986</v>
      </c>
      <c r="C1083" t="s">
        <v>31</v>
      </c>
      <c r="D1083" t="s">
        <v>32</v>
      </c>
      <c r="E1083" t="s">
        <v>22</v>
      </c>
      <c r="F1083" t="s">
        <v>41</v>
      </c>
      <c r="G1083" t="s">
        <v>34</v>
      </c>
      <c r="H1083" t="s">
        <v>85</v>
      </c>
      <c r="I1083" t="s">
        <v>70</v>
      </c>
      <c r="J1083">
        <v>1043</v>
      </c>
      <c r="K1083">
        <v>3</v>
      </c>
      <c r="L1083" t="s">
        <v>71</v>
      </c>
      <c r="M1083">
        <v>116</v>
      </c>
      <c r="N1083">
        <v>45.9</v>
      </c>
      <c r="O1083">
        <v>67.099999999999994</v>
      </c>
      <c r="P1083">
        <v>5.28</v>
      </c>
      <c r="Q1083">
        <v>3.4</v>
      </c>
      <c r="R1083" t="s">
        <v>222</v>
      </c>
      <c r="S1083" t="s">
        <v>73</v>
      </c>
      <c r="T1083" t="s">
        <v>30</v>
      </c>
      <c r="U1083" t="str">
        <f t="shared" si="48"/>
        <v>Normal</v>
      </c>
      <c r="V1083" t="str">
        <f t="shared" si="49"/>
        <v>Normal</v>
      </c>
      <c r="W1083" t="str">
        <f t="shared" si="50"/>
        <v>Normal</v>
      </c>
    </row>
    <row r="1084" spans="1:23" x14ac:dyDescent="0.3">
      <c r="A1084">
        <v>10838</v>
      </c>
      <c r="B1084" s="2">
        <v>45740</v>
      </c>
      <c r="C1084" t="s">
        <v>31</v>
      </c>
      <c r="D1084" t="s">
        <v>32</v>
      </c>
      <c r="E1084" t="s">
        <v>40</v>
      </c>
      <c r="F1084" t="s">
        <v>81</v>
      </c>
      <c r="G1084" t="s">
        <v>74</v>
      </c>
      <c r="H1084" t="s">
        <v>278</v>
      </c>
      <c r="I1084" t="s">
        <v>168</v>
      </c>
      <c r="J1084">
        <v>771</v>
      </c>
      <c r="K1084">
        <v>24</v>
      </c>
      <c r="L1084" t="s">
        <v>27</v>
      </c>
      <c r="M1084">
        <v>37</v>
      </c>
      <c r="N1084">
        <v>41.4</v>
      </c>
      <c r="O1084">
        <v>67.099999999999994</v>
      </c>
      <c r="P1084">
        <v>5.2</v>
      </c>
      <c r="Q1084">
        <v>2.31</v>
      </c>
      <c r="R1084" t="s">
        <v>77</v>
      </c>
      <c r="S1084" t="s">
        <v>29</v>
      </c>
      <c r="T1084" t="s">
        <v>48</v>
      </c>
      <c r="U1084" t="str">
        <f t="shared" si="48"/>
        <v>Normal</v>
      </c>
      <c r="V1084" t="str">
        <f t="shared" si="49"/>
        <v>Normal</v>
      </c>
      <c r="W1084" t="str">
        <f t="shared" si="50"/>
        <v>Normal</v>
      </c>
    </row>
    <row r="1085" spans="1:23" x14ac:dyDescent="0.3">
      <c r="A1085">
        <v>10471</v>
      </c>
      <c r="B1085" s="2">
        <v>45965</v>
      </c>
      <c r="C1085" t="s">
        <v>31</v>
      </c>
      <c r="D1085" t="s">
        <v>59</v>
      </c>
      <c r="E1085" t="s">
        <v>22</v>
      </c>
      <c r="F1085" t="s">
        <v>41</v>
      </c>
      <c r="G1085" t="s">
        <v>95</v>
      </c>
      <c r="H1085" t="s">
        <v>138</v>
      </c>
      <c r="I1085" t="s">
        <v>321</v>
      </c>
      <c r="J1085">
        <v>615</v>
      </c>
      <c r="K1085">
        <v>9</v>
      </c>
      <c r="L1085" t="s">
        <v>27</v>
      </c>
      <c r="M1085">
        <v>102</v>
      </c>
      <c r="N1085">
        <v>38.5</v>
      </c>
      <c r="O1085">
        <v>67.099999999999994</v>
      </c>
      <c r="P1085">
        <v>3.79</v>
      </c>
      <c r="Q1085">
        <v>4.72</v>
      </c>
      <c r="R1085" t="s">
        <v>184</v>
      </c>
      <c r="S1085" t="s">
        <v>73</v>
      </c>
      <c r="T1085" t="s">
        <v>30</v>
      </c>
      <c r="U1085" t="str">
        <f t="shared" si="48"/>
        <v>Normal</v>
      </c>
      <c r="V1085" t="str">
        <f t="shared" si="49"/>
        <v>Normal</v>
      </c>
      <c r="W1085" t="str">
        <f t="shared" si="50"/>
        <v>Normal</v>
      </c>
    </row>
    <row r="1086" spans="1:23" x14ac:dyDescent="0.3">
      <c r="A1086">
        <v>11029</v>
      </c>
      <c r="B1086" s="2">
        <v>45984</v>
      </c>
      <c r="C1086" t="s">
        <v>49</v>
      </c>
      <c r="D1086" t="s">
        <v>64</v>
      </c>
      <c r="E1086" t="s">
        <v>40</v>
      </c>
      <c r="F1086" t="s">
        <v>41</v>
      </c>
      <c r="G1086" t="s">
        <v>134</v>
      </c>
      <c r="H1086" t="s">
        <v>25</v>
      </c>
      <c r="I1086" t="s">
        <v>315</v>
      </c>
      <c r="J1086">
        <v>1370</v>
      </c>
      <c r="K1086">
        <v>51</v>
      </c>
      <c r="L1086" t="s">
        <v>37</v>
      </c>
      <c r="M1086">
        <v>66</v>
      </c>
      <c r="N1086">
        <v>38.700000000000003</v>
      </c>
      <c r="O1086">
        <v>67.099999999999994</v>
      </c>
      <c r="P1086">
        <v>6.02</v>
      </c>
      <c r="Q1086">
        <v>3.58</v>
      </c>
      <c r="R1086" t="s">
        <v>87</v>
      </c>
      <c r="S1086" t="s">
        <v>73</v>
      </c>
      <c r="T1086" t="s">
        <v>48</v>
      </c>
      <c r="U1086" t="str">
        <f t="shared" si="48"/>
        <v>Normal</v>
      </c>
      <c r="V1086" t="str">
        <f t="shared" si="49"/>
        <v>Normal</v>
      </c>
      <c r="W1086" t="str">
        <f t="shared" si="50"/>
        <v>Normal</v>
      </c>
    </row>
    <row r="1087" spans="1:23" x14ac:dyDescent="0.3">
      <c r="A1087">
        <v>11286</v>
      </c>
      <c r="B1087" s="2">
        <v>45659</v>
      </c>
      <c r="C1087" t="s">
        <v>49</v>
      </c>
      <c r="D1087" t="s">
        <v>64</v>
      </c>
      <c r="E1087" t="s">
        <v>40</v>
      </c>
      <c r="F1087" t="s">
        <v>81</v>
      </c>
      <c r="G1087" t="s">
        <v>42</v>
      </c>
      <c r="H1087" t="s">
        <v>175</v>
      </c>
      <c r="I1087" t="s">
        <v>266</v>
      </c>
      <c r="J1087">
        <v>777</v>
      </c>
      <c r="K1087">
        <v>5</v>
      </c>
      <c r="L1087" t="s">
        <v>57</v>
      </c>
      <c r="M1087">
        <v>132</v>
      </c>
      <c r="N1087">
        <v>45.4</v>
      </c>
      <c r="O1087">
        <v>67</v>
      </c>
      <c r="P1087">
        <v>6.14</v>
      </c>
      <c r="Q1087">
        <v>5.23</v>
      </c>
      <c r="R1087" t="s">
        <v>229</v>
      </c>
      <c r="S1087" t="s">
        <v>73</v>
      </c>
      <c r="T1087" t="s">
        <v>30</v>
      </c>
      <c r="U1087" t="str">
        <f t="shared" si="48"/>
        <v>Normal</v>
      </c>
      <c r="V1087" t="str">
        <f t="shared" si="49"/>
        <v>Normal</v>
      </c>
      <c r="W1087" t="str">
        <f t="shared" si="50"/>
        <v>Normal</v>
      </c>
    </row>
    <row r="1088" spans="1:23" x14ac:dyDescent="0.3">
      <c r="A1088">
        <v>11120</v>
      </c>
      <c r="B1088" s="2">
        <v>45715</v>
      </c>
      <c r="C1088" t="s">
        <v>20</v>
      </c>
      <c r="D1088" t="s">
        <v>59</v>
      </c>
      <c r="E1088" t="s">
        <v>33</v>
      </c>
      <c r="F1088" t="s">
        <v>41</v>
      </c>
      <c r="G1088" t="s">
        <v>42</v>
      </c>
      <c r="H1088" t="s">
        <v>287</v>
      </c>
      <c r="I1088" t="s">
        <v>385</v>
      </c>
      <c r="J1088">
        <v>1176</v>
      </c>
      <c r="K1088">
        <v>6</v>
      </c>
      <c r="L1088" t="s">
        <v>57</v>
      </c>
      <c r="M1088">
        <v>119</v>
      </c>
      <c r="N1088">
        <v>34.200000000000003</v>
      </c>
      <c r="O1088">
        <v>67</v>
      </c>
      <c r="P1088">
        <v>4.99</v>
      </c>
      <c r="Q1088">
        <v>1.85</v>
      </c>
      <c r="R1088" t="s">
        <v>87</v>
      </c>
      <c r="S1088" t="s">
        <v>47</v>
      </c>
      <c r="T1088" t="s">
        <v>30</v>
      </c>
      <c r="U1088" t="str">
        <f t="shared" si="48"/>
        <v>Normal</v>
      </c>
      <c r="V1088" t="str">
        <f t="shared" si="49"/>
        <v>Normal</v>
      </c>
      <c r="W1088" t="str">
        <f t="shared" si="50"/>
        <v>Normal</v>
      </c>
    </row>
    <row r="1089" spans="1:23" x14ac:dyDescent="0.3">
      <c r="A1089">
        <v>10150</v>
      </c>
      <c r="B1089" s="2">
        <v>45913</v>
      </c>
      <c r="C1089" t="s">
        <v>49</v>
      </c>
      <c r="D1089" t="s">
        <v>32</v>
      </c>
      <c r="E1089" t="s">
        <v>107</v>
      </c>
      <c r="F1089" t="s">
        <v>23</v>
      </c>
      <c r="G1089" t="s">
        <v>50</v>
      </c>
      <c r="H1089" t="s">
        <v>161</v>
      </c>
      <c r="I1089" t="s">
        <v>197</v>
      </c>
      <c r="J1089">
        <v>1362</v>
      </c>
      <c r="K1089">
        <v>9</v>
      </c>
      <c r="L1089" t="s">
        <v>37</v>
      </c>
      <c r="M1089">
        <v>145</v>
      </c>
      <c r="N1089">
        <v>53.4</v>
      </c>
      <c r="O1089">
        <v>67</v>
      </c>
      <c r="P1089">
        <v>5.95</v>
      </c>
      <c r="Q1089">
        <v>2.44</v>
      </c>
      <c r="R1089" t="s">
        <v>58</v>
      </c>
      <c r="S1089" t="s">
        <v>73</v>
      </c>
      <c r="T1089" t="s">
        <v>30</v>
      </c>
      <c r="U1089" t="str">
        <f t="shared" si="48"/>
        <v>Normal</v>
      </c>
      <c r="V1089" t="str">
        <f t="shared" si="49"/>
        <v>Normal</v>
      </c>
      <c r="W1089" t="str">
        <f t="shared" si="50"/>
        <v>Normal</v>
      </c>
    </row>
    <row r="1090" spans="1:23" x14ac:dyDescent="0.3">
      <c r="A1090">
        <v>10021</v>
      </c>
      <c r="B1090" s="2">
        <v>45980</v>
      </c>
      <c r="C1090" t="s">
        <v>20</v>
      </c>
      <c r="D1090" t="s">
        <v>64</v>
      </c>
      <c r="E1090" t="s">
        <v>107</v>
      </c>
      <c r="F1090" t="s">
        <v>81</v>
      </c>
      <c r="G1090" t="s">
        <v>54</v>
      </c>
      <c r="H1090" t="s">
        <v>148</v>
      </c>
      <c r="I1090" t="s">
        <v>355</v>
      </c>
      <c r="J1090">
        <v>1139</v>
      </c>
      <c r="K1090">
        <v>21</v>
      </c>
      <c r="L1090" t="s">
        <v>68</v>
      </c>
      <c r="M1090">
        <v>16</v>
      </c>
      <c r="N1090">
        <v>44</v>
      </c>
      <c r="O1090">
        <v>67</v>
      </c>
      <c r="P1090">
        <v>5.03</v>
      </c>
      <c r="Q1090">
        <v>2.2599999999999998</v>
      </c>
      <c r="R1090" t="s">
        <v>103</v>
      </c>
      <c r="S1090" t="s">
        <v>29</v>
      </c>
      <c r="T1090" t="s">
        <v>30</v>
      </c>
      <c r="U1090" t="str">
        <f t="shared" ref="U1090:U1153" si="51">IF(OR(O1090&lt;20,O1090&gt;100),"Investigate","Normal")</f>
        <v>Normal</v>
      </c>
      <c r="V1090" t="str">
        <f t="shared" ref="V1090:V1153" si="52">IF(OR(P1090&lt;2,P1090&gt;10),"Investigate","Normal")</f>
        <v>Normal</v>
      </c>
      <c r="W1090" t="str">
        <f t="shared" ref="W1090:W1153" si="53">IF(Q1090&gt;10,"Investigate","Normal")</f>
        <v>Normal</v>
      </c>
    </row>
    <row r="1091" spans="1:23" x14ac:dyDescent="0.3">
      <c r="A1091">
        <v>10748</v>
      </c>
      <c r="B1091" s="2">
        <v>45825</v>
      </c>
      <c r="C1091" t="s">
        <v>20</v>
      </c>
      <c r="D1091" t="s">
        <v>64</v>
      </c>
      <c r="E1091" t="s">
        <v>107</v>
      </c>
      <c r="F1091" t="s">
        <v>81</v>
      </c>
      <c r="G1091" t="s">
        <v>134</v>
      </c>
      <c r="H1091" t="s">
        <v>263</v>
      </c>
      <c r="I1091" t="s">
        <v>197</v>
      </c>
      <c r="J1091">
        <v>1585</v>
      </c>
      <c r="K1091">
        <v>39</v>
      </c>
      <c r="L1091" t="s">
        <v>57</v>
      </c>
      <c r="M1091">
        <v>23</v>
      </c>
      <c r="N1091">
        <v>35.5</v>
      </c>
      <c r="O1091">
        <v>67</v>
      </c>
      <c r="P1091">
        <v>6.34</v>
      </c>
      <c r="Q1091">
        <v>1.53</v>
      </c>
      <c r="R1091" t="s">
        <v>137</v>
      </c>
      <c r="S1091" t="s">
        <v>73</v>
      </c>
      <c r="T1091" t="s">
        <v>30</v>
      </c>
      <c r="U1091" t="str">
        <f t="shared" si="51"/>
        <v>Normal</v>
      </c>
      <c r="V1091" t="str">
        <f t="shared" si="52"/>
        <v>Normal</v>
      </c>
      <c r="W1091" t="str">
        <f t="shared" si="53"/>
        <v>Normal</v>
      </c>
    </row>
    <row r="1092" spans="1:23" x14ac:dyDescent="0.3">
      <c r="A1092">
        <v>10662</v>
      </c>
      <c r="B1092" s="2">
        <v>45873</v>
      </c>
      <c r="C1092" t="s">
        <v>20</v>
      </c>
      <c r="D1092" t="s">
        <v>21</v>
      </c>
      <c r="E1092" t="s">
        <v>33</v>
      </c>
      <c r="F1092" t="s">
        <v>23</v>
      </c>
      <c r="G1092" t="s">
        <v>95</v>
      </c>
      <c r="H1092" t="s">
        <v>287</v>
      </c>
      <c r="I1092" t="s">
        <v>162</v>
      </c>
      <c r="J1092">
        <v>555</v>
      </c>
      <c r="K1092">
        <v>6</v>
      </c>
      <c r="L1092" t="s">
        <v>57</v>
      </c>
      <c r="M1092">
        <v>167</v>
      </c>
      <c r="N1092">
        <v>38.6</v>
      </c>
      <c r="O1092">
        <v>66.900000000000006</v>
      </c>
      <c r="P1092">
        <v>7.38</v>
      </c>
      <c r="Q1092">
        <v>3.47</v>
      </c>
      <c r="R1092" t="s">
        <v>105</v>
      </c>
      <c r="S1092" t="s">
        <v>39</v>
      </c>
      <c r="T1092" t="s">
        <v>30</v>
      </c>
      <c r="U1092" t="str">
        <f t="shared" si="51"/>
        <v>Normal</v>
      </c>
      <c r="V1092" t="str">
        <f t="shared" si="52"/>
        <v>Normal</v>
      </c>
      <c r="W1092" t="str">
        <f t="shared" si="53"/>
        <v>Normal</v>
      </c>
    </row>
    <row r="1093" spans="1:23" x14ac:dyDescent="0.3">
      <c r="A1093">
        <v>11348</v>
      </c>
      <c r="B1093" s="2">
        <v>45744</v>
      </c>
      <c r="C1093" t="s">
        <v>20</v>
      </c>
      <c r="D1093" t="s">
        <v>32</v>
      </c>
      <c r="E1093" t="s">
        <v>107</v>
      </c>
      <c r="F1093" t="s">
        <v>23</v>
      </c>
      <c r="G1093" t="s">
        <v>42</v>
      </c>
      <c r="H1093" t="s">
        <v>265</v>
      </c>
      <c r="I1093" t="s">
        <v>333</v>
      </c>
      <c r="J1093">
        <v>1570</v>
      </c>
      <c r="K1093">
        <v>51</v>
      </c>
      <c r="L1093" t="s">
        <v>37</v>
      </c>
      <c r="M1093">
        <v>37</v>
      </c>
      <c r="N1093">
        <v>37.200000000000003</v>
      </c>
      <c r="O1093">
        <v>66.900000000000006</v>
      </c>
      <c r="P1093">
        <v>3.78</v>
      </c>
      <c r="Q1093">
        <v>1.92</v>
      </c>
      <c r="R1093" t="s">
        <v>227</v>
      </c>
      <c r="S1093" t="s">
        <v>73</v>
      </c>
      <c r="T1093" t="s">
        <v>48</v>
      </c>
      <c r="U1093" t="str">
        <f t="shared" si="51"/>
        <v>Normal</v>
      </c>
      <c r="V1093" t="str">
        <f t="shared" si="52"/>
        <v>Normal</v>
      </c>
      <c r="W1093" t="str">
        <f t="shared" si="53"/>
        <v>Normal</v>
      </c>
    </row>
    <row r="1094" spans="1:23" x14ac:dyDescent="0.3">
      <c r="A1094">
        <v>10132</v>
      </c>
      <c r="B1094" s="2">
        <v>45784</v>
      </c>
      <c r="C1094" t="s">
        <v>49</v>
      </c>
      <c r="D1094" t="s">
        <v>64</v>
      </c>
      <c r="E1094" t="s">
        <v>40</v>
      </c>
      <c r="F1094" t="s">
        <v>41</v>
      </c>
      <c r="G1094" t="s">
        <v>134</v>
      </c>
      <c r="H1094" t="s">
        <v>278</v>
      </c>
      <c r="I1094" t="s">
        <v>322</v>
      </c>
      <c r="J1094">
        <v>1176</v>
      </c>
      <c r="K1094">
        <v>3</v>
      </c>
      <c r="L1094" t="s">
        <v>45</v>
      </c>
      <c r="M1094">
        <v>80</v>
      </c>
      <c r="N1094">
        <v>40.4</v>
      </c>
      <c r="O1094">
        <v>66.8</v>
      </c>
      <c r="P1094">
        <v>5.33</v>
      </c>
      <c r="Q1094">
        <v>3.29</v>
      </c>
      <c r="R1094" t="s">
        <v>232</v>
      </c>
      <c r="S1094" t="s">
        <v>29</v>
      </c>
      <c r="T1094" t="s">
        <v>30</v>
      </c>
      <c r="U1094" t="str">
        <f t="shared" si="51"/>
        <v>Normal</v>
      </c>
      <c r="V1094" t="str">
        <f t="shared" si="52"/>
        <v>Normal</v>
      </c>
      <c r="W1094" t="str">
        <f t="shared" si="53"/>
        <v>Normal</v>
      </c>
    </row>
    <row r="1095" spans="1:23" x14ac:dyDescent="0.3">
      <c r="A1095">
        <v>10109</v>
      </c>
      <c r="B1095" s="2">
        <v>45681</v>
      </c>
      <c r="C1095" t="s">
        <v>49</v>
      </c>
      <c r="D1095" t="s">
        <v>59</v>
      </c>
      <c r="E1095" t="s">
        <v>33</v>
      </c>
      <c r="F1095" t="s">
        <v>41</v>
      </c>
      <c r="G1095" t="s">
        <v>54</v>
      </c>
      <c r="H1095" t="s">
        <v>114</v>
      </c>
      <c r="I1095" t="s">
        <v>117</v>
      </c>
      <c r="J1095">
        <v>975</v>
      </c>
      <c r="K1095">
        <v>11</v>
      </c>
      <c r="L1095" t="s">
        <v>57</v>
      </c>
      <c r="M1095">
        <v>67</v>
      </c>
      <c r="N1095">
        <v>49.8</v>
      </c>
      <c r="O1095">
        <v>66.8</v>
      </c>
      <c r="P1095">
        <v>5.96</v>
      </c>
      <c r="Q1095">
        <v>3.55</v>
      </c>
      <c r="R1095" t="s">
        <v>155</v>
      </c>
      <c r="S1095" t="s">
        <v>47</v>
      </c>
      <c r="T1095" t="s">
        <v>30</v>
      </c>
      <c r="U1095" t="str">
        <f t="shared" si="51"/>
        <v>Normal</v>
      </c>
      <c r="V1095" t="str">
        <f t="shared" si="52"/>
        <v>Normal</v>
      </c>
      <c r="W1095" t="str">
        <f t="shared" si="53"/>
        <v>Normal</v>
      </c>
    </row>
    <row r="1096" spans="1:23" x14ac:dyDescent="0.3">
      <c r="A1096">
        <v>10017</v>
      </c>
      <c r="B1096" s="2">
        <v>45758</v>
      </c>
      <c r="C1096" t="s">
        <v>20</v>
      </c>
      <c r="D1096" t="s">
        <v>21</v>
      </c>
      <c r="E1096" t="s">
        <v>22</v>
      </c>
      <c r="F1096" t="s">
        <v>23</v>
      </c>
      <c r="G1096" t="s">
        <v>54</v>
      </c>
      <c r="H1096" t="s">
        <v>131</v>
      </c>
      <c r="I1096" t="s">
        <v>171</v>
      </c>
      <c r="J1096">
        <v>1019</v>
      </c>
      <c r="K1096">
        <v>2</v>
      </c>
      <c r="L1096" t="s">
        <v>68</v>
      </c>
      <c r="M1096">
        <v>10</v>
      </c>
      <c r="N1096">
        <v>42.3</v>
      </c>
      <c r="O1096">
        <v>66.8</v>
      </c>
      <c r="P1096">
        <v>6.92</v>
      </c>
      <c r="Q1096">
        <v>3.5</v>
      </c>
      <c r="R1096" t="s">
        <v>227</v>
      </c>
      <c r="S1096" t="s">
        <v>73</v>
      </c>
      <c r="T1096" t="s">
        <v>30</v>
      </c>
      <c r="U1096" t="str">
        <f t="shared" si="51"/>
        <v>Normal</v>
      </c>
      <c r="V1096" t="str">
        <f t="shared" si="52"/>
        <v>Normal</v>
      </c>
      <c r="W1096" t="str">
        <f t="shared" si="53"/>
        <v>Normal</v>
      </c>
    </row>
    <row r="1097" spans="1:23" x14ac:dyDescent="0.3">
      <c r="A1097">
        <v>10393</v>
      </c>
      <c r="B1097" s="2">
        <v>45882</v>
      </c>
      <c r="C1097" t="s">
        <v>20</v>
      </c>
      <c r="D1097" t="s">
        <v>59</v>
      </c>
      <c r="E1097" t="s">
        <v>40</v>
      </c>
      <c r="F1097" t="s">
        <v>41</v>
      </c>
      <c r="G1097" t="s">
        <v>34</v>
      </c>
      <c r="H1097" t="s">
        <v>43</v>
      </c>
      <c r="I1097" t="s">
        <v>226</v>
      </c>
      <c r="J1097">
        <v>1404</v>
      </c>
      <c r="K1097">
        <v>20</v>
      </c>
      <c r="L1097" t="s">
        <v>57</v>
      </c>
      <c r="M1097">
        <v>68</v>
      </c>
      <c r="N1097">
        <v>41.1</v>
      </c>
      <c r="O1097">
        <v>66.8</v>
      </c>
      <c r="P1097">
        <v>3.44</v>
      </c>
      <c r="Q1097">
        <v>4.5599999999999996</v>
      </c>
      <c r="R1097" t="s">
        <v>125</v>
      </c>
      <c r="S1097" t="s">
        <v>29</v>
      </c>
      <c r="T1097" t="s">
        <v>30</v>
      </c>
      <c r="U1097" t="str">
        <f t="shared" si="51"/>
        <v>Normal</v>
      </c>
      <c r="V1097" t="str">
        <f t="shared" si="52"/>
        <v>Normal</v>
      </c>
      <c r="W1097" t="str">
        <f t="shared" si="53"/>
        <v>Normal</v>
      </c>
    </row>
    <row r="1098" spans="1:23" x14ac:dyDescent="0.3">
      <c r="A1098">
        <v>11059</v>
      </c>
      <c r="B1098" s="2">
        <v>46018</v>
      </c>
      <c r="C1098" t="s">
        <v>49</v>
      </c>
      <c r="D1098" t="s">
        <v>32</v>
      </c>
      <c r="E1098" t="s">
        <v>107</v>
      </c>
      <c r="F1098" t="s">
        <v>81</v>
      </c>
      <c r="G1098" t="s">
        <v>89</v>
      </c>
      <c r="H1098" t="s">
        <v>205</v>
      </c>
      <c r="I1098" t="s">
        <v>239</v>
      </c>
      <c r="J1098">
        <v>483</v>
      </c>
      <c r="K1098">
        <v>7</v>
      </c>
      <c r="L1098" t="s">
        <v>37</v>
      </c>
      <c r="M1098">
        <v>166</v>
      </c>
      <c r="N1098">
        <v>46</v>
      </c>
      <c r="O1098">
        <v>66.7</v>
      </c>
      <c r="P1098">
        <v>3.63</v>
      </c>
      <c r="Q1098">
        <v>2.67</v>
      </c>
      <c r="R1098" t="s">
        <v>53</v>
      </c>
      <c r="S1098" t="s">
        <v>39</v>
      </c>
      <c r="T1098" t="s">
        <v>30</v>
      </c>
      <c r="U1098" t="str">
        <f t="shared" si="51"/>
        <v>Normal</v>
      </c>
      <c r="V1098" t="str">
        <f t="shared" si="52"/>
        <v>Normal</v>
      </c>
      <c r="W1098" t="str">
        <f t="shared" si="53"/>
        <v>Normal</v>
      </c>
    </row>
    <row r="1099" spans="1:23" x14ac:dyDescent="0.3">
      <c r="A1099">
        <v>10340</v>
      </c>
      <c r="B1099" s="2">
        <v>45696</v>
      </c>
      <c r="C1099" t="s">
        <v>20</v>
      </c>
      <c r="D1099" t="s">
        <v>59</v>
      </c>
      <c r="E1099" t="s">
        <v>107</v>
      </c>
      <c r="F1099" t="s">
        <v>23</v>
      </c>
      <c r="G1099" t="s">
        <v>134</v>
      </c>
      <c r="H1099" t="s">
        <v>192</v>
      </c>
      <c r="I1099" t="s">
        <v>297</v>
      </c>
      <c r="J1099">
        <v>665</v>
      </c>
      <c r="K1099">
        <v>6</v>
      </c>
      <c r="L1099" t="s">
        <v>27</v>
      </c>
      <c r="M1099">
        <v>176</v>
      </c>
      <c r="N1099">
        <v>44.7</v>
      </c>
      <c r="O1099">
        <v>66.7</v>
      </c>
      <c r="P1099">
        <v>5.4</v>
      </c>
      <c r="Q1099">
        <v>1.91</v>
      </c>
      <c r="R1099" t="s">
        <v>202</v>
      </c>
      <c r="S1099" t="s">
        <v>29</v>
      </c>
      <c r="T1099" t="s">
        <v>30</v>
      </c>
      <c r="U1099" t="str">
        <f t="shared" si="51"/>
        <v>Normal</v>
      </c>
      <c r="V1099" t="str">
        <f t="shared" si="52"/>
        <v>Normal</v>
      </c>
      <c r="W1099" t="str">
        <f t="shared" si="53"/>
        <v>Normal</v>
      </c>
    </row>
    <row r="1100" spans="1:23" x14ac:dyDescent="0.3">
      <c r="A1100">
        <v>10753</v>
      </c>
      <c r="B1100" s="2">
        <v>45861</v>
      </c>
      <c r="C1100" t="s">
        <v>20</v>
      </c>
      <c r="D1100" t="s">
        <v>59</v>
      </c>
      <c r="E1100" t="s">
        <v>40</v>
      </c>
      <c r="F1100" t="s">
        <v>41</v>
      </c>
      <c r="G1100" t="s">
        <v>113</v>
      </c>
      <c r="H1100" t="s">
        <v>138</v>
      </c>
      <c r="I1100" t="s">
        <v>275</v>
      </c>
      <c r="J1100">
        <v>698</v>
      </c>
      <c r="K1100">
        <v>27</v>
      </c>
      <c r="L1100" t="s">
        <v>27</v>
      </c>
      <c r="M1100">
        <v>14</v>
      </c>
      <c r="N1100">
        <v>50.3</v>
      </c>
      <c r="O1100">
        <v>66.7</v>
      </c>
      <c r="P1100">
        <v>4.5199999999999996</v>
      </c>
      <c r="Q1100">
        <v>1.5</v>
      </c>
      <c r="R1100" t="s">
        <v>58</v>
      </c>
      <c r="S1100" t="s">
        <v>47</v>
      </c>
      <c r="T1100" t="s">
        <v>48</v>
      </c>
      <c r="U1100" t="str">
        <f t="shared" si="51"/>
        <v>Normal</v>
      </c>
      <c r="V1100" t="str">
        <f t="shared" si="52"/>
        <v>Normal</v>
      </c>
      <c r="W1100" t="str">
        <f t="shared" si="53"/>
        <v>Normal</v>
      </c>
    </row>
    <row r="1101" spans="1:23" x14ac:dyDescent="0.3">
      <c r="A1101">
        <v>10172</v>
      </c>
      <c r="B1101" s="2">
        <v>45982</v>
      </c>
      <c r="C1101" t="s">
        <v>49</v>
      </c>
      <c r="D1101" t="s">
        <v>64</v>
      </c>
      <c r="E1101" t="s">
        <v>22</v>
      </c>
      <c r="F1101" t="s">
        <v>23</v>
      </c>
      <c r="G1101" t="s">
        <v>34</v>
      </c>
      <c r="H1101" t="s">
        <v>161</v>
      </c>
      <c r="I1101" t="s">
        <v>269</v>
      </c>
      <c r="J1101">
        <v>1018</v>
      </c>
      <c r="K1101">
        <v>2</v>
      </c>
      <c r="L1101" t="s">
        <v>37</v>
      </c>
      <c r="M1101">
        <v>75</v>
      </c>
      <c r="N1101">
        <v>36.200000000000003</v>
      </c>
      <c r="O1101">
        <v>66.7</v>
      </c>
      <c r="P1101">
        <v>3.8</v>
      </c>
      <c r="Q1101">
        <v>2.66</v>
      </c>
      <c r="R1101" t="s">
        <v>119</v>
      </c>
      <c r="S1101" t="s">
        <v>29</v>
      </c>
      <c r="T1101" t="s">
        <v>30</v>
      </c>
      <c r="U1101" t="str">
        <f t="shared" si="51"/>
        <v>Normal</v>
      </c>
      <c r="V1101" t="str">
        <f t="shared" si="52"/>
        <v>Normal</v>
      </c>
      <c r="W1101" t="str">
        <f t="shared" si="53"/>
        <v>Normal</v>
      </c>
    </row>
    <row r="1102" spans="1:23" x14ac:dyDescent="0.3">
      <c r="A1102">
        <v>11099</v>
      </c>
      <c r="B1102" s="2">
        <v>45997</v>
      </c>
      <c r="C1102" t="s">
        <v>49</v>
      </c>
      <c r="D1102" t="s">
        <v>21</v>
      </c>
      <c r="E1102" t="s">
        <v>107</v>
      </c>
      <c r="F1102" t="s">
        <v>23</v>
      </c>
      <c r="G1102" t="s">
        <v>60</v>
      </c>
      <c r="H1102" t="s">
        <v>177</v>
      </c>
      <c r="I1102" t="s">
        <v>358</v>
      </c>
      <c r="J1102">
        <v>619</v>
      </c>
      <c r="K1102">
        <v>9</v>
      </c>
      <c r="L1102" t="s">
        <v>37</v>
      </c>
      <c r="M1102">
        <v>86</v>
      </c>
      <c r="N1102">
        <v>33.6</v>
      </c>
      <c r="O1102">
        <v>66.7</v>
      </c>
      <c r="P1102">
        <v>5.13</v>
      </c>
      <c r="Q1102">
        <v>4.8</v>
      </c>
      <c r="R1102" t="s">
        <v>84</v>
      </c>
      <c r="S1102" t="s">
        <v>29</v>
      </c>
      <c r="T1102" t="s">
        <v>30</v>
      </c>
      <c r="U1102" t="str">
        <f t="shared" si="51"/>
        <v>Normal</v>
      </c>
      <c r="V1102" t="str">
        <f t="shared" si="52"/>
        <v>Normal</v>
      </c>
      <c r="W1102" t="str">
        <f t="shared" si="53"/>
        <v>Normal</v>
      </c>
    </row>
    <row r="1103" spans="1:23" x14ac:dyDescent="0.3">
      <c r="A1103">
        <v>10885</v>
      </c>
      <c r="B1103" s="2">
        <v>45674</v>
      </c>
      <c r="C1103" t="s">
        <v>49</v>
      </c>
      <c r="D1103" t="s">
        <v>59</v>
      </c>
      <c r="E1103" t="s">
        <v>107</v>
      </c>
      <c r="F1103" t="s">
        <v>41</v>
      </c>
      <c r="G1103" t="s">
        <v>34</v>
      </c>
      <c r="H1103" t="s">
        <v>96</v>
      </c>
      <c r="I1103" t="s">
        <v>256</v>
      </c>
      <c r="J1103">
        <v>869</v>
      </c>
      <c r="K1103">
        <v>9</v>
      </c>
      <c r="L1103" t="s">
        <v>57</v>
      </c>
      <c r="M1103">
        <v>11</v>
      </c>
      <c r="N1103">
        <v>56</v>
      </c>
      <c r="O1103">
        <v>66.7</v>
      </c>
      <c r="P1103">
        <v>4.95</v>
      </c>
      <c r="Q1103">
        <v>4.6100000000000003</v>
      </c>
      <c r="R1103" t="s">
        <v>122</v>
      </c>
      <c r="S1103" t="s">
        <v>29</v>
      </c>
      <c r="T1103" t="s">
        <v>30</v>
      </c>
      <c r="U1103" t="str">
        <f t="shared" si="51"/>
        <v>Normal</v>
      </c>
      <c r="V1103" t="str">
        <f t="shared" si="52"/>
        <v>Normal</v>
      </c>
      <c r="W1103" t="str">
        <f t="shared" si="53"/>
        <v>Normal</v>
      </c>
    </row>
    <row r="1104" spans="1:23" x14ac:dyDescent="0.3">
      <c r="A1104">
        <v>11208</v>
      </c>
      <c r="B1104" s="2">
        <v>46011</v>
      </c>
      <c r="C1104" t="s">
        <v>49</v>
      </c>
      <c r="D1104" t="s">
        <v>21</v>
      </c>
      <c r="E1104" t="s">
        <v>33</v>
      </c>
      <c r="F1104" t="s">
        <v>41</v>
      </c>
      <c r="G1104" t="s">
        <v>34</v>
      </c>
      <c r="H1104" t="s">
        <v>126</v>
      </c>
      <c r="I1104" t="s">
        <v>270</v>
      </c>
      <c r="J1104">
        <v>806</v>
      </c>
      <c r="K1104">
        <v>18</v>
      </c>
      <c r="L1104" t="s">
        <v>45</v>
      </c>
      <c r="M1104">
        <v>167</v>
      </c>
      <c r="N1104">
        <v>51.1</v>
      </c>
      <c r="O1104">
        <v>66.7</v>
      </c>
      <c r="P1104">
        <v>4.7300000000000004</v>
      </c>
      <c r="Q1104">
        <v>1.72</v>
      </c>
      <c r="R1104" t="s">
        <v>125</v>
      </c>
      <c r="S1104" t="s">
        <v>47</v>
      </c>
      <c r="T1104" t="s">
        <v>30</v>
      </c>
      <c r="U1104" t="str">
        <f t="shared" si="51"/>
        <v>Normal</v>
      </c>
      <c r="V1104" t="str">
        <f t="shared" si="52"/>
        <v>Normal</v>
      </c>
      <c r="W1104" t="str">
        <f t="shared" si="53"/>
        <v>Normal</v>
      </c>
    </row>
    <row r="1105" spans="1:23" x14ac:dyDescent="0.3">
      <c r="A1105">
        <v>10421</v>
      </c>
      <c r="B1105" s="2">
        <v>45769</v>
      </c>
      <c r="C1105" t="s">
        <v>49</v>
      </c>
      <c r="D1105" t="s">
        <v>64</v>
      </c>
      <c r="E1105" t="s">
        <v>22</v>
      </c>
      <c r="F1105" t="s">
        <v>81</v>
      </c>
      <c r="G1105" t="s">
        <v>134</v>
      </c>
      <c r="H1105" t="s">
        <v>101</v>
      </c>
      <c r="I1105" t="s">
        <v>139</v>
      </c>
      <c r="J1105">
        <v>504</v>
      </c>
      <c r="K1105">
        <v>6</v>
      </c>
      <c r="L1105" t="s">
        <v>45</v>
      </c>
      <c r="M1105">
        <v>81</v>
      </c>
      <c r="N1105">
        <v>28.1</v>
      </c>
      <c r="O1105">
        <v>66.599999999999994</v>
      </c>
      <c r="P1105">
        <v>5.05</v>
      </c>
      <c r="Q1105">
        <v>1.59</v>
      </c>
      <c r="R1105" t="s">
        <v>174</v>
      </c>
      <c r="S1105" t="s">
        <v>73</v>
      </c>
      <c r="T1105" t="s">
        <v>30</v>
      </c>
      <c r="U1105" t="str">
        <f t="shared" si="51"/>
        <v>Normal</v>
      </c>
      <c r="V1105" t="str">
        <f t="shared" si="52"/>
        <v>Normal</v>
      </c>
      <c r="W1105" t="str">
        <f t="shared" si="53"/>
        <v>Normal</v>
      </c>
    </row>
    <row r="1106" spans="1:23" x14ac:dyDescent="0.3">
      <c r="A1106">
        <v>10134</v>
      </c>
      <c r="B1106" s="2">
        <v>45951</v>
      </c>
      <c r="C1106" t="s">
        <v>20</v>
      </c>
      <c r="D1106" t="s">
        <v>59</v>
      </c>
      <c r="E1106" t="s">
        <v>40</v>
      </c>
      <c r="F1106" t="s">
        <v>41</v>
      </c>
      <c r="G1106" t="s">
        <v>95</v>
      </c>
      <c r="H1106" t="s">
        <v>90</v>
      </c>
      <c r="I1106" t="s">
        <v>366</v>
      </c>
      <c r="J1106">
        <v>1435</v>
      </c>
      <c r="K1106">
        <v>20</v>
      </c>
      <c r="L1106" t="s">
        <v>45</v>
      </c>
      <c r="M1106">
        <v>77</v>
      </c>
      <c r="N1106">
        <v>49</v>
      </c>
      <c r="O1106">
        <v>66.599999999999994</v>
      </c>
      <c r="P1106">
        <v>6.31</v>
      </c>
      <c r="Q1106">
        <v>2.52</v>
      </c>
      <c r="R1106" t="s">
        <v>46</v>
      </c>
      <c r="S1106" t="s">
        <v>39</v>
      </c>
      <c r="T1106" t="s">
        <v>30</v>
      </c>
      <c r="U1106" t="str">
        <f t="shared" si="51"/>
        <v>Normal</v>
      </c>
      <c r="V1106" t="str">
        <f t="shared" si="52"/>
        <v>Normal</v>
      </c>
      <c r="W1106" t="str">
        <f t="shared" si="53"/>
        <v>Normal</v>
      </c>
    </row>
    <row r="1107" spans="1:23" x14ac:dyDescent="0.3">
      <c r="A1107">
        <v>10714</v>
      </c>
      <c r="B1107" s="2">
        <v>46019</v>
      </c>
      <c r="C1107" t="s">
        <v>49</v>
      </c>
      <c r="D1107" t="s">
        <v>64</v>
      </c>
      <c r="E1107" t="s">
        <v>40</v>
      </c>
      <c r="F1107" t="s">
        <v>23</v>
      </c>
      <c r="G1107" t="s">
        <v>89</v>
      </c>
      <c r="H1107" t="s">
        <v>169</v>
      </c>
      <c r="I1107" t="s">
        <v>206</v>
      </c>
      <c r="J1107">
        <v>1020</v>
      </c>
      <c r="K1107">
        <v>10</v>
      </c>
      <c r="L1107" t="s">
        <v>27</v>
      </c>
      <c r="M1107">
        <v>132</v>
      </c>
      <c r="N1107">
        <v>42.6</v>
      </c>
      <c r="O1107">
        <v>66.599999999999994</v>
      </c>
      <c r="P1107">
        <v>5.42</v>
      </c>
      <c r="Q1107">
        <v>3.42</v>
      </c>
      <c r="R1107" t="s">
        <v>46</v>
      </c>
      <c r="S1107" t="s">
        <v>73</v>
      </c>
      <c r="T1107" t="s">
        <v>30</v>
      </c>
      <c r="U1107" t="str">
        <f t="shared" si="51"/>
        <v>Normal</v>
      </c>
      <c r="V1107" t="str">
        <f t="shared" si="52"/>
        <v>Normal</v>
      </c>
      <c r="W1107" t="str">
        <f t="shared" si="53"/>
        <v>Normal</v>
      </c>
    </row>
    <row r="1108" spans="1:23" x14ac:dyDescent="0.3">
      <c r="A1108">
        <v>10876</v>
      </c>
      <c r="B1108" s="2">
        <v>45659</v>
      </c>
      <c r="C1108" t="s">
        <v>49</v>
      </c>
      <c r="D1108" t="s">
        <v>59</v>
      </c>
      <c r="E1108" t="s">
        <v>40</v>
      </c>
      <c r="F1108" t="s">
        <v>81</v>
      </c>
      <c r="G1108" t="s">
        <v>60</v>
      </c>
      <c r="H1108" t="s">
        <v>144</v>
      </c>
      <c r="I1108" t="s">
        <v>355</v>
      </c>
      <c r="J1108">
        <v>1091</v>
      </c>
      <c r="K1108">
        <v>8</v>
      </c>
      <c r="L1108" t="s">
        <v>71</v>
      </c>
      <c r="M1108">
        <v>180</v>
      </c>
      <c r="N1108">
        <v>36.1</v>
      </c>
      <c r="O1108">
        <v>66.599999999999994</v>
      </c>
      <c r="P1108">
        <v>5.75</v>
      </c>
      <c r="Q1108">
        <v>3.95</v>
      </c>
      <c r="R1108" t="s">
        <v>195</v>
      </c>
      <c r="S1108" t="s">
        <v>39</v>
      </c>
      <c r="T1108" t="s">
        <v>30</v>
      </c>
      <c r="U1108" t="str">
        <f t="shared" si="51"/>
        <v>Normal</v>
      </c>
      <c r="V1108" t="str">
        <f t="shared" si="52"/>
        <v>Normal</v>
      </c>
      <c r="W1108" t="str">
        <f t="shared" si="53"/>
        <v>Normal</v>
      </c>
    </row>
    <row r="1109" spans="1:23" x14ac:dyDescent="0.3">
      <c r="A1109">
        <v>10128</v>
      </c>
      <c r="B1109" s="2">
        <v>45964</v>
      </c>
      <c r="C1109" t="s">
        <v>49</v>
      </c>
      <c r="D1109" t="s">
        <v>21</v>
      </c>
      <c r="E1109" t="s">
        <v>22</v>
      </c>
      <c r="F1109" t="s">
        <v>41</v>
      </c>
      <c r="G1109" t="s">
        <v>34</v>
      </c>
      <c r="H1109" t="s">
        <v>116</v>
      </c>
      <c r="I1109" t="s">
        <v>261</v>
      </c>
      <c r="J1109">
        <v>1008</v>
      </c>
      <c r="K1109">
        <v>4</v>
      </c>
      <c r="L1109" t="s">
        <v>27</v>
      </c>
      <c r="M1109">
        <v>32</v>
      </c>
      <c r="N1109">
        <v>47.1</v>
      </c>
      <c r="O1109">
        <v>66.599999999999994</v>
      </c>
      <c r="P1109">
        <v>5.03</v>
      </c>
      <c r="Q1109">
        <v>0.88</v>
      </c>
      <c r="R1109" t="s">
        <v>232</v>
      </c>
      <c r="S1109" t="s">
        <v>73</v>
      </c>
      <c r="T1109" t="s">
        <v>30</v>
      </c>
      <c r="U1109" t="str">
        <f t="shared" si="51"/>
        <v>Normal</v>
      </c>
      <c r="V1109" t="str">
        <f t="shared" si="52"/>
        <v>Normal</v>
      </c>
      <c r="W1109" t="str">
        <f t="shared" si="53"/>
        <v>Normal</v>
      </c>
    </row>
    <row r="1110" spans="1:23" x14ac:dyDescent="0.3">
      <c r="A1110">
        <v>10829</v>
      </c>
      <c r="B1110" s="2">
        <v>45659</v>
      </c>
      <c r="C1110" t="s">
        <v>20</v>
      </c>
      <c r="D1110" t="s">
        <v>21</v>
      </c>
      <c r="E1110" t="s">
        <v>33</v>
      </c>
      <c r="F1110" t="s">
        <v>81</v>
      </c>
      <c r="G1110" t="s">
        <v>89</v>
      </c>
      <c r="H1110" t="s">
        <v>69</v>
      </c>
      <c r="I1110" t="s">
        <v>298</v>
      </c>
      <c r="J1110">
        <v>526</v>
      </c>
      <c r="K1110">
        <v>7</v>
      </c>
      <c r="L1110" t="s">
        <v>71</v>
      </c>
      <c r="M1110">
        <v>125</v>
      </c>
      <c r="N1110">
        <v>27.1</v>
      </c>
      <c r="O1110">
        <v>66.5</v>
      </c>
      <c r="P1110">
        <v>6.37</v>
      </c>
      <c r="Q1110">
        <v>4</v>
      </c>
      <c r="R1110" t="s">
        <v>242</v>
      </c>
      <c r="S1110" t="s">
        <v>39</v>
      </c>
      <c r="T1110" t="s">
        <v>30</v>
      </c>
      <c r="U1110" t="str">
        <f t="shared" si="51"/>
        <v>Normal</v>
      </c>
      <c r="V1110" t="str">
        <f t="shared" si="52"/>
        <v>Normal</v>
      </c>
      <c r="W1110" t="str">
        <f t="shared" si="53"/>
        <v>Normal</v>
      </c>
    </row>
    <row r="1111" spans="1:23" x14ac:dyDescent="0.3">
      <c r="A1111">
        <v>10413</v>
      </c>
      <c r="B1111" s="2">
        <v>45843</v>
      </c>
      <c r="C1111" t="s">
        <v>31</v>
      </c>
      <c r="D1111" t="s">
        <v>32</v>
      </c>
      <c r="E1111" t="s">
        <v>107</v>
      </c>
      <c r="F1111" t="s">
        <v>41</v>
      </c>
      <c r="G1111" t="s">
        <v>24</v>
      </c>
      <c r="H1111" t="s">
        <v>90</v>
      </c>
      <c r="I1111" t="s">
        <v>170</v>
      </c>
      <c r="J1111">
        <v>1050</v>
      </c>
      <c r="K1111">
        <v>21</v>
      </c>
      <c r="L1111" t="s">
        <v>27</v>
      </c>
      <c r="M1111">
        <v>65</v>
      </c>
      <c r="N1111">
        <v>33.4</v>
      </c>
      <c r="O1111">
        <v>66.5</v>
      </c>
      <c r="P1111">
        <v>5.57</v>
      </c>
      <c r="Q1111">
        <v>5.1100000000000003</v>
      </c>
      <c r="R1111" t="s">
        <v>128</v>
      </c>
      <c r="S1111" t="s">
        <v>47</v>
      </c>
      <c r="T1111" t="s">
        <v>30</v>
      </c>
      <c r="U1111" t="str">
        <f t="shared" si="51"/>
        <v>Normal</v>
      </c>
      <c r="V1111" t="str">
        <f t="shared" si="52"/>
        <v>Normal</v>
      </c>
      <c r="W1111" t="str">
        <f t="shared" si="53"/>
        <v>Normal</v>
      </c>
    </row>
    <row r="1112" spans="1:23" x14ac:dyDescent="0.3">
      <c r="A1112">
        <v>10533</v>
      </c>
      <c r="B1112" s="2">
        <v>45933</v>
      </c>
      <c r="C1112" t="s">
        <v>31</v>
      </c>
      <c r="D1112" t="s">
        <v>64</v>
      </c>
      <c r="E1112" t="s">
        <v>22</v>
      </c>
      <c r="F1112" t="s">
        <v>23</v>
      </c>
      <c r="G1112" t="s">
        <v>113</v>
      </c>
      <c r="H1112" t="s">
        <v>131</v>
      </c>
      <c r="I1112" t="s">
        <v>269</v>
      </c>
      <c r="J1112">
        <v>887</v>
      </c>
      <c r="K1112">
        <v>9</v>
      </c>
      <c r="L1112" t="s">
        <v>68</v>
      </c>
      <c r="M1112">
        <v>43</v>
      </c>
      <c r="N1112">
        <v>58</v>
      </c>
      <c r="O1112">
        <v>66.400000000000006</v>
      </c>
      <c r="P1112">
        <v>5.23</v>
      </c>
      <c r="Q1112">
        <v>3.21</v>
      </c>
      <c r="R1112" t="s">
        <v>243</v>
      </c>
      <c r="S1112" t="s">
        <v>29</v>
      </c>
      <c r="T1112" t="s">
        <v>30</v>
      </c>
      <c r="U1112" t="str">
        <f t="shared" si="51"/>
        <v>Normal</v>
      </c>
      <c r="V1112" t="str">
        <f t="shared" si="52"/>
        <v>Normal</v>
      </c>
      <c r="W1112" t="str">
        <f t="shared" si="53"/>
        <v>Normal</v>
      </c>
    </row>
    <row r="1113" spans="1:23" x14ac:dyDescent="0.3">
      <c r="A1113">
        <v>11332</v>
      </c>
      <c r="B1113" s="2">
        <v>45696</v>
      </c>
      <c r="C1113" t="s">
        <v>31</v>
      </c>
      <c r="D1113" t="s">
        <v>32</v>
      </c>
      <c r="E1113" t="s">
        <v>107</v>
      </c>
      <c r="F1113" t="s">
        <v>23</v>
      </c>
      <c r="G1113" t="s">
        <v>74</v>
      </c>
      <c r="H1113" t="s">
        <v>131</v>
      </c>
      <c r="I1113" t="s">
        <v>166</v>
      </c>
      <c r="J1113">
        <v>1006</v>
      </c>
      <c r="K1113">
        <v>8</v>
      </c>
      <c r="L1113" t="s">
        <v>68</v>
      </c>
      <c r="M1113">
        <v>154</v>
      </c>
      <c r="N1113">
        <v>39.4</v>
      </c>
      <c r="O1113">
        <v>66.400000000000006</v>
      </c>
      <c r="P1113">
        <v>4.54</v>
      </c>
      <c r="Q1113">
        <v>2.4500000000000002</v>
      </c>
      <c r="R1113" t="s">
        <v>232</v>
      </c>
      <c r="S1113" t="s">
        <v>47</v>
      </c>
      <c r="T1113" t="s">
        <v>30</v>
      </c>
      <c r="U1113" t="str">
        <f t="shared" si="51"/>
        <v>Normal</v>
      </c>
      <c r="V1113" t="str">
        <f t="shared" si="52"/>
        <v>Normal</v>
      </c>
      <c r="W1113" t="str">
        <f t="shared" si="53"/>
        <v>Normal</v>
      </c>
    </row>
    <row r="1114" spans="1:23" x14ac:dyDescent="0.3">
      <c r="A1114">
        <v>10964</v>
      </c>
      <c r="B1114" s="2">
        <v>46009</v>
      </c>
      <c r="C1114" t="s">
        <v>31</v>
      </c>
      <c r="D1114" t="s">
        <v>32</v>
      </c>
      <c r="E1114" t="s">
        <v>22</v>
      </c>
      <c r="F1114" t="s">
        <v>23</v>
      </c>
      <c r="G1114" t="s">
        <v>113</v>
      </c>
      <c r="H1114" t="s">
        <v>101</v>
      </c>
      <c r="I1114" t="s">
        <v>253</v>
      </c>
      <c r="J1114">
        <v>596</v>
      </c>
      <c r="K1114">
        <v>9</v>
      </c>
      <c r="L1114" t="s">
        <v>57</v>
      </c>
      <c r="M1114">
        <v>175</v>
      </c>
      <c r="N1114">
        <v>29.6</v>
      </c>
      <c r="O1114">
        <v>66.400000000000006</v>
      </c>
      <c r="P1114">
        <v>5.71</v>
      </c>
      <c r="Q1114">
        <v>3.36</v>
      </c>
      <c r="R1114" t="s">
        <v>137</v>
      </c>
      <c r="S1114" t="s">
        <v>39</v>
      </c>
      <c r="T1114" t="s">
        <v>30</v>
      </c>
      <c r="U1114" t="str">
        <f t="shared" si="51"/>
        <v>Normal</v>
      </c>
      <c r="V1114" t="str">
        <f t="shared" si="52"/>
        <v>Normal</v>
      </c>
      <c r="W1114" t="str">
        <f t="shared" si="53"/>
        <v>Normal</v>
      </c>
    </row>
    <row r="1115" spans="1:23" x14ac:dyDescent="0.3">
      <c r="A1115">
        <v>11056</v>
      </c>
      <c r="B1115" s="2">
        <v>45678</v>
      </c>
      <c r="C1115" t="s">
        <v>20</v>
      </c>
      <c r="D1115" t="s">
        <v>32</v>
      </c>
      <c r="E1115" t="s">
        <v>107</v>
      </c>
      <c r="F1115" t="s">
        <v>23</v>
      </c>
      <c r="G1115" t="s">
        <v>113</v>
      </c>
      <c r="H1115" t="s">
        <v>161</v>
      </c>
      <c r="I1115" t="s">
        <v>384</v>
      </c>
      <c r="J1115">
        <v>680</v>
      </c>
      <c r="K1115">
        <v>8</v>
      </c>
      <c r="L1115" t="s">
        <v>68</v>
      </c>
      <c r="M1115">
        <v>127</v>
      </c>
      <c r="N1115">
        <v>38.5</v>
      </c>
      <c r="O1115">
        <v>66.400000000000006</v>
      </c>
      <c r="P1115">
        <v>5.2</v>
      </c>
      <c r="Q1115">
        <v>3.36</v>
      </c>
      <c r="R1115" t="s">
        <v>186</v>
      </c>
      <c r="S1115" t="s">
        <v>47</v>
      </c>
      <c r="T1115" t="s">
        <v>30</v>
      </c>
      <c r="U1115" t="str">
        <f t="shared" si="51"/>
        <v>Normal</v>
      </c>
      <c r="V1115" t="str">
        <f t="shared" si="52"/>
        <v>Normal</v>
      </c>
      <c r="W1115" t="str">
        <f t="shared" si="53"/>
        <v>Normal</v>
      </c>
    </row>
    <row r="1116" spans="1:23" x14ac:dyDescent="0.3">
      <c r="A1116">
        <v>10896</v>
      </c>
      <c r="B1116" s="2">
        <v>45955</v>
      </c>
      <c r="C1116" t="s">
        <v>49</v>
      </c>
      <c r="D1116" t="s">
        <v>21</v>
      </c>
      <c r="E1116" t="s">
        <v>33</v>
      </c>
      <c r="F1116" t="s">
        <v>41</v>
      </c>
      <c r="G1116" t="s">
        <v>42</v>
      </c>
      <c r="H1116" t="s">
        <v>165</v>
      </c>
      <c r="I1116" t="s">
        <v>44</v>
      </c>
      <c r="J1116">
        <v>1066</v>
      </c>
      <c r="K1116">
        <v>12</v>
      </c>
      <c r="L1116" t="s">
        <v>71</v>
      </c>
      <c r="M1116">
        <v>114</v>
      </c>
      <c r="N1116">
        <v>39</v>
      </c>
      <c r="O1116">
        <v>66.400000000000006</v>
      </c>
      <c r="P1116">
        <v>5.38</v>
      </c>
      <c r="Q1116">
        <v>3.28</v>
      </c>
      <c r="R1116" t="s">
        <v>137</v>
      </c>
      <c r="S1116" t="s">
        <v>29</v>
      </c>
      <c r="T1116" t="s">
        <v>30</v>
      </c>
      <c r="U1116" t="str">
        <f t="shared" si="51"/>
        <v>Normal</v>
      </c>
      <c r="V1116" t="str">
        <f t="shared" si="52"/>
        <v>Normal</v>
      </c>
      <c r="W1116" t="str">
        <f t="shared" si="53"/>
        <v>Normal</v>
      </c>
    </row>
    <row r="1117" spans="1:23" x14ac:dyDescent="0.3">
      <c r="A1117">
        <v>11194</v>
      </c>
      <c r="B1117" s="2">
        <v>45929</v>
      </c>
      <c r="C1117" t="s">
        <v>49</v>
      </c>
      <c r="D1117" t="s">
        <v>21</v>
      </c>
      <c r="E1117" t="s">
        <v>33</v>
      </c>
      <c r="F1117" t="s">
        <v>23</v>
      </c>
      <c r="G1117" t="s">
        <v>113</v>
      </c>
      <c r="H1117" t="s">
        <v>223</v>
      </c>
      <c r="I1117" t="s">
        <v>299</v>
      </c>
      <c r="J1117">
        <v>820</v>
      </c>
      <c r="K1117">
        <v>7</v>
      </c>
      <c r="L1117" t="s">
        <v>68</v>
      </c>
      <c r="M1117">
        <v>84</v>
      </c>
      <c r="N1117">
        <v>45.7</v>
      </c>
      <c r="O1117">
        <v>66.400000000000006</v>
      </c>
      <c r="P1117">
        <v>4.84</v>
      </c>
      <c r="Q1117">
        <v>3.21</v>
      </c>
      <c r="R1117" t="s">
        <v>72</v>
      </c>
      <c r="S1117" t="s">
        <v>73</v>
      </c>
      <c r="T1117" t="s">
        <v>30</v>
      </c>
      <c r="U1117" t="str">
        <f t="shared" si="51"/>
        <v>Normal</v>
      </c>
      <c r="V1117" t="str">
        <f t="shared" si="52"/>
        <v>Normal</v>
      </c>
      <c r="W1117" t="str">
        <f t="shared" si="53"/>
        <v>Normal</v>
      </c>
    </row>
    <row r="1118" spans="1:23" x14ac:dyDescent="0.3">
      <c r="A1118">
        <v>11195</v>
      </c>
      <c r="B1118" s="2">
        <v>45782</v>
      </c>
      <c r="C1118" t="s">
        <v>31</v>
      </c>
      <c r="D1118" t="s">
        <v>32</v>
      </c>
      <c r="E1118" t="s">
        <v>22</v>
      </c>
      <c r="F1118" t="s">
        <v>23</v>
      </c>
      <c r="G1118" t="s">
        <v>54</v>
      </c>
      <c r="H1118" t="s">
        <v>252</v>
      </c>
      <c r="I1118" t="s">
        <v>94</v>
      </c>
      <c r="J1118">
        <v>972</v>
      </c>
      <c r="K1118">
        <v>14</v>
      </c>
      <c r="L1118" t="s">
        <v>68</v>
      </c>
      <c r="M1118">
        <v>154</v>
      </c>
      <c r="N1118">
        <v>40.200000000000003</v>
      </c>
      <c r="O1118">
        <v>66.400000000000006</v>
      </c>
      <c r="P1118">
        <v>5.17</v>
      </c>
      <c r="Q1118">
        <v>2.08</v>
      </c>
      <c r="R1118" t="s">
        <v>58</v>
      </c>
      <c r="S1118" t="s">
        <v>29</v>
      </c>
      <c r="T1118" t="s">
        <v>30</v>
      </c>
      <c r="U1118" t="str">
        <f t="shared" si="51"/>
        <v>Normal</v>
      </c>
      <c r="V1118" t="str">
        <f t="shared" si="52"/>
        <v>Normal</v>
      </c>
      <c r="W1118" t="str">
        <f t="shared" si="53"/>
        <v>Normal</v>
      </c>
    </row>
    <row r="1119" spans="1:23" x14ac:dyDescent="0.3">
      <c r="A1119">
        <v>10289</v>
      </c>
      <c r="B1119" s="2">
        <v>45966</v>
      </c>
      <c r="C1119" t="s">
        <v>20</v>
      </c>
      <c r="D1119" t="s">
        <v>21</v>
      </c>
      <c r="E1119" t="s">
        <v>33</v>
      </c>
      <c r="F1119" t="s">
        <v>81</v>
      </c>
      <c r="G1119" t="s">
        <v>109</v>
      </c>
      <c r="H1119" t="s">
        <v>93</v>
      </c>
      <c r="I1119" t="s">
        <v>321</v>
      </c>
      <c r="J1119">
        <v>1311</v>
      </c>
      <c r="K1119">
        <v>11</v>
      </c>
      <c r="L1119" t="s">
        <v>37</v>
      </c>
      <c r="M1119">
        <v>17</v>
      </c>
      <c r="N1119">
        <v>34.6</v>
      </c>
      <c r="O1119">
        <v>66.400000000000006</v>
      </c>
      <c r="P1119">
        <v>4.4400000000000004</v>
      </c>
      <c r="Q1119">
        <v>2.84</v>
      </c>
      <c r="R1119" t="s">
        <v>28</v>
      </c>
      <c r="S1119" t="s">
        <v>29</v>
      </c>
      <c r="T1119" t="s">
        <v>30</v>
      </c>
      <c r="U1119" t="str">
        <f t="shared" si="51"/>
        <v>Normal</v>
      </c>
      <c r="V1119" t="str">
        <f t="shared" si="52"/>
        <v>Normal</v>
      </c>
      <c r="W1119" t="str">
        <f t="shared" si="53"/>
        <v>Normal</v>
      </c>
    </row>
    <row r="1120" spans="1:23" x14ac:dyDescent="0.3">
      <c r="A1120">
        <v>11478</v>
      </c>
      <c r="B1120" s="2">
        <v>45943</v>
      </c>
      <c r="C1120" t="s">
        <v>31</v>
      </c>
      <c r="D1120" t="s">
        <v>59</v>
      </c>
      <c r="E1120" t="s">
        <v>107</v>
      </c>
      <c r="F1120" t="s">
        <v>41</v>
      </c>
      <c r="G1120" t="s">
        <v>134</v>
      </c>
      <c r="H1120" t="s">
        <v>161</v>
      </c>
      <c r="I1120" t="s">
        <v>221</v>
      </c>
      <c r="J1120">
        <v>1069</v>
      </c>
      <c r="K1120">
        <v>15</v>
      </c>
      <c r="L1120" t="s">
        <v>68</v>
      </c>
      <c r="M1120">
        <v>41</v>
      </c>
      <c r="N1120">
        <v>47.8</v>
      </c>
      <c r="O1120">
        <v>66.3</v>
      </c>
      <c r="P1120">
        <v>5.57</v>
      </c>
      <c r="Q1120">
        <v>3.36</v>
      </c>
      <c r="R1120" t="s">
        <v>87</v>
      </c>
      <c r="S1120" t="s">
        <v>73</v>
      </c>
      <c r="T1120" t="s">
        <v>30</v>
      </c>
      <c r="U1120" t="str">
        <f t="shared" si="51"/>
        <v>Normal</v>
      </c>
      <c r="V1120" t="str">
        <f t="shared" si="52"/>
        <v>Normal</v>
      </c>
      <c r="W1120" t="str">
        <f t="shared" si="53"/>
        <v>Normal</v>
      </c>
    </row>
    <row r="1121" spans="1:23" x14ac:dyDescent="0.3">
      <c r="A1121">
        <v>10755</v>
      </c>
      <c r="B1121" s="2">
        <v>45760</v>
      </c>
      <c r="C1121" t="s">
        <v>49</v>
      </c>
      <c r="D1121" t="s">
        <v>32</v>
      </c>
      <c r="E1121" t="s">
        <v>40</v>
      </c>
      <c r="F1121" t="s">
        <v>23</v>
      </c>
      <c r="G1121" t="s">
        <v>34</v>
      </c>
      <c r="H1121" t="s">
        <v>175</v>
      </c>
      <c r="I1121" t="s">
        <v>104</v>
      </c>
      <c r="J1121">
        <v>493</v>
      </c>
      <c r="K1121">
        <v>6</v>
      </c>
      <c r="L1121" t="s">
        <v>37</v>
      </c>
      <c r="M1121">
        <v>140</v>
      </c>
      <c r="N1121">
        <v>51.1</v>
      </c>
      <c r="O1121">
        <v>66.3</v>
      </c>
      <c r="P1121">
        <v>5.94</v>
      </c>
      <c r="Q1121">
        <v>4.79</v>
      </c>
      <c r="R1121" t="s">
        <v>147</v>
      </c>
      <c r="S1121" t="s">
        <v>47</v>
      </c>
      <c r="T1121" t="s">
        <v>30</v>
      </c>
      <c r="U1121" t="str">
        <f t="shared" si="51"/>
        <v>Normal</v>
      </c>
      <c r="V1121" t="str">
        <f t="shared" si="52"/>
        <v>Normal</v>
      </c>
      <c r="W1121" t="str">
        <f t="shared" si="53"/>
        <v>Normal</v>
      </c>
    </row>
    <row r="1122" spans="1:23" x14ac:dyDescent="0.3">
      <c r="A1122">
        <v>11101</v>
      </c>
      <c r="B1122" s="2">
        <v>45796</v>
      </c>
      <c r="C1122" t="s">
        <v>20</v>
      </c>
      <c r="D1122" t="s">
        <v>21</v>
      </c>
      <c r="E1122" t="s">
        <v>107</v>
      </c>
      <c r="F1122" t="s">
        <v>23</v>
      </c>
      <c r="G1122" t="s">
        <v>95</v>
      </c>
      <c r="H1122" t="s">
        <v>148</v>
      </c>
      <c r="I1122" t="s">
        <v>270</v>
      </c>
      <c r="J1122">
        <v>1304</v>
      </c>
      <c r="K1122">
        <v>107</v>
      </c>
      <c r="L1122" t="s">
        <v>45</v>
      </c>
      <c r="M1122">
        <v>10</v>
      </c>
      <c r="N1122">
        <v>51.5</v>
      </c>
      <c r="O1122">
        <v>66.3</v>
      </c>
      <c r="P1122">
        <v>5.5</v>
      </c>
      <c r="Q1122">
        <v>1.52</v>
      </c>
      <c r="R1122" t="s">
        <v>28</v>
      </c>
      <c r="S1122" t="s">
        <v>73</v>
      </c>
      <c r="T1122" t="s">
        <v>48</v>
      </c>
      <c r="U1122" t="str">
        <f t="shared" si="51"/>
        <v>Normal</v>
      </c>
      <c r="V1122" t="str">
        <f t="shared" si="52"/>
        <v>Normal</v>
      </c>
      <c r="W1122" t="str">
        <f t="shared" si="53"/>
        <v>Normal</v>
      </c>
    </row>
    <row r="1123" spans="1:23" x14ac:dyDescent="0.3">
      <c r="A1123">
        <v>11009</v>
      </c>
      <c r="B1123" s="2">
        <v>45870</v>
      </c>
      <c r="C1123" t="s">
        <v>31</v>
      </c>
      <c r="D1123" t="s">
        <v>21</v>
      </c>
      <c r="E1123" t="s">
        <v>107</v>
      </c>
      <c r="F1123" t="s">
        <v>23</v>
      </c>
      <c r="G1123" t="s">
        <v>95</v>
      </c>
      <c r="H1123" t="s">
        <v>78</v>
      </c>
      <c r="I1123" t="s">
        <v>127</v>
      </c>
      <c r="J1123">
        <v>814</v>
      </c>
      <c r="K1123">
        <v>14</v>
      </c>
      <c r="L1123" t="s">
        <v>45</v>
      </c>
      <c r="M1123">
        <v>129</v>
      </c>
      <c r="N1123">
        <v>35.799999999999997</v>
      </c>
      <c r="O1123">
        <v>66.3</v>
      </c>
      <c r="P1123">
        <v>5.19</v>
      </c>
      <c r="Q1123">
        <v>2.09</v>
      </c>
      <c r="R1123" t="s">
        <v>63</v>
      </c>
      <c r="S1123" t="s">
        <v>29</v>
      </c>
      <c r="T1123" t="s">
        <v>30</v>
      </c>
      <c r="U1123" t="str">
        <f t="shared" si="51"/>
        <v>Normal</v>
      </c>
      <c r="V1123" t="str">
        <f t="shared" si="52"/>
        <v>Normal</v>
      </c>
      <c r="W1123" t="str">
        <f t="shared" si="53"/>
        <v>Normal</v>
      </c>
    </row>
    <row r="1124" spans="1:23" x14ac:dyDescent="0.3">
      <c r="A1124">
        <v>10953</v>
      </c>
      <c r="B1124" s="2">
        <v>45727</v>
      </c>
      <c r="C1124" t="s">
        <v>49</v>
      </c>
      <c r="D1124" t="s">
        <v>21</v>
      </c>
      <c r="E1124" t="s">
        <v>22</v>
      </c>
      <c r="F1124" t="s">
        <v>23</v>
      </c>
      <c r="G1124" t="s">
        <v>113</v>
      </c>
      <c r="H1124" t="s">
        <v>126</v>
      </c>
      <c r="I1124" t="s">
        <v>146</v>
      </c>
      <c r="J1124">
        <v>473</v>
      </c>
      <c r="K1124">
        <v>36</v>
      </c>
      <c r="L1124" t="s">
        <v>71</v>
      </c>
      <c r="M1124">
        <v>18</v>
      </c>
      <c r="N1124">
        <v>44</v>
      </c>
      <c r="O1124">
        <v>66.2</v>
      </c>
      <c r="P1124">
        <v>4.7300000000000004</v>
      </c>
      <c r="Q1124">
        <v>4.09</v>
      </c>
      <c r="R1124" t="s">
        <v>147</v>
      </c>
      <c r="S1124" t="s">
        <v>73</v>
      </c>
      <c r="T1124" t="s">
        <v>48</v>
      </c>
      <c r="U1124" t="str">
        <f t="shared" si="51"/>
        <v>Normal</v>
      </c>
      <c r="V1124" t="str">
        <f t="shared" si="52"/>
        <v>Normal</v>
      </c>
      <c r="W1124" t="str">
        <f t="shared" si="53"/>
        <v>Normal</v>
      </c>
    </row>
    <row r="1125" spans="1:23" x14ac:dyDescent="0.3">
      <c r="A1125">
        <v>10728</v>
      </c>
      <c r="B1125" s="2">
        <v>45830</v>
      </c>
      <c r="C1125" t="s">
        <v>49</v>
      </c>
      <c r="D1125" t="s">
        <v>59</v>
      </c>
      <c r="E1125" t="s">
        <v>22</v>
      </c>
      <c r="F1125" t="s">
        <v>41</v>
      </c>
      <c r="G1125" t="s">
        <v>34</v>
      </c>
      <c r="H1125" t="s">
        <v>263</v>
      </c>
      <c r="I1125" t="s">
        <v>322</v>
      </c>
      <c r="J1125">
        <v>1470</v>
      </c>
      <c r="K1125">
        <v>57</v>
      </c>
      <c r="L1125" t="s">
        <v>68</v>
      </c>
      <c r="M1125">
        <v>34</v>
      </c>
      <c r="N1125">
        <v>41.3</v>
      </c>
      <c r="O1125">
        <v>66.2</v>
      </c>
      <c r="P1125">
        <v>5.81</v>
      </c>
      <c r="Q1125">
        <v>2.5</v>
      </c>
      <c r="R1125" t="s">
        <v>122</v>
      </c>
      <c r="S1125" t="s">
        <v>47</v>
      </c>
      <c r="T1125" t="s">
        <v>48</v>
      </c>
      <c r="U1125" t="str">
        <f t="shared" si="51"/>
        <v>Normal</v>
      </c>
      <c r="V1125" t="str">
        <f t="shared" si="52"/>
        <v>Normal</v>
      </c>
      <c r="W1125" t="str">
        <f t="shared" si="53"/>
        <v>Normal</v>
      </c>
    </row>
    <row r="1126" spans="1:23" x14ac:dyDescent="0.3">
      <c r="A1126">
        <v>10097</v>
      </c>
      <c r="B1126" s="2">
        <v>45740</v>
      </c>
      <c r="C1126" t="s">
        <v>20</v>
      </c>
      <c r="D1126" t="s">
        <v>32</v>
      </c>
      <c r="E1126" t="s">
        <v>22</v>
      </c>
      <c r="F1126" t="s">
        <v>23</v>
      </c>
      <c r="G1126" t="s">
        <v>95</v>
      </c>
      <c r="H1126" t="s">
        <v>116</v>
      </c>
      <c r="I1126" t="s">
        <v>191</v>
      </c>
      <c r="J1126">
        <v>1227</v>
      </c>
      <c r="K1126">
        <v>6</v>
      </c>
      <c r="L1126" t="s">
        <v>45</v>
      </c>
      <c r="M1126">
        <v>148</v>
      </c>
      <c r="N1126">
        <v>42.1</v>
      </c>
      <c r="O1126">
        <v>66.2</v>
      </c>
      <c r="P1126">
        <v>3.97</v>
      </c>
      <c r="Q1126">
        <v>3.8</v>
      </c>
      <c r="R1126" t="s">
        <v>77</v>
      </c>
      <c r="S1126" t="s">
        <v>47</v>
      </c>
      <c r="T1126" t="s">
        <v>30</v>
      </c>
      <c r="U1126" t="str">
        <f t="shared" si="51"/>
        <v>Normal</v>
      </c>
      <c r="V1126" t="str">
        <f t="shared" si="52"/>
        <v>Normal</v>
      </c>
      <c r="W1126" t="str">
        <f t="shared" si="53"/>
        <v>Normal</v>
      </c>
    </row>
    <row r="1127" spans="1:23" x14ac:dyDescent="0.3">
      <c r="A1127">
        <v>10229</v>
      </c>
      <c r="B1127" s="2">
        <v>45902</v>
      </c>
      <c r="C1127" t="s">
        <v>31</v>
      </c>
      <c r="D1127" t="s">
        <v>32</v>
      </c>
      <c r="E1127" t="s">
        <v>107</v>
      </c>
      <c r="F1127" t="s">
        <v>81</v>
      </c>
      <c r="G1127" t="s">
        <v>50</v>
      </c>
      <c r="H1127" t="s">
        <v>223</v>
      </c>
      <c r="I1127" t="s">
        <v>56</v>
      </c>
      <c r="J1127">
        <v>636</v>
      </c>
      <c r="K1127">
        <v>5</v>
      </c>
      <c r="L1127" t="s">
        <v>57</v>
      </c>
      <c r="M1127">
        <v>75</v>
      </c>
      <c r="N1127">
        <v>46.6</v>
      </c>
      <c r="O1127">
        <v>66.2</v>
      </c>
      <c r="P1127">
        <v>5.67</v>
      </c>
      <c r="Q1127">
        <v>2.36</v>
      </c>
      <c r="R1127" t="s">
        <v>133</v>
      </c>
      <c r="S1127" t="s">
        <v>39</v>
      </c>
      <c r="T1127" t="s">
        <v>30</v>
      </c>
      <c r="U1127" t="str">
        <f t="shared" si="51"/>
        <v>Normal</v>
      </c>
      <c r="V1127" t="str">
        <f t="shared" si="52"/>
        <v>Normal</v>
      </c>
      <c r="W1127" t="str">
        <f t="shared" si="53"/>
        <v>Normal</v>
      </c>
    </row>
    <row r="1128" spans="1:23" x14ac:dyDescent="0.3">
      <c r="A1128">
        <v>10802</v>
      </c>
      <c r="B1128" s="2">
        <v>45675</v>
      </c>
      <c r="C1128" t="s">
        <v>49</v>
      </c>
      <c r="D1128" t="s">
        <v>32</v>
      </c>
      <c r="E1128" t="s">
        <v>22</v>
      </c>
      <c r="F1128" t="s">
        <v>41</v>
      </c>
      <c r="G1128" t="s">
        <v>134</v>
      </c>
      <c r="H1128" t="s">
        <v>69</v>
      </c>
      <c r="I1128" t="s">
        <v>367</v>
      </c>
      <c r="J1128">
        <v>1540</v>
      </c>
      <c r="K1128">
        <v>13</v>
      </c>
      <c r="L1128" t="s">
        <v>57</v>
      </c>
      <c r="M1128">
        <v>58</v>
      </c>
      <c r="N1128">
        <v>37.5</v>
      </c>
      <c r="O1128">
        <v>66.2</v>
      </c>
      <c r="P1128">
        <v>4.78</v>
      </c>
      <c r="Q1128">
        <v>1.3</v>
      </c>
      <c r="R1128" t="s">
        <v>128</v>
      </c>
      <c r="S1128" t="s">
        <v>29</v>
      </c>
      <c r="T1128" t="s">
        <v>30</v>
      </c>
      <c r="U1128" t="str">
        <f t="shared" si="51"/>
        <v>Normal</v>
      </c>
      <c r="V1128" t="str">
        <f t="shared" si="52"/>
        <v>Normal</v>
      </c>
      <c r="W1128" t="str">
        <f t="shared" si="53"/>
        <v>Normal</v>
      </c>
    </row>
    <row r="1129" spans="1:23" x14ac:dyDescent="0.3">
      <c r="A1129">
        <v>11396</v>
      </c>
      <c r="B1129" s="2">
        <v>45683</v>
      </c>
      <c r="C1129" t="s">
        <v>20</v>
      </c>
      <c r="D1129" t="s">
        <v>32</v>
      </c>
      <c r="E1129" t="s">
        <v>33</v>
      </c>
      <c r="F1129" t="s">
        <v>23</v>
      </c>
      <c r="G1129" t="s">
        <v>95</v>
      </c>
      <c r="H1129" t="s">
        <v>252</v>
      </c>
      <c r="I1129" t="s">
        <v>249</v>
      </c>
      <c r="J1129">
        <v>689</v>
      </c>
      <c r="K1129">
        <v>4</v>
      </c>
      <c r="L1129" t="s">
        <v>57</v>
      </c>
      <c r="M1129">
        <v>173</v>
      </c>
      <c r="N1129">
        <v>39.1</v>
      </c>
      <c r="O1129">
        <v>66.2</v>
      </c>
      <c r="P1129">
        <v>4.67</v>
      </c>
      <c r="Q1129">
        <v>2.54</v>
      </c>
      <c r="R1129" t="s">
        <v>87</v>
      </c>
      <c r="S1129" t="s">
        <v>39</v>
      </c>
      <c r="T1129" t="s">
        <v>30</v>
      </c>
      <c r="U1129" t="str">
        <f t="shared" si="51"/>
        <v>Normal</v>
      </c>
      <c r="V1129" t="str">
        <f t="shared" si="52"/>
        <v>Normal</v>
      </c>
      <c r="W1129" t="str">
        <f t="shared" si="53"/>
        <v>Normal</v>
      </c>
    </row>
    <row r="1130" spans="1:23" x14ac:dyDescent="0.3">
      <c r="A1130">
        <v>10493</v>
      </c>
      <c r="B1130" s="2">
        <v>45711</v>
      </c>
      <c r="C1130" t="s">
        <v>49</v>
      </c>
      <c r="D1130" t="s">
        <v>21</v>
      </c>
      <c r="E1130" t="s">
        <v>107</v>
      </c>
      <c r="F1130" t="s">
        <v>81</v>
      </c>
      <c r="G1130" t="s">
        <v>109</v>
      </c>
      <c r="H1130" t="s">
        <v>144</v>
      </c>
      <c r="I1130" t="s">
        <v>293</v>
      </c>
      <c r="J1130">
        <v>1038</v>
      </c>
      <c r="K1130">
        <v>30</v>
      </c>
      <c r="L1130" t="s">
        <v>71</v>
      </c>
      <c r="M1130">
        <v>9</v>
      </c>
      <c r="N1130">
        <v>47.1</v>
      </c>
      <c r="O1130">
        <v>66.2</v>
      </c>
      <c r="P1130">
        <v>4.4800000000000004</v>
      </c>
      <c r="Q1130">
        <v>2.35</v>
      </c>
      <c r="R1130" t="s">
        <v>103</v>
      </c>
      <c r="S1130" t="s">
        <v>73</v>
      </c>
      <c r="T1130" t="s">
        <v>30</v>
      </c>
      <c r="U1130" t="str">
        <f t="shared" si="51"/>
        <v>Normal</v>
      </c>
      <c r="V1130" t="str">
        <f t="shared" si="52"/>
        <v>Normal</v>
      </c>
      <c r="W1130" t="str">
        <f t="shared" si="53"/>
        <v>Normal</v>
      </c>
    </row>
    <row r="1131" spans="1:23" x14ac:dyDescent="0.3">
      <c r="A1131">
        <v>10775</v>
      </c>
      <c r="B1131" s="2">
        <v>45686</v>
      </c>
      <c r="C1131" t="s">
        <v>20</v>
      </c>
      <c r="D1131" t="s">
        <v>21</v>
      </c>
      <c r="E1131" t="s">
        <v>40</v>
      </c>
      <c r="F1131" t="s">
        <v>23</v>
      </c>
      <c r="G1131" t="s">
        <v>54</v>
      </c>
      <c r="H1131" t="s">
        <v>215</v>
      </c>
      <c r="I1131" t="s">
        <v>110</v>
      </c>
      <c r="J1131">
        <v>1099</v>
      </c>
      <c r="K1131">
        <v>5</v>
      </c>
      <c r="L1131" t="s">
        <v>68</v>
      </c>
      <c r="M1131">
        <v>160</v>
      </c>
      <c r="N1131">
        <v>25.3</v>
      </c>
      <c r="O1131">
        <v>66.099999999999994</v>
      </c>
      <c r="P1131">
        <v>5.53</v>
      </c>
      <c r="Q1131">
        <v>1.92</v>
      </c>
      <c r="R1131" t="s">
        <v>245</v>
      </c>
      <c r="S1131" t="s">
        <v>29</v>
      </c>
      <c r="T1131" t="s">
        <v>30</v>
      </c>
      <c r="U1131" t="str">
        <f t="shared" si="51"/>
        <v>Normal</v>
      </c>
      <c r="V1131" t="str">
        <f t="shared" si="52"/>
        <v>Normal</v>
      </c>
      <c r="W1131" t="str">
        <f t="shared" si="53"/>
        <v>Normal</v>
      </c>
    </row>
    <row r="1132" spans="1:23" x14ac:dyDescent="0.3">
      <c r="A1132">
        <v>10067</v>
      </c>
      <c r="B1132" s="2">
        <v>45669</v>
      </c>
      <c r="C1132" t="s">
        <v>49</v>
      </c>
      <c r="D1132" t="s">
        <v>64</v>
      </c>
      <c r="E1132" t="s">
        <v>33</v>
      </c>
      <c r="F1132" t="s">
        <v>41</v>
      </c>
      <c r="G1132" t="s">
        <v>74</v>
      </c>
      <c r="H1132" t="s">
        <v>93</v>
      </c>
      <c r="I1132" t="s">
        <v>83</v>
      </c>
      <c r="J1132">
        <v>727</v>
      </c>
      <c r="K1132">
        <v>10</v>
      </c>
      <c r="L1132" t="s">
        <v>45</v>
      </c>
      <c r="M1132">
        <v>54</v>
      </c>
      <c r="N1132">
        <v>56.1</v>
      </c>
      <c r="O1132">
        <v>66.099999999999994</v>
      </c>
      <c r="P1132">
        <v>3.84</v>
      </c>
      <c r="Q1132">
        <v>4.32</v>
      </c>
      <c r="R1132" t="s">
        <v>167</v>
      </c>
      <c r="S1132" t="s">
        <v>39</v>
      </c>
      <c r="T1132" t="s">
        <v>30</v>
      </c>
      <c r="U1132" t="str">
        <f t="shared" si="51"/>
        <v>Normal</v>
      </c>
      <c r="V1132" t="str">
        <f t="shared" si="52"/>
        <v>Normal</v>
      </c>
      <c r="W1132" t="str">
        <f t="shared" si="53"/>
        <v>Normal</v>
      </c>
    </row>
    <row r="1133" spans="1:23" x14ac:dyDescent="0.3">
      <c r="A1133">
        <v>10784</v>
      </c>
      <c r="B1133" s="2">
        <v>45961</v>
      </c>
      <c r="C1133" t="s">
        <v>31</v>
      </c>
      <c r="D1133" t="s">
        <v>59</v>
      </c>
      <c r="E1133" t="s">
        <v>40</v>
      </c>
      <c r="F1133" t="s">
        <v>23</v>
      </c>
      <c r="G1133" t="s">
        <v>95</v>
      </c>
      <c r="H1133" t="s">
        <v>116</v>
      </c>
      <c r="I1133" t="s">
        <v>297</v>
      </c>
      <c r="J1133">
        <v>816</v>
      </c>
      <c r="K1133">
        <v>5</v>
      </c>
      <c r="L1133" t="s">
        <v>27</v>
      </c>
      <c r="M1133">
        <v>140</v>
      </c>
      <c r="N1133">
        <v>43.1</v>
      </c>
      <c r="O1133">
        <v>66.099999999999994</v>
      </c>
      <c r="P1133">
        <v>4.8</v>
      </c>
      <c r="Q1133">
        <v>1.55</v>
      </c>
      <c r="R1133" t="s">
        <v>46</v>
      </c>
      <c r="S1133" t="s">
        <v>47</v>
      </c>
      <c r="T1133" t="s">
        <v>30</v>
      </c>
      <c r="U1133" t="str">
        <f t="shared" si="51"/>
        <v>Normal</v>
      </c>
      <c r="V1133" t="str">
        <f t="shared" si="52"/>
        <v>Normal</v>
      </c>
      <c r="W1133" t="str">
        <f t="shared" si="53"/>
        <v>Normal</v>
      </c>
    </row>
    <row r="1134" spans="1:23" x14ac:dyDescent="0.3">
      <c r="A1134">
        <v>10117</v>
      </c>
      <c r="B1134" s="2">
        <v>45927</v>
      </c>
      <c r="C1134" t="s">
        <v>31</v>
      </c>
      <c r="D1134" t="s">
        <v>64</v>
      </c>
      <c r="E1134" t="s">
        <v>22</v>
      </c>
      <c r="F1134" t="s">
        <v>41</v>
      </c>
      <c r="G1134" t="s">
        <v>54</v>
      </c>
      <c r="H1134" t="s">
        <v>93</v>
      </c>
      <c r="I1134" t="s">
        <v>322</v>
      </c>
      <c r="J1134">
        <v>1333</v>
      </c>
      <c r="K1134">
        <v>27</v>
      </c>
      <c r="L1134" t="s">
        <v>68</v>
      </c>
      <c r="M1134">
        <v>70</v>
      </c>
      <c r="N1134">
        <v>41.6</v>
      </c>
      <c r="O1134">
        <v>66.099999999999994</v>
      </c>
      <c r="P1134">
        <v>5.27</v>
      </c>
      <c r="Q1134">
        <v>3.77</v>
      </c>
      <c r="R1134" t="s">
        <v>130</v>
      </c>
      <c r="S1134" t="s">
        <v>29</v>
      </c>
      <c r="T1134" t="s">
        <v>30</v>
      </c>
      <c r="U1134" t="str">
        <f t="shared" si="51"/>
        <v>Normal</v>
      </c>
      <c r="V1134" t="str">
        <f t="shared" si="52"/>
        <v>Normal</v>
      </c>
      <c r="W1134" t="str">
        <f t="shared" si="53"/>
        <v>Normal</v>
      </c>
    </row>
    <row r="1135" spans="1:23" x14ac:dyDescent="0.3">
      <c r="A1135">
        <v>10088</v>
      </c>
      <c r="B1135" s="2">
        <v>45757</v>
      </c>
      <c r="C1135" t="s">
        <v>31</v>
      </c>
      <c r="D1135" t="s">
        <v>59</v>
      </c>
      <c r="E1135" t="s">
        <v>22</v>
      </c>
      <c r="F1135" t="s">
        <v>23</v>
      </c>
      <c r="G1135" t="s">
        <v>34</v>
      </c>
      <c r="H1135" t="s">
        <v>101</v>
      </c>
      <c r="I1135" t="s">
        <v>182</v>
      </c>
      <c r="J1135">
        <v>601</v>
      </c>
      <c r="K1135">
        <v>4</v>
      </c>
      <c r="L1135" t="s">
        <v>71</v>
      </c>
      <c r="M1135">
        <v>73</v>
      </c>
      <c r="N1135">
        <v>45.7</v>
      </c>
      <c r="O1135">
        <v>66.099999999999994</v>
      </c>
      <c r="P1135">
        <v>4.92</v>
      </c>
      <c r="Q1135">
        <v>3.3</v>
      </c>
      <c r="R1135" t="s">
        <v>245</v>
      </c>
      <c r="S1135" t="s">
        <v>29</v>
      </c>
      <c r="T1135" t="s">
        <v>30</v>
      </c>
      <c r="U1135" t="str">
        <f t="shared" si="51"/>
        <v>Normal</v>
      </c>
      <c r="V1135" t="str">
        <f t="shared" si="52"/>
        <v>Normal</v>
      </c>
      <c r="W1135" t="str">
        <f t="shared" si="53"/>
        <v>Normal</v>
      </c>
    </row>
    <row r="1136" spans="1:23" x14ac:dyDescent="0.3">
      <c r="A1136">
        <v>10975</v>
      </c>
      <c r="B1136" s="2">
        <v>45959</v>
      </c>
      <c r="C1136" t="s">
        <v>31</v>
      </c>
      <c r="D1136" t="s">
        <v>21</v>
      </c>
      <c r="E1136" t="s">
        <v>33</v>
      </c>
      <c r="F1136" t="s">
        <v>41</v>
      </c>
      <c r="G1136" t="s">
        <v>95</v>
      </c>
      <c r="H1136" t="s">
        <v>51</v>
      </c>
      <c r="I1136" t="s">
        <v>197</v>
      </c>
      <c r="J1136">
        <v>1286</v>
      </c>
      <c r="K1136">
        <v>14</v>
      </c>
      <c r="L1136" t="s">
        <v>37</v>
      </c>
      <c r="M1136">
        <v>138</v>
      </c>
      <c r="N1136">
        <v>35.5</v>
      </c>
      <c r="O1136">
        <v>66</v>
      </c>
      <c r="P1136">
        <v>5.62</v>
      </c>
      <c r="Q1136">
        <v>4.07</v>
      </c>
      <c r="R1136" t="s">
        <v>92</v>
      </c>
      <c r="S1136" t="s">
        <v>29</v>
      </c>
      <c r="T1136" t="s">
        <v>30</v>
      </c>
      <c r="U1136" t="str">
        <f t="shared" si="51"/>
        <v>Normal</v>
      </c>
      <c r="V1136" t="str">
        <f t="shared" si="52"/>
        <v>Normal</v>
      </c>
      <c r="W1136" t="str">
        <f t="shared" si="53"/>
        <v>Normal</v>
      </c>
    </row>
    <row r="1137" spans="1:23" x14ac:dyDescent="0.3">
      <c r="A1137">
        <v>10694</v>
      </c>
      <c r="B1137" s="2">
        <v>45993</v>
      </c>
      <c r="C1137" t="s">
        <v>31</v>
      </c>
      <c r="D1137" t="s">
        <v>32</v>
      </c>
      <c r="E1137" t="s">
        <v>33</v>
      </c>
      <c r="F1137" t="s">
        <v>41</v>
      </c>
      <c r="G1137" t="s">
        <v>54</v>
      </c>
      <c r="H1137" t="s">
        <v>141</v>
      </c>
      <c r="I1137" t="s">
        <v>26</v>
      </c>
      <c r="J1137">
        <v>1297</v>
      </c>
      <c r="K1137">
        <v>18</v>
      </c>
      <c r="L1137" t="s">
        <v>27</v>
      </c>
      <c r="M1137">
        <v>60</v>
      </c>
      <c r="N1137">
        <v>46.6</v>
      </c>
      <c r="O1137">
        <v>66</v>
      </c>
      <c r="P1137">
        <v>5.65</v>
      </c>
      <c r="Q1137">
        <v>2.73</v>
      </c>
      <c r="R1137" t="s">
        <v>152</v>
      </c>
      <c r="S1137" t="s">
        <v>73</v>
      </c>
      <c r="T1137" t="s">
        <v>30</v>
      </c>
      <c r="U1137" t="str">
        <f t="shared" si="51"/>
        <v>Normal</v>
      </c>
      <c r="V1137" t="str">
        <f t="shared" si="52"/>
        <v>Normal</v>
      </c>
      <c r="W1137" t="str">
        <f t="shared" si="53"/>
        <v>Normal</v>
      </c>
    </row>
    <row r="1138" spans="1:23" x14ac:dyDescent="0.3">
      <c r="A1138">
        <v>10723</v>
      </c>
      <c r="B1138" s="2">
        <v>45957</v>
      </c>
      <c r="C1138" t="s">
        <v>31</v>
      </c>
      <c r="D1138" t="s">
        <v>32</v>
      </c>
      <c r="E1138" t="s">
        <v>22</v>
      </c>
      <c r="F1138" t="s">
        <v>41</v>
      </c>
      <c r="G1138" t="s">
        <v>54</v>
      </c>
      <c r="H1138" t="s">
        <v>51</v>
      </c>
      <c r="I1138" t="s">
        <v>206</v>
      </c>
      <c r="J1138">
        <v>480</v>
      </c>
      <c r="K1138">
        <v>5</v>
      </c>
      <c r="L1138" t="s">
        <v>37</v>
      </c>
      <c r="M1138">
        <v>38</v>
      </c>
      <c r="N1138">
        <v>46.6</v>
      </c>
      <c r="O1138">
        <v>66</v>
      </c>
      <c r="P1138">
        <v>5.39</v>
      </c>
      <c r="Q1138">
        <v>4.3099999999999996</v>
      </c>
      <c r="R1138" t="s">
        <v>72</v>
      </c>
      <c r="S1138" t="s">
        <v>73</v>
      </c>
      <c r="T1138" t="s">
        <v>30</v>
      </c>
      <c r="U1138" t="str">
        <f t="shared" si="51"/>
        <v>Normal</v>
      </c>
      <c r="V1138" t="str">
        <f t="shared" si="52"/>
        <v>Normal</v>
      </c>
      <c r="W1138" t="str">
        <f t="shared" si="53"/>
        <v>Normal</v>
      </c>
    </row>
    <row r="1139" spans="1:23" x14ac:dyDescent="0.3">
      <c r="A1139">
        <v>11112</v>
      </c>
      <c r="B1139" s="2">
        <v>45822</v>
      </c>
      <c r="C1139" t="s">
        <v>49</v>
      </c>
      <c r="D1139" t="s">
        <v>64</v>
      </c>
      <c r="E1139" t="s">
        <v>107</v>
      </c>
      <c r="F1139" t="s">
        <v>23</v>
      </c>
      <c r="G1139" t="s">
        <v>89</v>
      </c>
      <c r="H1139" t="s">
        <v>51</v>
      </c>
      <c r="I1139" t="s">
        <v>376</v>
      </c>
      <c r="J1139">
        <v>915</v>
      </c>
      <c r="K1139">
        <v>9</v>
      </c>
      <c r="L1139" t="s">
        <v>71</v>
      </c>
      <c r="M1139">
        <v>34</v>
      </c>
      <c r="N1139">
        <v>47.6</v>
      </c>
      <c r="O1139">
        <v>66</v>
      </c>
      <c r="P1139">
        <v>5.1100000000000003</v>
      </c>
      <c r="Q1139">
        <v>2.83</v>
      </c>
      <c r="R1139" t="s">
        <v>195</v>
      </c>
      <c r="S1139" t="s">
        <v>73</v>
      </c>
      <c r="T1139" t="s">
        <v>30</v>
      </c>
      <c r="U1139" t="str">
        <f t="shared" si="51"/>
        <v>Normal</v>
      </c>
      <c r="V1139" t="str">
        <f t="shared" si="52"/>
        <v>Normal</v>
      </c>
      <c r="W1139" t="str">
        <f t="shared" si="53"/>
        <v>Normal</v>
      </c>
    </row>
    <row r="1140" spans="1:23" x14ac:dyDescent="0.3">
      <c r="A1140">
        <v>10653</v>
      </c>
      <c r="B1140" s="2">
        <v>45702</v>
      </c>
      <c r="C1140" t="s">
        <v>49</v>
      </c>
      <c r="D1140" t="s">
        <v>64</v>
      </c>
      <c r="E1140" t="s">
        <v>22</v>
      </c>
      <c r="F1140" t="s">
        <v>81</v>
      </c>
      <c r="G1140" t="s">
        <v>74</v>
      </c>
      <c r="H1140" t="s">
        <v>205</v>
      </c>
      <c r="I1140" t="s">
        <v>258</v>
      </c>
      <c r="J1140">
        <v>1292</v>
      </c>
      <c r="K1140">
        <v>14</v>
      </c>
      <c r="L1140" t="s">
        <v>68</v>
      </c>
      <c r="M1140">
        <v>78</v>
      </c>
      <c r="N1140">
        <v>40.1</v>
      </c>
      <c r="O1140">
        <v>66</v>
      </c>
      <c r="P1140">
        <v>5.0199999999999996</v>
      </c>
      <c r="Q1140">
        <v>2.75</v>
      </c>
      <c r="R1140" t="s">
        <v>179</v>
      </c>
      <c r="S1140" t="s">
        <v>39</v>
      </c>
      <c r="T1140" t="s">
        <v>30</v>
      </c>
      <c r="U1140" t="str">
        <f t="shared" si="51"/>
        <v>Normal</v>
      </c>
      <c r="V1140" t="str">
        <f t="shared" si="52"/>
        <v>Normal</v>
      </c>
      <c r="W1140" t="str">
        <f t="shared" si="53"/>
        <v>Normal</v>
      </c>
    </row>
    <row r="1141" spans="1:23" x14ac:dyDescent="0.3">
      <c r="A1141">
        <v>10177</v>
      </c>
      <c r="B1141" s="2">
        <v>45821</v>
      </c>
      <c r="C1141" t="s">
        <v>31</v>
      </c>
      <c r="D1141" t="s">
        <v>32</v>
      </c>
      <c r="E1141" t="s">
        <v>22</v>
      </c>
      <c r="F1141" t="s">
        <v>81</v>
      </c>
      <c r="G1141" t="s">
        <v>95</v>
      </c>
      <c r="H1141" t="s">
        <v>101</v>
      </c>
      <c r="I1141" t="s">
        <v>239</v>
      </c>
      <c r="J1141">
        <v>780</v>
      </c>
      <c r="K1141">
        <v>19</v>
      </c>
      <c r="L1141" t="s">
        <v>71</v>
      </c>
      <c r="M1141">
        <v>69</v>
      </c>
      <c r="N1141">
        <v>48.8</v>
      </c>
      <c r="O1141">
        <v>66</v>
      </c>
      <c r="P1141">
        <v>4.0999999999999996</v>
      </c>
      <c r="Q1141">
        <v>2.4300000000000002</v>
      </c>
      <c r="R1141" t="s">
        <v>242</v>
      </c>
      <c r="S1141" t="s">
        <v>73</v>
      </c>
      <c r="T1141" t="s">
        <v>30</v>
      </c>
      <c r="U1141" t="str">
        <f t="shared" si="51"/>
        <v>Normal</v>
      </c>
      <c r="V1141" t="str">
        <f t="shared" si="52"/>
        <v>Normal</v>
      </c>
      <c r="W1141" t="str">
        <f t="shared" si="53"/>
        <v>Normal</v>
      </c>
    </row>
    <row r="1142" spans="1:23" x14ac:dyDescent="0.3">
      <c r="A1142">
        <v>11339</v>
      </c>
      <c r="B1142" s="2">
        <v>45874</v>
      </c>
      <c r="C1142" t="s">
        <v>31</v>
      </c>
      <c r="D1142" t="s">
        <v>32</v>
      </c>
      <c r="E1142" t="s">
        <v>107</v>
      </c>
      <c r="F1142" t="s">
        <v>81</v>
      </c>
      <c r="G1142" t="s">
        <v>42</v>
      </c>
      <c r="H1142" t="s">
        <v>88</v>
      </c>
      <c r="I1142" t="s">
        <v>97</v>
      </c>
      <c r="J1142">
        <v>1572</v>
      </c>
      <c r="K1142">
        <v>7</v>
      </c>
      <c r="L1142" t="s">
        <v>57</v>
      </c>
      <c r="M1142">
        <v>161</v>
      </c>
      <c r="N1142">
        <v>43</v>
      </c>
      <c r="O1142">
        <v>66</v>
      </c>
      <c r="P1142">
        <v>5.83</v>
      </c>
      <c r="Q1142">
        <v>1.53</v>
      </c>
      <c r="R1142" t="s">
        <v>46</v>
      </c>
      <c r="S1142" t="s">
        <v>39</v>
      </c>
      <c r="T1142" t="s">
        <v>30</v>
      </c>
      <c r="U1142" t="str">
        <f t="shared" si="51"/>
        <v>Normal</v>
      </c>
      <c r="V1142" t="str">
        <f t="shared" si="52"/>
        <v>Normal</v>
      </c>
      <c r="W1142" t="str">
        <f t="shared" si="53"/>
        <v>Normal</v>
      </c>
    </row>
    <row r="1143" spans="1:23" x14ac:dyDescent="0.3">
      <c r="A1143">
        <v>10510</v>
      </c>
      <c r="B1143" s="2">
        <v>45851</v>
      </c>
      <c r="C1143" t="s">
        <v>49</v>
      </c>
      <c r="D1143" t="s">
        <v>64</v>
      </c>
      <c r="E1143" t="s">
        <v>107</v>
      </c>
      <c r="F1143" t="s">
        <v>23</v>
      </c>
      <c r="G1143" t="s">
        <v>24</v>
      </c>
      <c r="H1143" t="s">
        <v>172</v>
      </c>
      <c r="I1143" t="s">
        <v>194</v>
      </c>
      <c r="J1143">
        <v>1256</v>
      </c>
      <c r="K1143">
        <v>44</v>
      </c>
      <c r="L1143" t="s">
        <v>57</v>
      </c>
      <c r="M1143">
        <v>169</v>
      </c>
      <c r="N1143">
        <v>44.1</v>
      </c>
      <c r="O1143">
        <v>66</v>
      </c>
      <c r="P1143">
        <v>5.61</v>
      </c>
      <c r="Q1143">
        <v>3.67</v>
      </c>
      <c r="R1143" t="s">
        <v>28</v>
      </c>
      <c r="S1143" t="s">
        <v>39</v>
      </c>
      <c r="T1143" t="s">
        <v>48</v>
      </c>
      <c r="U1143" t="str">
        <f t="shared" si="51"/>
        <v>Normal</v>
      </c>
      <c r="V1143" t="str">
        <f t="shared" si="52"/>
        <v>Normal</v>
      </c>
      <c r="W1143" t="str">
        <f t="shared" si="53"/>
        <v>Normal</v>
      </c>
    </row>
    <row r="1144" spans="1:23" x14ac:dyDescent="0.3">
      <c r="A1144">
        <v>10407</v>
      </c>
      <c r="B1144" s="2">
        <v>45982</v>
      </c>
      <c r="C1144" t="s">
        <v>20</v>
      </c>
      <c r="D1144" t="s">
        <v>64</v>
      </c>
      <c r="E1144" t="s">
        <v>107</v>
      </c>
      <c r="F1144" t="s">
        <v>23</v>
      </c>
      <c r="G1144" t="s">
        <v>24</v>
      </c>
      <c r="H1144" t="s">
        <v>141</v>
      </c>
      <c r="I1144" t="s">
        <v>330</v>
      </c>
      <c r="J1144">
        <v>1496</v>
      </c>
      <c r="K1144">
        <v>8</v>
      </c>
      <c r="L1144" t="s">
        <v>71</v>
      </c>
      <c r="M1144">
        <v>17</v>
      </c>
      <c r="N1144">
        <v>39.200000000000003</v>
      </c>
      <c r="O1144">
        <v>66</v>
      </c>
      <c r="P1144">
        <v>5.12</v>
      </c>
      <c r="Q1144">
        <v>3.47</v>
      </c>
      <c r="R1144" t="s">
        <v>227</v>
      </c>
      <c r="S1144" t="s">
        <v>73</v>
      </c>
      <c r="T1144" t="s">
        <v>30</v>
      </c>
      <c r="U1144" t="str">
        <f t="shared" si="51"/>
        <v>Normal</v>
      </c>
      <c r="V1144" t="str">
        <f t="shared" si="52"/>
        <v>Normal</v>
      </c>
      <c r="W1144" t="str">
        <f t="shared" si="53"/>
        <v>Normal</v>
      </c>
    </row>
    <row r="1145" spans="1:23" x14ac:dyDescent="0.3">
      <c r="A1145">
        <v>10683</v>
      </c>
      <c r="B1145" s="2">
        <v>45786</v>
      </c>
      <c r="C1145" t="s">
        <v>20</v>
      </c>
      <c r="D1145" t="s">
        <v>32</v>
      </c>
      <c r="E1145" t="s">
        <v>22</v>
      </c>
      <c r="F1145" t="s">
        <v>81</v>
      </c>
      <c r="G1145" t="s">
        <v>24</v>
      </c>
      <c r="H1145" t="s">
        <v>78</v>
      </c>
      <c r="I1145" t="s">
        <v>303</v>
      </c>
      <c r="J1145">
        <v>534</v>
      </c>
      <c r="K1145">
        <v>7</v>
      </c>
      <c r="L1145" t="s">
        <v>71</v>
      </c>
      <c r="M1145">
        <v>75</v>
      </c>
      <c r="N1145">
        <v>37.799999999999997</v>
      </c>
      <c r="O1145">
        <v>65.900000000000006</v>
      </c>
      <c r="P1145">
        <v>5.14</v>
      </c>
      <c r="Q1145">
        <v>4.12</v>
      </c>
      <c r="R1145" t="s">
        <v>87</v>
      </c>
      <c r="S1145" t="s">
        <v>29</v>
      </c>
      <c r="T1145" t="s">
        <v>30</v>
      </c>
      <c r="U1145" t="str">
        <f t="shared" si="51"/>
        <v>Normal</v>
      </c>
      <c r="V1145" t="str">
        <f t="shared" si="52"/>
        <v>Normal</v>
      </c>
      <c r="W1145" t="str">
        <f t="shared" si="53"/>
        <v>Normal</v>
      </c>
    </row>
    <row r="1146" spans="1:23" x14ac:dyDescent="0.3">
      <c r="A1146">
        <v>10544</v>
      </c>
      <c r="B1146" s="2">
        <v>45789</v>
      </c>
      <c r="C1146" t="s">
        <v>20</v>
      </c>
      <c r="D1146" t="s">
        <v>59</v>
      </c>
      <c r="E1146" t="s">
        <v>107</v>
      </c>
      <c r="F1146" t="s">
        <v>23</v>
      </c>
      <c r="G1146" t="s">
        <v>95</v>
      </c>
      <c r="H1146" t="s">
        <v>93</v>
      </c>
      <c r="I1146" t="s">
        <v>339</v>
      </c>
      <c r="J1146">
        <v>1069</v>
      </c>
      <c r="K1146">
        <v>3</v>
      </c>
      <c r="L1146" t="s">
        <v>45</v>
      </c>
      <c r="M1146">
        <v>135</v>
      </c>
      <c r="N1146">
        <v>44.2</v>
      </c>
      <c r="O1146">
        <v>65.900000000000006</v>
      </c>
      <c r="P1146">
        <v>6.08</v>
      </c>
      <c r="Q1146">
        <v>1.98</v>
      </c>
      <c r="R1146" t="s">
        <v>103</v>
      </c>
      <c r="S1146" t="s">
        <v>39</v>
      </c>
      <c r="T1146" t="s">
        <v>30</v>
      </c>
      <c r="U1146" t="str">
        <f t="shared" si="51"/>
        <v>Normal</v>
      </c>
      <c r="V1146" t="str">
        <f t="shared" si="52"/>
        <v>Normal</v>
      </c>
      <c r="W1146" t="str">
        <f t="shared" si="53"/>
        <v>Normal</v>
      </c>
    </row>
    <row r="1147" spans="1:23" x14ac:dyDescent="0.3">
      <c r="A1147">
        <v>11302</v>
      </c>
      <c r="B1147" s="2">
        <v>45738</v>
      </c>
      <c r="C1147" t="s">
        <v>31</v>
      </c>
      <c r="D1147" t="s">
        <v>32</v>
      </c>
      <c r="E1147" t="s">
        <v>22</v>
      </c>
      <c r="F1147" t="s">
        <v>41</v>
      </c>
      <c r="G1147" t="s">
        <v>60</v>
      </c>
      <c r="H1147" t="s">
        <v>161</v>
      </c>
      <c r="I1147" t="s">
        <v>308</v>
      </c>
      <c r="J1147">
        <v>478</v>
      </c>
      <c r="K1147">
        <v>2</v>
      </c>
      <c r="L1147" t="s">
        <v>45</v>
      </c>
      <c r="M1147">
        <v>111</v>
      </c>
      <c r="N1147">
        <v>35.700000000000003</v>
      </c>
      <c r="O1147">
        <v>65.900000000000006</v>
      </c>
      <c r="P1147">
        <v>4.0999999999999996</v>
      </c>
      <c r="Q1147">
        <v>2.25</v>
      </c>
      <c r="R1147" t="s">
        <v>222</v>
      </c>
      <c r="S1147" t="s">
        <v>29</v>
      </c>
      <c r="T1147" t="s">
        <v>30</v>
      </c>
      <c r="U1147" t="str">
        <f t="shared" si="51"/>
        <v>Normal</v>
      </c>
      <c r="V1147" t="str">
        <f t="shared" si="52"/>
        <v>Normal</v>
      </c>
      <c r="W1147" t="str">
        <f t="shared" si="53"/>
        <v>Normal</v>
      </c>
    </row>
    <row r="1148" spans="1:23" x14ac:dyDescent="0.3">
      <c r="A1148">
        <v>11450</v>
      </c>
      <c r="B1148" s="2">
        <v>45877</v>
      </c>
      <c r="C1148" t="s">
        <v>20</v>
      </c>
      <c r="D1148" t="s">
        <v>21</v>
      </c>
      <c r="E1148" t="s">
        <v>33</v>
      </c>
      <c r="F1148" t="s">
        <v>41</v>
      </c>
      <c r="G1148" t="s">
        <v>24</v>
      </c>
      <c r="H1148" t="s">
        <v>252</v>
      </c>
      <c r="I1148" t="s">
        <v>366</v>
      </c>
      <c r="J1148">
        <v>1443</v>
      </c>
      <c r="K1148">
        <v>47</v>
      </c>
      <c r="L1148" t="s">
        <v>71</v>
      </c>
      <c r="M1148">
        <v>154</v>
      </c>
      <c r="N1148">
        <v>49.4</v>
      </c>
      <c r="O1148">
        <v>65.900000000000006</v>
      </c>
      <c r="P1148">
        <v>5.08</v>
      </c>
      <c r="Q1148">
        <v>3.01</v>
      </c>
      <c r="R1148" t="s">
        <v>140</v>
      </c>
      <c r="S1148" t="s">
        <v>47</v>
      </c>
      <c r="T1148" t="s">
        <v>48</v>
      </c>
      <c r="U1148" t="str">
        <f t="shared" si="51"/>
        <v>Normal</v>
      </c>
      <c r="V1148" t="str">
        <f t="shared" si="52"/>
        <v>Normal</v>
      </c>
      <c r="W1148" t="str">
        <f t="shared" si="53"/>
        <v>Normal</v>
      </c>
    </row>
    <row r="1149" spans="1:23" x14ac:dyDescent="0.3">
      <c r="A1149">
        <v>11321</v>
      </c>
      <c r="B1149" s="2">
        <v>45903</v>
      </c>
      <c r="C1149" t="s">
        <v>49</v>
      </c>
      <c r="D1149" t="s">
        <v>59</v>
      </c>
      <c r="E1149" t="s">
        <v>22</v>
      </c>
      <c r="F1149" t="s">
        <v>81</v>
      </c>
      <c r="G1149" t="s">
        <v>42</v>
      </c>
      <c r="H1149" t="s">
        <v>141</v>
      </c>
      <c r="I1149" t="s">
        <v>166</v>
      </c>
      <c r="J1149">
        <v>800</v>
      </c>
      <c r="K1149">
        <v>7</v>
      </c>
      <c r="L1149" t="s">
        <v>68</v>
      </c>
      <c r="M1149">
        <v>170</v>
      </c>
      <c r="N1149">
        <v>36.6</v>
      </c>
      <c r="O1149">
        <v>65.900000000000006</v>
      </c>
      <c r="P1149">
        <v>5.93</v>
      </c>
      <c r="Q1149">
        <v>3.18</v>
      </c>
      <c r="R1149" t="s">
        <v>152</v>
      </c>
      <c r="S1149" t="s">
        <v>29</v>
      </c>
      <c r="T1149" t="s">
        <v>30</v>
      </c>
      <c r="U1149" t="str">
        <f t="shared" si="51"/>
        <v>Normal</v>
      </c>
      <c r="V1149" t="str">
        <f t="shared" si="52"/>
        <v>Normal</v>
      </c>
      <c r="W1149" t="str">
        <f t="shared" si="53"/>
        <v>Normal</v>
      </c>
    </row>
    <row r="1150" spans="1:23" x14ac:dyDescent="0.3">
      <c r="A1150">
        <v>11344</v>
      </c>
      <c r="B1150" s="2">
        <v>45788</v>
      </c>
      <c r="C1150" t="s">
        <v>49</v>
      </c>
      <c r="D1150" t="s">
        <v>32</v>
      </c>
      <c r="E1150" t="s">
        <v>107</v>
      </c>
      <c r="F1150" t="s">
        <v>41</v>
      </c>
      <c r="G1150" t="s">
        <v>50</v>
      </c>
      <c r="H1150" t="s">
        <v>126</v>
      </c>
      <c r="I1150" t="s">
        <v>208</v>
      </c>
      <c r="J1150">
        <v>1111</v>
      </c>
      <c r="K1150">
        <v>25</v>
      </c>
      <c r="L1150" t="s">
        <v>27</v>
      </c>
      <c r="M1150">
        <v>32</v>
      </c>
      <c r="N1150">
        <v>50.6</v>
      </c>
      <c r="O1150">
        <v>65.900000000000006</v>
      </c>
      <c r="P1150">
        <v>5.14</v>
      </c>
      <c r="Q1150">
        <v>3.38</v>
      </c>
      <c r="R1150" t="s">
        <v>84</v>
      </c>
      <c r="S1150" t="s">
        <v>73</v>
      </c>
      <c r="T1150" t="s">
        <v>30</v>
      </c>
      <c r="U1150" t="str">
        <f t="shared" si="51"/>
        <v>Normal</v>
      </c>
      <c r="V1150" t="str">
        <f t="shared" si="52"/>
        <v>Normal</v>
      </c>
      <c r="W1150" t="str">
        <f t="shared" si="53"/>
        <v>Normal</v>
      </c>
    </row>
    <row r="1151" spans="1:23" x14ac:dyDescent="0.3">
      <c r="A1151">
        <v>11026</v>
      </c>
      <c r="B1151" s="2">
        <v>45936</v>
      </c>
      <c r="C1151" t="s">
        <v>31</v>
      </c>
      <c r="D1151" t="s">
        <v>59</v>
      </c>
      <c r="E1151" t="s">
        <v>33</v>
      </c>
      <c r="F1151" t="s">
        <v>23</v>
      </c>
      <c r="G1151" t="s">
        <v>54</v>
      </c>
      <c r="H1151" t="s">
        <v>177</v>
      </c>
      <c r="I1151" t="s">
        <v>154</v>
      </c>
      <c r="J1151">
        <v>1503</v>
      </c>
      <c r="K1151">
        <v>58</v>
      </c>
      <c r="L1151" t="s">
        <v>37</v>
      </c>
      <c r="M1151">
        <v>94</v>
      </c>
      <c r="N1151">
        <v>30.4</v>
      </c>
      <c r="O1151">
        <v>65.900000000000006</v>
      </c>
      <c r="P1151">
        <v>6.36</v>
      </c>
      <c r="Q1151">
        <v>3.07</v>
      </c>
      <c r="R1151" t="s">
        <v>152</v>
      </c>
      <c r="S1151" t="s">
        <v>47</v>
      </c>
      <c r="T1151" t="s">
        <v>48</v>
      </c>
      <c r="U1151" t="str">
        <f t="shared" si="51"/>
        <v>Normal</v>
      </c>
      <c r="V1151" t="str">
        <f t="shared" si="52"/>
        <v>Normal</v>
      </c>
      <c r="W1151" t="str">
        <f t="shared" si="53"/>
        <v>Normal</v>
      </c>
    </row>
    <row r="1152" spans="1:23" x14ac:dyDescent="0.3">
      <c r="A1152">
        <v>10491</v>
      </c>
      <c r="B1152" s="2">
        <v>45941</v>
      </c>
      <c r="C1152" t="s">
        <v>49</v>
      </c>
      <c r="D1152" t="s">
        <v>64</v>
      </c>
      <c r="E1152" t="s">
        <v>40</v>
      </c>
      <c r="F1152" t="s">
        <v>23</v>
      </c>
      <c r="G1152" t="s">
        <v>109</v>
      </c>
      <c r="H1152" t="s">
        <v>66</v>
      </c>
      <c r="I1152" t="s">
        <v>135</v>
      </c>
      <c r="J1152">
        <v>1052</v>
      </c>
      <c r="K1152">
        <v>12</v>
      </c>
      <c r="L1152" t="s">
        <v>57</v>
      </c>
      <c r="M1152">
        <v>27</v>
      </c>
      <c r="N1152">
        <v>35.4</v>
      </c>
      <c r="O1152">
        <v>65.8</v>
      </c>
      <c r="P1152">
        <v>6.29</v>
      </c>
      <c r="Q1152">
        <v>3.48</v>
      </c>
      <c r="R1152" t="s">
        <v>189</v>
      </c>
      <c r="S1152" t="s">
        <v>39</v>
      </c>
      <c r="T1152" t="s">
        <v>30</v>
      </c>
      <c r="U1152" t="str">
        <f t="shared" si="51"/>
        <v>Normal</v>
      </c>
      <c r="V1152" t="str">
        <f t="shared" si="52"/>
        <v>Normal</v>
      </c>
      <c r="W1152" t="str">
        <f t="shared" si="53"/>
        <v>Normal</v>
      </c>
    </row>
    <row r="1153" spans="1:23" x14ac:dyDescent="0.3">
      <c r="A1153">
        <v>10362</v>
      </c>
      <c r="B1153" s="2">
        <v>45906</v>
      </c>
      <c r="C1153" t="s">
        <v>49</v>
      </c>
      <c r="D1153" t="s">
        <v>64</v>
      </c>
      <c r="E1153" t="s">
        <v>33</v>
      </c>
      <c r="F1153" t="s">
        <v>23</v>
      </c>
      <c r="G1153" t="s">
        <v>24</v>
      </c>
      <c r="H1153" t="s">
        <v>177</v>
      </c>
      <c r="I1153" t="s">
        <v>115</v>
      </c>
      <c r="J1153">
        <v>673</v>
      </c>
      <c r="K1153">
        <v>4</v>
      </c>
      <c r="L1153" t="s">
        <v>57</v>
      </c>
      <c r="M1153">
        <v>94</v>
      </c>
      <c r="N1153">
        <v>46</v>
      </c>
      <c r="O1153">
        <v>65.8</v>
      </c>
      <c r="P1153">
        <v>5.15</v>
      </c>
      <c r="Q1153">
        <v>0.96</v>
      </c>
      <c r="R1153" t="s">
        <v>72</v>
      </c>
      <c r="S1153" t="s">
        <v>29</v>
      </c>
      <c r="T1153" t="s">
        <v>30</v>
      </c>
      <c r="U1153" t="str">
        <f t="shared" si="51"/>
        <v>Normal</v>
      </c>
      <c r="V1153" t="str">
        <f t="shared" si="52"/>
        <v>Normal</v>
      </c>
      <c r="W1153" t="str">
        <f t="shared" si="53"/>
        <v>Normal</v>
      </c>
    </row>
    <row r="1154" spans="1:23" x14ac:dyDescent="0.3">
      <c r="A1154">
        <v>10559</v>
      </c>
      <c r="B1154" s="2">
        <v>45868</v>
      </c>
      <c r="C1154" t="s">
        <v>20</v>
      </c>
      <c r="D1154" t="s">
        <v>59</v>
      </c>
      <c r="E1154" t="s">
        <v>22</v>
      </c>
      <c r="F1154" t="s">
        <v>41</v>
      </c>
      <c r="G1154" t="s">
        <v>60</v>
      </c>
      <c r="H1154" t="s">
        <v>252</v>
      </c>
      <c r="I1154" t="s">
        <v>377</v>
      </c>
      <c r="J1154">
        <v>825</v>
      </c>
      <c r="K1154">
        <v>5</v>
      </c>
      <c r="L1154" t="s">
        <v>68</v>
      </c>
      <c r="M1154">
        <v>170</v>
      </c>
      <c r="N1154">
        <v>51.4</v>
      </c>
      <c r="O1154">
        <v>65.8</v>
      </c>
      <c r="P1154">
        <v>4.24</v>
      </c>
      <c r="Q1154">
        <v>3.21</v>
      </c>
      <c r="R1154" t="s">
        <v>243</v>
      </c>
      <c r="S1154" t="s">
        <v>73</v>
      </c>
      <c r="T1154" t="s">
        <v>30</v>
      </c>
      <c r="U1154" t="str">
        <f t="shared" ref="U1154:U1217" si="54">IF(OR(O1154&lt;20,O1154&gt;100),"Investigate","Normal")</f>
        <v>Normal</v>
      </c>
      <c r="V1154" t="str">
        <f t="shared" ref="V1154:V1217" si="55">IF(OR(P1154&lt;2,P1154&gt;10),"Investigate","Normal")</f>
        <v>Normal</v>
      </c>
      <c r="W1154" t="str">
        <f t="shared" ref="W1154:W1217" si="56">IF(Q1154&gt;10,"Investigate","Normal")</f>
        <v>Normal</v>
      </c>
    </row>
    <row r="1155" spans="1:23" x14ac:dyDescent="0.3">
      <c r="A1155">
        <v>10669</v>
      </c>
      <c r="B1155" s="2">
        <v>45982</v>
      </c>
      <c r="C1155" t="s">
        <v>49</v>
      </c>
      <c r="D1155" t="s">
        <v>59</v>
      </c>
      <c r="E1155" t="s">
        <v>22</v>
      </c>
      <c r="F1155" t="s">
        <v>23</v>
      </c>
      <c r="G1155" t="s">
        <v>60</v>
      </c>
      <c r="H1155" t="s">
        <v>96</v>
      </c>
      <c r="I1155" t="s">
        <v>312</v>
      </c>
      <c r="J1155">
        <v>484</v>
      </c>
      <c r="K1155">
        <v>6</v>
      </c>
      <c r="L1155" t="s">
        <v>71</v>
      </c>
      <c r="M1155">
        <v>36</v>
      </c>
      <c r="N1155">
        <v>37.799999999999997</v>
      </c>
      <c r="O1155">
        <v>65.8</v>
      </c>
      <c r="P1155">
        <v>4.6500000000000004</v>
      </c>
      <c r="Q1155">
        <v>4.2699999999999996</v>
      </c>
      <c r="R1155" t="s">
        <v>232</v>
      </c>
      <c r="S1155" t="s">
        <v>47</v>
      </c>
      <c r="T1155" t="s">
        <v>30</v>
      </c>
      <c r="U1155" t="str">
        <f t="shared" si="54"/>
        <v>Normal</v>
      </c>
      <c r="V1155" t="str">
        <f t="shared" si="55"/>
        <v>Normal</v>
      </c>
      <c r="W1155" t="str">
        <f t="shared" si="56"/>
        <v>Normal</v>
      </c>
    </row>
    <row r="1156" spans="1:23" x14ac:dyDescent="0.3">
      <c r="A1156">
        <v>10053</v>
      </c>
      <c r="B1156" s="2">
        <v>45938</v>
      </c>
      <c r="C1156" t="s">
        <v>31</v>
      </c>
      <c r="D1156" t="s">
        <v>64</v>
      </c>
      <c r="E1156" t="s">
        <v>33</v>
      </c>
      <c r="F1156" t="s">
        <v>41</v>
      </c>
      <c r="G1156" t="s">
        <v>34</v>
      </c>
      <c r="H1156" t="s">
        <v>93</v>
      </c>
      <c r="I1156" t="s">
        <v>218</v>
      </c>
      <c r="J1156">
        <v>1185</v>
      </c>
      <c r="K1156">
        <v>9</v>
      </c>
      <c r="L1156" t="s">
        <v>27</v>
      </c>
      <c r="M1156">
        <v>33</v>
      </c>
      <c r="N1156">
        <v>38.200000000000003</v>
      </c>
      <c r="O1156">
        <v>65.8</v>
      </c>
      <c r="P1156">
        <v>5.36</v>
      </c>
      <c r="Q1156">
        <v>1.72</v>
      </c>
      <c r="R1156" t="s">
        <v>84</v>
      </c>
      <c r="S1156" t="s">
        <v>29</v>
      </c>
      <c r="T1156" t="s">
        <v>30</v>
      </c>
      <c r="U1156" t="str">
        <f t="shared" si="54"/>
        <v>Normal</v>
      </c>
      <c r="V1156" t="str">
        <f t="shared" si="55"/>
        <v>Normal</v>
      </c>
      <c r="W1156" t="str">
        <f t="shared" si="56"/>
        <v>Normal</v>
      </c>
    </row>
    <row r="1157" spans="1:23" x14ac:dyDescent="0.3">
      <c r="A1157">
        <v>10395</v>
      </c>
      <c r="B1157" s="2">
        <v>45714</v>
      </c>
      <c r="C1157" t="s">
        <v>31</v>
      </c>
      <c r="D1157" t="s">
        <v>32</v>
      </c>
      <c r="E1157" t="s">
        <v>22</v>
      </c>
      <c r="F1157" t="s">
        <v>23</v>
      </c>
      <c r="G1157" t="s">
        <v>95</v>
      </c>
      <c r="H1157" t="s">
        <v>148</v>
      </c>
      <c r="I1157" t="s">
        <v>163</v>
      </c>
      <c r="J1157">
        <v>944</v>
      </c>
      <c r="K1157">
        <v>10</v>
      </c>
      <c r="L1157" t="s">
        <v>71</v>
      </c>
      <c r="M1157">
        <v>115</v>
      </c>
      <c r="N1157">
        <v>37.299999999999997</v>
      </c>
      <c r="O1157">
        <v>65.7</v>
      </c>
      <c r="P1157">
        <v>4.7</v>
      </c>
      <c r="Q1157">
        <v>3.75</v>
      </c>
      <c r="R1157" t="s">
        <v>137</v>
      </c>
      <c r="S1157" t="s">
        <v>39</v>
      </c>
      <c r="T1157" t="s">
        <v>30</v>
      </c>
      <c r="U1157" t="str">
        <f t="shared" si="54"/>
        <v>Normal</v>
      </c>
      <c r="V1157" t="str">
        <f t="shared" si="55"/>
        <v>Normal</v>
      </c>
      <c r="W1157" t="str">
        <f t="shared" si="56"/>
        <v>Normal</v>
      </c>
    </row>
    <row r="1158" spans="1:23" x14ac:dyDescent="0.3">
      <c r="A1158">
        <v>10189</v>
      </c>
      <c r="B1158" s="2">
        <v>45902</v>
      </c>
      <c r="C1158" t="s">
        <v>49</v>
      </c>
      <c r="D1158" t="s">
        <v>59</v>
      </c>
      <c r="E1158" t="s">
        <v>33</v>
      </c>
      <c r="F1158" t="s">
        <v>23</v>
      </c>
      <c r="G1158" t="s">
        <v>113</v>
      </c>
      <c r="H1158" t="s">
        <v>144</v>
      </c>
      <c r="I1158" t="s">
        <v>214</v>
      </c>
      <c r="J1158">
        <v>850</v>
      </c>
      <c r="K1158">
        <v>26</v>
      </c>
      <c r="L1158" t="s">
        <v>37</v>
      </c>
      <c r="M1158">
        <v>108</v>
      </c>
      <c r="N1158">
        <v>34.4</v>
      </c>
      <c r="O1158">
        <v>65.7</v>
      </c>
      <c r="P1158">
        <v>4.9000000000000004</v>
      </c>
      <c r="Q1158">
        <v>1.25</v>
      </c>
      <c r="R1158" t="s">
        <v>28</v>
      </c>
      <c r="S1158" t="s">
        <v>29</v>
      </c>
      <c r="T1158" t="s">
        <v>48</v>
      </c>
      <c r="U1158" t="str">
        <f t="shared" si="54"/>
        <v>Normal</v>
      </c>
      <c r="V1158" t="str">
        <f t="shared" si="55"/>
        <v>Normal</v>
      </c>
      <c r="W1158" t="str">
        <f t="shared" si="56"/>
        <v>Normal</v>
      </c>
    </row>
    <row r="1159" spans="1:23" x14ac:dyDescent="0.3">
      <c r="A1159">
        <v>10923</v>
      </c>
      <c r="B1159" s="2">
        <v>45681</v>
      </c>
      <c r="C1159" t="s">
        <v>20</v>
      </c>
      <c r="D1159" t="s">
        <v>32</v>
      </c>
      <c r="E1159" t="s">
        <v>33</v>
      </c>
      <c r="F1159" t="s">
        <v>41</v>
      </c>
      <c r="G1159" t="s">
        <v>50</v>
      </c>
      <c r="H1159" t="s">
        <v>96</v>
      </c>
      <c r="I1159" t="s">
        <v>102</v>
      </c>
      <c r="J1159">
        <v>1389</v>
      </c>
      <c r="K1159">
        <v>10</v>
      </c>
      <c r="L1159" t="s">
        <v>27</v>
      </c>
      <c r="M1159">
        <v>120</v>
      </c>
      <c r="N1159">
        <v>42</v>
      </c>
      <c r="O1159">
        <v>65.7</v>
      </c>
      <c r="P1159">
        <v>4.9000000000000004</v>
      </c>
      <c r="Q1159">
        <v>3.68</v>
      </c>
      <c r="R1159" t="s">
        <v>72</v>
      </c>
      <c r="S1159" t="s">
        <v>73</v>
      </c>
      <c r="T1159" t="s">
        <v>30</v>
      </c>
      <c r="U1159" t="str">
        <f t="shared" si="54"/>
        <v>Normal</v>
      </c>
      <c r="V1159" t="str">
        <f t="shared" si="55"/>
        <v>Normal</v>
      </c>
      <c r="W1159" t="str">
        <f t="shared" si="56"/>
        <v>Normal</v>
      </c>
    </row>
    <row r="1160" spans="1:23" x14ac:dyDescent="0.3">
      <c r="A1160">
        <v>10941</v>
      </c>
      <c r="B1160" s="2">
        <v>45889</v>
      </c>
      <c r="C1160" t="s">
        <v>49</v>
      </c>
      <c r="D1160" t="s">
        <v>64</v>
      </c>
      <c r="E1160" t="s">
        <v>22</v>
      </c>
      <c r="F1160" t="s">
        <v>23</v>
      </c>
      <c r="G1160" t="s">
        <v>24</v>
      </c>
      <c r="H1160" t="s">
        <v>192</v>
      </c>
      <c r="I1160" t="s">
        <v>295</v>
      </c>
      <c r="J1160">
        <v>1062</v>
      </c>
      <c r="K1160">
        <v>16</v>
      </c>
      <c r="L1160" t="s">
        <v>57</v>
      </c>
      <c r="M1160">
        <v>81</v>
      </c>
      <c r="N1160">
        <v>47.5</v>
      </c>
      <c r="O1160">
        <v>65.7</v>
      </c>
      <c r="P1160">
        <v>6.1</v>
      </c>
      <c r="Q1160">
        <v>3.02</v>
      </c>
      <c r="R1160" t="s">
        <v>63</v>
      </c>
      <c r="S1160" t="s">
        <v>39</v>
      </c>
      <c r="T1160" t="s">
        <v>30</v>
      </c>
      <c r="U1160" t="str">
        <f t="shared" si="54"/>
        <v>Normal</v>
      </c>
      <c r="V1160" t="str">
        <f t="shared" si="55"/>
        <v>Normal</v>
      </c>
      <c r="W1160" t="str">
        <f t="shared" si="56"/>
        <v>Normal</v>
      </c>
    </row>
    <row r="1161" spans="1:23" x14ac:dyDescent="0.3">
      <c r="A1161">
        <v>11431</v>
      </c>
      <c r="B1161" s="2">
        <v>45770</v>
      </c>
      <c r="C1161" t="s">
        <v>31</v>
      </c>
      <c r="D1161" t="s">
        <v>21</v>
      </c>
      <c r="E1161" t="s">
        <v>22</v>
      </c>
      <c r="F1161" t="s">
        <v>23</v>
      </c>
      <c r="G1161" t="s">
        <v>54</v>
      </c>
      <c r="H1161" t="s">
        <v>351</v>
      </c>
      <c r="I1161" t="s">
        <v>203</v>
      </c>
      <c r="J1161">
        <v>853</v>
      </c>
      <c r="K1161">
        <v>4</v>
      </c>
      <c r="L1161" t="s">
        <v>71</v>
      </c>
      <c r="M1161">
        <v>64</v>
      </c>
      <c r="N1161">
        <v>42.4</v>
      </c>
      <c r="O1161">
        <v>65.7</v>
      </c>
      <c r="P1161">
        <v>4.1500000000000004</v>
      </c>
      <c r="Q1161">
        <v>3.75</v>
      </c>
      <c r="R1161" t="s">
        <v>186</v>
      </c>
      <c r="S1161" t="s">
        <v>47</v>
      </c>
      <c r="T1161" t="s">
        <v>30</v>
      </c>
      <c r="U1161" t="str">
        <f t="shared" si="54"/>
        <v>Normal</v>
      </c>
      <c r="V1161" t="str">
        <f t="shared" si="55"/>
        <v>Normal</v>
      </c>
      <c r="W1161" t="str">
        <f t="shared" si="56"/>
        <v>Normal</v>
      </c>
    </row>
    <row r="1162" spans="1:23" x14ac:dyDescent="0.3">
      <c r="A1162">
        <v>11432</v>
      </c>
      <c r="B1162" s="2">
        <v>45954</v>
      </c>
      <c r="C1162" t="s">
        <v>49</v>
      </c>
      <c r="D1162" t="s">
        <v>32</v>
      </c>
      <c r="E1162" t="s">
        <v>107</v>
      </c>
      <c r="F1162" t="s">
        <v>23</v>
      </c>
      <c r="G1162" t="s">
        <v>34</v>
      </c>
      <c r="H1162" t="s">
        <v>161</v>
      </c>
      <c r="I1162" t="s">
        <v>212</v>
      </c>
      <c r="J1162">
        <v>1042</v>
      </c>
      <c r="K1162">
        <v>4</v>
      </c>
      <c r="L1162" t="s">
        <v>27</v>
      </c>
      <c r="M1162">
        <v>11</v>
      </c>
      <c r="N1162">
        <v>28.6</v>
      </c>
      <c r="O1162">
        <v>65.7</v>
      </c>
      <c r="P1162">
        <v>6.45</v>
      </c>
      <c r="Q1162">
        <v>3.71</v>
      </c>
      <c r="R1162" t="s">
        <v>209</v>
      </c>
      <c r="S1162" t="s">
        <v>39</v>
      </c>
      <c r="T1162" t="s">
        <v>30</v>
      </c>
      <c r="U1162" t="str">
        <f t="shared" si="54"/>
        <v>Normal</v>
      </c>
      <c r="V1162" t="str">
        <f t="shared" si="55"/>
        <v>Normal</v>
      </c>
      <c r="W1162" t="str">
        <f t="shared" si="56"/>
        <v>Normal</v>
      </c>
    </row>
    <row r="1163" spans="1:23" x14ac:dyDescent="0.3">
      <c r="A1163">
        <v>10256</v>
      </c>
      <c r="B1163" s="2">
        <v>45883</v>
      </c>
      <c r="C1163" t="s">
        <v>20</v>
      </c>
      <c r="D1163" t="s">
        <v>32</v>
      </c>
      <c r="E1163" t="s">
        <v>40</v>
      </c>
      <c r="F1163" t="s">
        <v>41</v>
      </c>
      <c r="G1163" t="s">
        <v>74</v>
      </c>
      <c r="H1163" t="s">
        <v>126</v>
      </c>
      <c r="I1163" t="s">
        <v>62</v>
      </c>
      <c r="J1163">
        <v>450</v>
      </c>
      <c r="K1163">
        <v>2</v>
      </c>
      <c r="L1163" t="s">
        <v>45</v>
      </c>
      <c r="M1163">
        <v>46</v>
      </c>
      <c r="N1163">
        <v>38</v>
      </c>
      <c r="O1163">
        <v>65.7</v>
      </c>
      <c r="P1163">
        <v>4.7</v>
      </c>
      <c r="Q1163">
        <v>1.98</v>
      </c>
      <c r="R1163" t="s">
        <v>147</v>
      </c>
      <c r="S1163" t="s">
        <v>73</v>
      </c>
      <c r="T1163" t="s">
        <v>30</v>
      </c>
      <c r="U1163" t="str">
        <f t="shared" si="54"/>
        <v>Normal</v>
      </c>
      <c r="V1163" t="str">
        <f t="shared" si="55"/>
        <v>Normal</v>
      </c>
      <c r="W1163" t="str">
        <f t="shared" si="56"/>
        <v>Normal</v>
      </c>
    </row>
    <row r="1164" spans="1:23" x14ac:dyDescent="0.3">
      <c r="A1164">
        <v>10162</v>
      </c>
      <c r="B1164" s="2">
        <v>45697</v>
      </c>
      <c r="C1164" t="s">
        <v>20</v>
      </c>
      <c r="D1164" t="s">
        <v>64</v>
      </c>
      <c r="E1164" t="s">
        <v>33</v>
      </c>
      <c r="F1164" t="s">
        <v>81</v>
      </c>
      <c r="G1164" t="s">
        <v>60</v>
      </c>
      <c r="H1164" t="s">
        <v>278</v>
      </c>
      <c r="I1164" t="s">
        <v>206</v>
      </c>
      <c r="J1164">
        <v>1396</v>
      </c>
      <c r="K1164">
        <v>11</v>
      </c>
      <c r="L1164" t="s">
        <v>37</v>
      </c>
      <c r="M1164">
        <v>120</v>
      </c>
      <c r="N1164">
        <v>37.4</v>
      </c>
      <c r="O1164">
        <v>65.7</v>
      </c>
      <c r="P1164">
        <v>5.8</v>
      </c>
      <c r="Q1164">
        <v>1.01</v>
      </c>
      <c r="R1164" t="s">
        <v>243</v>
      </c>
      <c r="S1164" t="s">
        <v>47</v>
      </c>
      <c r="T1164" t="s">
        <v>30</v>
      </c>
      <c r="U1164" t="str">
        <f t="shared" si="54"/>
        <v>Normal</v>
      </c>
      <c r="V1164" t="str">
        <f t="shared" si="55"/>
        <v>Normal</v>
      </c>
      <c r="W1164" t="str">
        <f t="shared" si="56"/>
        <v>Normal</v>
      </c>
    </row>
    <row r="1165" spans="1:23" x14ac:dyDescent="0.3">
      <c r="A1165">
        <v>10311</v>
      </c>
      <c r="B1165" s="2">
        <v>45709</v>
      </c>
      <c r="C1165" t="s">
        <v>20</v>
      </c>
      <c r="D1165" t="s">
        <v>59</v>
      </c>
      <c r="E1165" t="s">
        <v>33</v>
      </c>
      <c r="F1165" t="s">
        <v>41</v>
      </c>
      <c r="G1165" t="s">
        <v>50</v>
      </c>
      <c r="H1165" t="s">
        <v>88</v>
      </c>
      <c r="I1165" t="s">
        <v>44</v>
      </c>
      <c r="J1165">
        <v>663</v>
      </c>
      <c r="K1165">
        <v>7</v>
      </c>
      <c r="L1165" t="s">
        <v>45</v>
      </c>
      <c r="M1165">
        <v>122</v>
      </c>
      <c r="N1165">
        <v>41.1</v>
      </c>
      <c r="O1165">
        <v>65.599999999999994</v>
      </c>
      <c r="P1165">
        <v>5.52</v>
      </c>
      <c r="Q1165">
        <v>0.81</v>
      </c>
      <c r="R1165" t="s">
        <v>80</v>
      </c>
      <c r="S1165" t="s">
        <v>39</v>
      </c>
      <c r="T1165" t="s">
        <v>30</v>
      </c>
      <c r="U1165" t="str">
        <f t="shared" si="54"/>
        <v>Normal</v>
      </c>
      <c r="V1165" t="str">
        <f t="shared" si="55"/>
        <v>Normal</v>
      </c>
      <c r="W1165" t="str">
        <f t="shared" si="56"/>
        <v>Normal</v>
      </c>
    </row>
    <row r="1166" spans="1:23" x14ac:dyDescent="0.3">
      <c r="A1166">
        <v>10530</v>
      </c>
      <c r="B1166" s="2">
        <v>45999</v>
      </c>
      <c r="C1166" t="s">
        <v>20</v>
      </c>
      <c r="D1166" t="s">
        <v>21</v>
      </c>
      <c r="E1166" t="s">
        <v>107</v>
      </c>
      <c r="F1166" t="s">
        <v>23</v>
      </c>
      <c r="G1166" t="s">
        <v>74</v>
      </c>
      <c r="H1166" t="s">
        <v>192</v>
      </c>
      <c r="I1166" t="s">
        <v>160</v>
      </c>
      <c r="J1166">
        <v>838</v>
      </c>
      <c r="K1166">
        <v>11</v>
      </c>
      <c r="L1166" t="s">
        <v>45</v>
      </c>
      <c r="M1166">
        <v>114</v>
      </c>
      <c r="N1166">
        <v>52.5</v>
      </c>
      <c r="O1166">
        <v>65.599999999999994</v>
      </c>
      <c r="P1166">
        <v>5.23</v>
      </c>
      <c r="Q1166">
        <v>2.61</v>
      </c>
      <c r="R1166" t="s">
        <v>202</v>
      </c>
      <c r="S1166" t="s">
        <v>29</v>
      </c>
      <c r="T1166" t="s">
        <v>30</v>
      </c>
      <c r="U1166" t="str">
        <f t="shared" si="54"/>
        <v>Normal</v>
      </c>
      <c r="V1166" t="str">
        <f t="shared" si="55"/>
        <v>Normal</v>
      </c>
      <c r="W1166" t="str">
        <f t="shared" si="56"/>
        <v>Normal</v>
      </c>
    </row>
    <row r="1167" spans="1:23" x14ac:dyDescent="0.3">
      <c r="A1167">
        <v>10434</v>
      </c>
      <c r="B1167" s="2">
        <v>45734</v>
      </c>
      <c r="C1167" t="s">
        <v>49</v>
      </c>
      <c r="D1167" t="s">
        <v>32</v>
      </c>
      <c r="E1167" t="s">
        <v>107</v>
      </c>
      <c r="F1167" t="s">
        <v>23</v>
      </c>
      <c r="G1167" t="s">
        <v>60</v>
      </c>
      <c r="H1167" t="s">
        <v>192</v>
      </c>
      <c r="I1167" t="s">
        <v>324</v>
      </c>
      <c r="J1167">
        <v>788</v>
      </c>
      <c r="K1167">
        <v>27</v>
      </c>
      <c r="L1167" t="s">
        <v>27</v>
      </c>
      <c r="M1167">
        <v>169</v>
      </c>
      <c r="N1167">
        <v>45.1</v>
      </c>
      <c r="O1167">
        <v>65.599999999999994</v>
      </c>
      <c r="P1167">
        <v>5.5</v>
      </c>
      <c r="Q1167">
        <v>1.75</v>
      </c>
      <c r="R1167" t="s">
        <v>186</v>
      </c>
      <c r="S1167" t="s">
        <v>29</v>
      </c>
      <c r="T1167" t="s">
        <v>48</v>
      </c>
      <c r="U1167" t="str">
        <f t="shared" si="54"/>
        <v>Normal</v>
      </c>
      <c r="V1167" t="str">
        <f t="shared" si="55"/>
        <v>Normal</v>
      </c>
      <c r="W1167" t="str">
        <f t="shared" si="56"/>
        <v>Normal</v>
      </c>
    </row>
    <row r="1168" spans="1:23" x14ac:dyDescent="0.3">
      <c r="A1168">
        <v>10738</v>
      </c>
      <c r="B1168" s="2">
        <v>45967</v>
      </c>
      <c r="C1168" t="s">
        <v>49</v>
      </c>
      <c r="D1168" t="s">
        <v>32</v>
      </c>
      <c r="E1168" t="s">
        <v>33</v>
      </c>
      <c r="F1168" t="s">
        <v>41</v>
      </c>
      <c r="G1168" t="s">
        <v>74</v>
      </c>
      <c r="H1168" t="s">
        <v>141</v>
      </c>
      <c r="I1168" t="s">
        <v>306</v>
      </c>
      <c r="J1168">
        <v>1202</v>
      </c>
      <c r="K1168">
        <v>17</v>
      </c>
      <c r="L1168" t="s">
        <v>57</v>
      </c>
      <c r="M1168">
        <v>116</v>
      </c>
      <c r="N1168">
        <v>49.2</v>
      </c>
      <c r="O1168">
        <v>65.599999999999994</v>
      </c>
      <c r="P1168">
        <v>5.37</v>
      </c>
      <c r="Q1168">
        <v>1.23</v>
      </c>
      <c r="R1168" t="s">
        <v>87</v>
      </c>
      <c r="S1168" t="s">
        <v>39</v>
      </c>
      <c r="T1168" t="s">
        <v>30</v>
      </c>
      <c r="U1168" t="str">
        <f t="shared" si="54"/>
        <v>Normal</v>
      </c>
      <c r="V1168" t="str">
        <f t="shared" si="55"/>
        <v>Normal</v>
      </c>
      <c r="W1168" t="str">
        <f t="shared" si="56"/>
        <v>Normal</v>
      </c>
    </row>
    <row r="1169" spans="1:23" x14ac:dyDescent="0.3">
      <c r="A1169">
        <v>10149</v>
      </c>
      <c r="B1169" s="2">
        <v>45832</v>
      </c>
      <c r="C1169" t="s">
        <v>31</v>
      </c>
      <c r="D1169" t="s">
        <v>64</v>
      </c>
      <c r="E1169" t="s">
        <v>22</v>
      </c>
      <c r="F1169" t="s">
        <v>81</v>
      </c>
      <c r="G1169" t="s">
        <v>109</v>
      </c>
      <c r="H1169" t="s">
        <v>175</v>
      </c>
      <c r="I1169" t="s">
        <v>377</v>
      </c>
      <c r="J1169">
        <v>850</v>
      </c>
      <c r="K1169">
        <v>9</v>
      </c>
      <c r="L1169" t="s">
        <v>37</v>
      </c>
      <c r="M1169">
        <v>112</v>
      </c>
      <c r="N1169">
        <v>44.7</v>
      </c>
      <c r="O1169">
        <v>65.599999999999994</v>
      </c>
      <c r="P1169">
        <v>6.99</v>
      </c>
      <c r="Q1169">
        <v>2.35</v>
      </c>
      <c r="R1169" t="s">
        <v>159</v>
      </c>
      <c r="S1169" t="s">
        <v>29</v>
      </c>
      <c r="T1169" t="s">
        <v>30</v>
      </c>
      <c r="U1169" t="str">
        <f t="shared" si="54"/>
        <v>Normal</v>
      </c>
      <c r="V1169" t="str">
        <f t="shared" si="55"/>
        <v>Normal</v>
      </c>
      <c r="W1169" t="str">
        <f t="shared" si="56"/>
        <v>Normal</v>
      </c>
    </row>
    <row r="1170" spans="1:23" x14ac:dyDescent="0.3">
      <c r="A1170">
        <v>10154</v>
      </c>
      <c r="B1170" s="2">
        <v>45921</v>
      </c>
      <c r="C1170" t="s">
        <v>20</v>
      </c>
      <c r="D1170" t="s">
        <v>32</v>
      </c>
      <c r="E1170" t="s">
        <v>22</v>
      </c>
      <c r="F1170" t="s">
        <v>23</v>
      </c>
      <c r="G1170" t="s">
        <v>74</v>
      </c>
      <c r="H1170" t="s">
        <v>190</v>
      </c>
      <c r="I1170" t="s">
        <v>235</v>
      </c>
      <c r="J1170">
        <v>1004</v>
      </c>
      <c r="K1170">
        <v>11</v>
      </c>
      <c r="L1170" t="s">
        <v>71</v>
      </c>
      <c r="M1170">
        <v>161</v>
      </c>
      <c r="N1170">
        <v>36.799999999999997</v>
      </c>
      <c r="O1170">
        <v>65.599999999999994</v>
      </c>
      <c r="P1170">
        <v>6.54</v>
      </c>
      <c r="Q1170">
        <v>2.68</v>
      </c>
      <c r="R1170" t="s">
        <v>174</v>
      </c>
      <c r="S1170" t="s">
        <v>47</v>
      </c>
      <c r="T1170" t="s">
        <v>30</v>
      </c>
      <c r="U1170" t="str">
        <f t="shared" si="54"/>
        <v>Normal</v>
      </c>
      <c r="V1170" t="str">
        <f t="shared" si="55"/>
        <v>Normal</v>
      </c>
      <c r="W1170" t="str">
        <f t="shared" si="56"/>
        <v>Normal</v>
      </c>
    </row>
    <row r="1171" spans="1:23" x14ac:dyDescent="0.3">
      <c r="A1171">
        <v>11137</v>
      </c>
      <c r="B1171" s="2">
        <v>45960</v>
      </c>
      <c r="C1171" t="s">
        <v>20</v>
      </c>
      <c r="D1171" t="s">
        <v>21</v>
      </c>
      <c r="E1171" t="s">
        <v>33</v>
      </c>
      <c r="F1171" t="s">
        <v>23</v>
      </c>
      <c r="G1171" t="s">
        <v>50</v>
      </c>
      <c r="H1171" t="s">
        <v>180</v>
      </c>
      <c r="I1171" t="s">
        <v>249</v>
      </c>
      <c r="J1171">
        <v>735</v>
      </c>
      <c r="K1171">
        <v>11</v>
      </c>
      <c r="L1171" t="s">
        <v>27</v>
      </c>
      <c r="M1171">
        <v>100</v>
      </c>
      <c r="N1171">
        <v>38.6</v>
      </c>
      <c r="O1171">
        <v>65.599999999999994</v>
      </c>
      <c r="P1171">
        <v>4.3600000000000003</v>
      </c>
      <c r="Q1171">
        <v>2.89</v>
      </c>
      <c r="R1171" t="s">
        <v>105</v>
      </c>
      <c r="S1171" t="s">
        <v>47</v>
      </c>
      <c r="T1171" t="s">
        <v>30</v>
      </c>
      <c r="U1171" t="str">
        <f t="shared" si="54"/>
        <v>Normal</v>
      </c>
      <c r="V1171" t="str">
        <f t="shared" si="55"/>
        <v>Normal</v>
      </c>
      <c r="W1171" t="str">
        <f t="shared" si="56"/>
        <v>Normal</v>
      </c>
    </row>
    <row r="1172" spans="1:23" x14ac:dyDescent="0.3">
      <c r="A1172">
        <v>10646</v>
      </c>
      <c r="B1172" s="2">
        <v>45885</v>
      </c>
      <c r="C1172" t="s">
        <v>31</v>
      </c>
      <c r="D1172" t="s">
        <v>64</v>
      </c>
      <c r="E1172" t="s">
        <v>107</v>
      </c>
      <c r="F1172" t="s">
        <v>23</v>
      </c>
      <c r="G1172" t="s">
        <v>42</v>
      </c>
      <c r="H1172" t="s">
        <v>138</v>
      </c>
      <c r="I1172" t="s">
        <v>228</v>
      </c>
      <c r="J1172">
        <v>1583</v>
      </c>
      <c r="K1172">
        <v>16</v>
      </c>
      <c r="L1172" t="s">
        <v>45</v>
      </c>
      <c r="M1172">
        <v>126</v>
      </c>
      <c r="N1172">
        <v>33.6</v>
      </c>
      <c r="O1172">
        <v>65.599999999999994</v>
      </c>
      <c r="P1172">
        <v>5.59</v>
      </c>
      <c r="Q1172">
        <v>2.89</v>
      </c>
      <c r="R1172" t="s">
        <v>245</v>
      </c>
      <c r="S1172" t="s">
        <v>47</v>
      </c>
      <c r="T1172" t="s">
        <v>30</v>
      </c>
      <c r="U1172" t="str">
        <f t="shared" si="54"/>
        <v>Normal</v>
      </c>
      <c r="V1172" t="str">
        <f t="shared" si="55"/>
        <v>Normal</v>
      </c>
      <c r="W1172" t="str">
        <f t="shared" si="56"/>
        <v>Normal</v>
      </c>
    </row>
    <row r="1173" spans="1:23" x14ac:dyDescent="0.3">
      <c r="A1173">
        <v>11181</v>
      </c>
      <c r="B1173" s="2">
        <v>45785</v>
      </c>
      <c r="C1173" t="s">
        <v>20</v>
      </c>
      <c r="D1173" t="s">
        <v>21</v>
      </c>
      <c r="E1173" t="s">
        <v>33</v>
      </c>
      <c r="F1173" t="s">
        <v>41</v>
      </c>
      <c r="G1173" t="s">
        <v>74</v>
      </c>
      <c r="H1173" t="s">
        <v>205</v>
      </c>
      <c r="I1173" t="s">
        <v>168</v>
      </c>
      <c r="J1173">
        <v>745</v>
      </c>
      <c r="K1173">
        <v>28</v>
      </c>
      <c r="L1173" t="s">
        <v>57</v>
      </c>
      <c r="M1173">
        <v>125</v>
      </c>
      <c r="N1173">
        <v>40</v>
      </c>
      <c r="O1173">
        <v>65.599999999999994</v>
      </c>
      <c r="P1173">
        <v>5.91</v>
      </c>
      <c r="Q1173">
        <v>1.54</v>
      </c>
      <c r="R1173" t="s">
        <v>63</v>
      </c>
      <c r="S1173" t="s">
        <v>73</v>
      </c>
      <c r="T1173" t="s">
        <v>48</v>
      </c>
      <c r="U1173" t="str">
        <f t="shared" si="54"/>
        <v>Normal</v>
      </c>
      <c r="V1173" t="str">
        <f t="shared" si="55"/>
        <v>Normal</v>
      </c>
      <c r="W1173" t="str">
        <f t="shared" si="56"/>
        <v>Normal</v>
      </c>
    </row>
    <row r="1174" spans="1:23" x14ac:dyDescent="0.3">
      <c r="A1174">
        <v>11493</v>
      </c>
      <c r="B1174" s="2">
        <v>45692</v>
      </c>
      <c r="C1174" t="s">
        <v>49</v>
      </c>
      <c r="D1174" t="s">
        <v>59</v>
      </c>
      <c r="E1174" t="s">
        <v>107</v>
      </c>
      <c r="F1174" t="s">
        <v>81</v>
      </c>
      <c r="G1174" t="s">
        <v>74</v>
      </c>
      <c r="H1174" t="s">
        <v>25</v>
      </c>
      <c r="I1174" t="s">
        <v>332</v>
      </c>
      <c r="J1174">
        <v>630</v>
      </c>
      <c r="K1174">
        <v>5</v>
      </c>
      <c r="L1174" t="s">
        <v>37</v>
      </c>
      <c r="M1174">
        <v>27</v>
      </c>
      <c r="N1174">
        <v>46.4</v>
      </c>
      <c r="O1174">
        <v>65.5</v>
      </c>
      <c r="P1174">
        <v>5.16</v>
      </c>
      <c r="Q1174">
        <v>1.1200000000000001</v>
      </c>
      <c r="R1174" t="s">
        <v>227</v>
      </c>
      <c r="S1174" t="s">
        <v>47</v>
      </c>
      <c r="T1174" t="s">
        <v>30</v>
      </c>
      <c r="U1174" t="str">
        <f t="shared" si="54"/>
        <v>Normal</v>
      </c>
      <c r="V1174" t="str">
        <f t="shared" si="55"/>
        <v>Normal</v>
      </c>
      <c r="W1174" t="str">
        <f t="shared" si="56"/>
        <v>Normal</v>
      </c>
    </row>
    <row r="1175" spans="1:23" x14ac:dyDescent="0.3">
      <c r="A1175">
        <v>10632</v>
      </c>
      <c r="B1175" s="2">
        <v>45702</v>
      </c>
      <c r="C1175" t="s">
        <v>20</v>
      </c>
      <c r="D1175" t="s">
        <v>32</v>
      </c>
      <c r="E1175" t="s">
        <v>40</v>
      </c>
      <c r="F1175" t="s">
        <v>41</v>
      </c>
      <c r="G1175" t="s">
        <v>95</v>
      </c>
      <c r="H1175" t="s">
        <v>116</v>
      </c>
      <c r="I1175" t="s">
        <v>231</v>
      </c>
      <c r="J1175">
        <v>488</v>
      </c>
      <c r="K1175">
        <v>2</v>
      </c>
      <c r="L1175" t="s">
        <v>71</v>
      </c>
      <c r="M1175">
        <v>114</v>
      </c>
      <c r="N1175">
        <v>45.1</v>
      </c>
      <c r="O1175">
        <v>65.5</v>
      </c>
      <c r="P1175">
        <v>5.42</v>
      </c>
      <c r="Q1175">
        <v>3.7</v>
      </c>
      <c r="R1175" t="s">
        <v>202</v>
      </c>
      <c r="S1175" t="s">
        <v>29</v>
      </c>
      <c r="T1175" t="s">
        <v>30</v>
      </c>
      <c r="U1175" t="str">
        <f t="shared" si="54"/>
        <v>Normal</v>
      </c>
      <c r="V1175" t="str">
        <f t="shared" si="55"/>
        <v>Normal</v>
      </c>
      <c r="W1175" t="str">
        <f t="shared" si="56"/>
        <v>Normal</v>
      </c>
    </row>
    <row r="1176" spans="1:23" x14ac:dyDescent="0.3">
      <c r="A1176">
        <v>10783</v>
      </c>
      <c r="B1176" s="2">
        <v>45669</v>
      </c>
      <c r="C1176" t="s">
        <v>20</v>
      </c>
      <c r="D1176" t="s">
        <v>59</v>
      </c>
      <c r="E1176" t="s">
        <v>107</v>
      </c>
      <c r="F1176" t="s">
        <v>41</v>
      </c>
      <c r="G1176" t="s">
        <v>74</v>
      </c>
      <c r="H1176" t="s">
        <v>287</v>
      </c>
      <c r="I1176" t="s">
        <v>298</v>
      </c>
      <c r="J1176">
        <v>491</v>
      </c>
      <c r="K1176">
        <v>43</v>
      </c>
      <c r="L1176" t="s">
        <v>68</v>
      </c>
      <c r="M1176">
        <v>73</v>
      </c>
      <c r="N1176">
        <v>50.5</v>
      </c>
      <c r="O1176">
        <v>65.5</v>
      </c>
      <c r="P1176">
        <v>5.77</v>
      </c>
      <c r="Q1176">
        <v>4.16</v>
      </c>
      <c r="R1176" t="s">
        <v>80</v>
      </c>
      <c r="S1176" t="s">
        <v>29</v>
      </c>
      <c r="T1176" t="s">
        <v>48</v>
      </c>
      <c r="U1176" t="str">
        <f t="shared" si="54"/>
        <v>Normal</v>
      </c>
      <c r="V1176" t="str">
        <f t="shared" si="55"/>
        <v>Normal</v>
      </c>
      <c r="W1176" t="str">
        <f t="shared" si="56"/>
        <v>Normal</v>
      </c>
    </row>
    <row r="1177" spans="1:23" x14ac:dyDescent="0.3">
      <c r="A1177">
        <v>10034</v>
      </c>
      <c r="B1177" s="2">
        <v>45679</v>
      </c>
      <c r="C1177" t="s">
        <v>20</v>
      </c>
      <c r="D1177" t="s">
        <v>59</v>
      </c>
      <c r="E1177" t="s">
        <v>22</v>
      </c>
      <c r="F1177" t="s">
        <v>41</v>
      </c>
      <c r="G1177" t="s">
        <v>54</v>
      </c>
      <c r="H1177" t="s">
        <v>93</v>
      </c>
      <c r="I1177" t="s">
        <v>226</v>
      </c>
      <c r="J1177">
        <v>510</v>
      </c>
      <c r="K1177">
        <v>2</v>
      </c>
      <c r="L1177" t="s">
        <v>27</v>
      </c>
      <c r="M1177">
        <v>38</v>
      </c>
      <c r="N1177">
        <v>39.4</v>
      </c>
      <c r="O1177">
        <v>65.5</v>
      </c>
      <c r="P1177">
        <v>4.7</v>
      </c>
      <c r="Q1177">
        <v>2.5</v>
      </c>
      <c r="R1177" t="s">
        <v>229</v>
      </c>
      <c r="S1177" t="s">
        <v>73</v>
      </c>
      <c r="T1177" t="s">
        <v>30</v>
      </c>
      <c r="U1177" t="str">
        <f t="shared" si="54"/>
        <v>Normal</v>
      </c>
      <c r="V1177" t="str">
        <f t="shared" si="55"/>
        <v>Normal</v>
      </c>
      <c r="W1177" t="str">
        <f t="shared" si="56"/>
        <v>Normal</v>
      </c>
    </row>
    <row r="1178" spans="1:23" x14ac:dyDescent="0.3">
      <c r="A1178">
        <v>10327</v>
      </c>
      <c r="B1178" s="2">
        <v>45689</v>
      </c>
      <c r="C1178" t="s">
        <v>20</v>
      </c>
      <c r="D1178" t="s">
        <v>59</v>
      </c>
      <c r="E1178" t="s">
        <v>40</v>
      </c>
      <c r="F1178" t="s">
        <v>23</v>
      </c>
      <c r="G1178" t="s">
        <v>54</v>
      </c>
      <c r="H1178" t="s">
        <v>148</v>
      </c>
      <c r="I1178" t="s">
        <v>124</v>
      </c>
      <c r="J1178">
        <v>1261</v>
      </c>
      <c r="K1178">
        <v>15</v>
      </c>
      <c r="L1178" t="s">
        <v>37</v>
      </c>
      <c r="M1178">
        <v>34</v>
      </c>
      <c r="N1178">
        <v>40.6</v>
      </c>
      <c r="O1178">
        <v>65.5</v>
      </c>
      <c r="P1178">
        <v>5.58</v>
      </c>
      <c r="Q1178">
        <v>0.11</v>
      </c>
      <c r="R1178" t="s">
        <v>186</v>
      </c>
      <c r="S1178" t="s">
        <v>73</v>
      </c>
      <c r="T1178" t="s">
        <v>30</v>
      </c>
      <c r="U1178" t="str">
        <f t="shared" si="54"/>
        <v>Normal</v>
      </c>
      <c r="V1178" t="str">
        <f t="shared" si="55"/>
        <v>Normal</v>
      </c>
      <c r="W1178" t="str">
        <f t="shared" si="56"/>
        <v>Normal</v>
      </c>
    </row>
    <row r="1179" spans="1:23" x14ac:dyDescent="0.3">
      <c r="A1179">
        <v>10852</v>
      </c>
      <c r="B1179" s="2">
        <v>45890</v>
      </c>
      <c r="C1179" t="s">
        <v>20</v>
      </c>
      <c r="D1179" t="s">
        <v>59</v>
      </c>
      <c r="E1179" t="s">
        <v>107</v>
      </c>
      <c r="F1179" t="s">
        <v>41</v>
      </c>
      <c r="G1179" t="s">
        <v>42</v>
      </c>
      <c r="H1179" t="s">
        <v>75</v>
      </c>
      <c r="I1179" t="s">
        <v>62</v>
      </c>
      <c r="J1179">
        <v>1253</v>
      </c>
      <c r="K1179">
        <v>12</v>
      </c>
      <c r="L1179" t="s">
        <v>37</v>
      </c>
      <c r="M1179">
        <v>135</v>
      </c>
      <c r="N1179">
        <v>35.200000000000003</v>
      </c>
      <c r="O1179">
        <v>65.5</v>
      </c>
      <c r="P1179">
        <v>4.67</v>
      </c>
      <c r="Q1179">
        <v>1.29</v>
      </c>
      <c r="R1179" t="s">
        <v>153</v>
      </c>
      <c r="S1179" t="s">
        <v>47</v>
      </c>
      <c r="T1179" t="s">
        <v>30</v>
      </c>
      <c r="U1179" t="str">
        <f t="shared" si="54"/>
        <v>Normal</v>
      </c>
      <c r="V1179" t="str">
        <f t="shared" si="55"/>
        <v>Normal</v>
      </c>
      <c r="W1179" t="str">
        <f t="shared" si="56"/>
        <v>Normal</v>
      </c>
    </row>
    <row r="1180" spans="1:23" x14ac:dyDescent="0.3">
      <c r="A1180">
        <v>10641</v>
      </c>
      <c r="B1180" s="2">
        <v>45973</v>
      </c>
      <c r="C1180" t="s">
        <v>20</v>
      </c>
      <c r="D1180" t="s">
        <v>32</v>
      </c>
      <c r="E1180" t="s">
        <v>22</v>
      </c>
      <c r="F1180" t="s">
        <v>41</v>
      </c>
      <c r="G1180" t="s">
        <v>24</v>
      </c>
      <c r="H1180" t="s">
        <v>99</v>
      </c>
      <c r="I1180" t="s">
        <v>255</v>
      </c>
      <c r="J1180">
        <v>1080</v>
      </c>
      <c r="K1180">
        <v>11</v>
      </c>
      <c r="L1180" t="s">
        <v>57</v>
      </c>
      <c r="M1180">
        <v>83</v>
      </c>
      <c r="N1180">
        <v>29.2</v>
      </c>
      <c r="O1180">
        <v>65.5</v>
      </c>
      <c r="P1180">
        <v>4.92</v>
      </c>
      <c r="Q1180">
        <v>2.06</v>
      </c>
      <c r="R1180" t="s">
        <v>209</v>
      </c>
      <c r="S1180" t="s">
        <v>39</v>
      </c>
      <c r="T1180" t="s">
        <v>30</v>
      </c>
      <c r="U1180" t="str">
        <f t="shared" si="54"/>
        <v>Normal</v>
      </c>
      <c r="V1180" t="str">
        <f t="shared" si="55"/>
        <v>Normal</v>
      </c>
      <c r="W1180" t="str">
        <f t="shared" si="56"/>
        <v>Normal</v>
      </c>
    </row>
    <row r="1181" spans="1:23" x14ac:dyDescent="0.3">
      <c r="A1181">
        <v>10699</v>
      </c>
      <c r="B1181" s="2">
        <v>45788</v>
      </c>
      <c r="C1181" t="s">
        <v>20</v>
      </c>
      <c r="D1181" t="s">
        <v>32</v>
      </c>
      <c r="E1181" t="s">
        <v>40</v>
      </c>
      <c r="F1181" t="s">
        <v>41</v>
      </c>
      <c r="G1181" t="s">
        <v>134</v>
      </c>
      <c r="H1181" t="s">
        <v>85</v>
      </c>
      <c r="I1181" t="s">
        <v>289</v>
      </c>
      <c r="J1181">
        <v>1057</v>
      </c>
      <c r="K1181">
        <v>25</v>
      </c>
      <c r="L1181" t="s">
        <v>57</v>
      </c>
      <c r="M1181">
        <v>167</v>
      </c>
      <c r="N1181">
        <v>34.9</v>
      </c>
      <c r="O1181">
        <v>65.5</v>
      </c>
      <c r="P1181">
        <v>4.84</v>
      </c>
      <c r="Q1181">
        <v>2.41</v>
      </c>
      <c r="R1181" t="s">
        <v>77</v>
      </c>
      <c r="S1181" t="s">
        <v>47</v>
      </c>
      <c r="T1181" t="s">
        <v>30</v>
      </c>
      <c r="U1181" t="str">
        <f t="shared" si="54"/>
        <v>Normal</v>
      </c>
      <c r="V1181" t="str">
        <f t="shared" si="55"/>
        <v>Normal</v>
      </c>
      <c r="W1181" t="str">
        <f t="shared" si="56"/>
        <v>Normal</v>
      </c>
    </row>
    <row r="1182" spans="1:23" x14ac:dyDescent="0.3">
      <c r="A1182">
        <v>10675</v>
      </c>
      <c r="B1182" s="2">
        <v>45792</v>
      </c>
      <c r="C1182" t="s">
        <v>49</v>
      </c>
      <c r="D1182" t="s">
        <v>21</v>
      </c>
      <c r="E1182" t="s">
        <v>22</v>
      </c>
      <c r="F1182" t="s">
        <v>41</v>
      </c>
      <c r="G1182" t="s">
        <v>113</v>
      </c>
      <c r="H1182" t="s">
        <v>69</v>
      </c>
      <c r="I1182" t="s">
        <v>124</v>
      </c>
      <c r="J1182">
        <v>604</v>
      </c>
      <c r="K1182">
        <v>13</v>
      </c>
      <c r="L1182" t="s">
        <v>37</v>
      </c>
      <c r="M1182">
        <v>178</v>
      </c>
      <c r="N1182">
        <v>40.5</v>
      </c>
      <c r="O1182">
        <v>65.400000000000006</v>
      </c>
      <c r="P1182">
        <v>4.8</v>
      </c>
      <c r="Q1182">
        <v>1.96</v>
      </c>
      <c r="R1182" t="s">
        <v>184</v>
      </c>
      <c r="S1182" t="s">
        <v>39</v>
      </c>
      <c r="T1182" t="s">
        <v>30</v>
      </c>
      <c r="U1182" t="str">
        <f t="shared" si="54"/>
        <v>Normal</v>
      </c>
      <c r="V1182" t="str">
        <f t="shared" si="55"/>
        <v>Normal</v>
      </c>
      <c r="W1182" t="str">
        <f t="shared" si="56"/>
        <v>Normal</v>
      </c>
    </row>
    <row r="1183" spans="1:23" x14ac:dyDescent="0.3">
      <c r="A1183">
        <v>10366</v>
      </c>
      <c r="B1183" s="2">
        <v>45950</v>
      </c>
      <c r="C1183" t="s">
        <v>31</v>
      </c>
      <c r="D1183" t="s">
        <v>64</v>
      </c>
      <c r="E1183" t="s">
        <v>40</v>
      </c>
      <c r="F1183" t="s">
        <v>23</v>
      </c>
      <c r="G1183" t="s">
        <v>89</v>
      </c>
      <c r="H1183" t="s">
        <v>148</v>
      </c>
      <c r="I1183" t="s">
        <v>203</v>
      </c>
      <c r="J1183">
        <v>845</v>
      </c>
      <c r="K1183">
        <v>2</v>
      </c>
      <c r="L1183" t="s">
        <v>27</v>
      </c>
      <c r="M1183">
        <v>75</v>
      </c>
      <c r="N1183">
        <v>41.6</v>
      </c>
      <c r="O1183">
        <v>65.400000000000006</v>
      </c>
      <c r="P1183">
        <v>5.67</v>
      </c>
      <c r="Q1183">
        <v>3.53</v>
      </c>
      <c r="R1183" t="s">
        <v>143</v>
      </c>
      <c r="S1183" t="s">
        <v>39</v>
      </c>
      <c r="T1183" t="s">
        <v>30</v>
      </c>
      <c r="U1183" t="str">
        <f t="shared" si="54"/>
        <v>Normal</v>
      </c>
      <c r="V1183" t="str">
        <f t="shared" si="55"/>
        <v>Normal</v>
      </c>
      <c r="W1183" t="str">
        <f t="shared" si="56"/>
        <v>Normal</v>
      </c>
    </row>
    <row r="1184" spans="1:23" x14ac:dyDescent="0.3">
      <c r="A1184">
        <v>10938</v>
      </c>
      <c r="B1184" s="2">
        <v>45978</v>
      </c>
      <c r="C1184" t="s">
        <v>49</v>
      </c>
      <c r="D1184" t="s">
        <v>32</v>
      </c>
      <c r="E1184" t="s">
        <v>22</v>
      </c>
      <c r="F1184" t="s">
        <v>41</v>
      </c>
      <c r="G1184" t="s">
        <v>54</v>
      </c>
      <c r="H1184" t="s">
        <v>101</v>
      </c>
      <c r="I1184" t="s">
        <v>260</v>
      </c>
      <c r="J1184">
        <v>1025</v>
      </c>
      <c r="K1184">
        <v>3</v>
      </c>
      <c r="L1184" t="s">
        <v>27</v>
      </c>
      <c r="M1184">
        <v>108</v>
      </c>
      <c r="N1184">
        <v>46.4</v>
      </c>
      <c r="O1184">
        <v>65.400000000000006</v>
      </c>
      <c r="P1184">
        <v>5.65</v>
      </c>
      <c r="Q1184">
        <v>4.04</v>
      </c>
      <c r="R1184" t="s">
        <v>153</v>
      </c>
      <c r="S1184" t="s">
        <v>39</v>
      </c>
      <c r="T1184" t="s">
        <v>30</v>
      </c>
      <c r="U1184" t="str">
        <f t="shared" si="54"/>
        <v>Normal</v>
      </c>
      <c r="V1184" t="str">
        <f t="shared" si="55"/>
        <v>Normal</v>
      </c>
      <c r="W1184" t="str">
        <f t="shared" si="56"/>
        <v>Normal</v>
      </c>
    </row>
    <row r="1185" spans="1:23" x14ac:dyDescent="0.3">
      <c r="A1185">
        <v>10415</v>
      </c>
      <c r="B1185" s="2">
        <v>45846</v>
      </c>
      <c r="C1185" t="s">
        <v>31</v>
      </c>
      <c r="D1185" t="s">
        <v>59</v>
      </c>
      <c r="E1185" t="s">
        <v>33</v>
      </c>
      <c r="F1185" t="s">
        <v>41</v>
      </c>
      <c r="G1185" t="s">
        <v>113</v>
      </c>
      <c r="H1185" t="s">
        <v>43</v>
      </c>
      <c r="I1185" t="s">
        <v>364</v>
      </c>
      <c r="J1185">
        <v>1317</v>
      </c>
      <c r="K1185">
        <v>9</v>
      </c>
      <c r="L1185" t="s">
        <v>45</v>
      </c>
      <c r="M1185">
        <v>85</v>
      </c>
      <c r="N1185">
        <v>42.4</v>
      </c>
      <c r="O1185">
        <v>65.400000000000006</v>
      </c>
      <c r="P1185">
        <v>6.45</v>
      </c>
      <c r="Q1185">
        <v>0.92</v>
      </c>
      <c r="R1185" t="s">
        <v>53</v>
      </c>
      <c r="S1185" t="s">
        <v>39</v>
      </c>
      <c r="T1185" t="s">
        <v>30</v>
      </c>
      <c r="U1185" t="str">
        <f t="shared" si="54"/>
        <v>Normal</v>
      </c>
      <c r="V1185" t="str">
        <f t="shared" si="55"/>
        <v>Normal</v>
      </c>
      <c r="W1185" t="str">
        <f t="shared" si="56"/>
        <v>Normal</v>
      </c>
    </row>
    <row r="1186" spans="1:23" x14ac:dyDescent="0.3">
      <c r="A1186">
        <v>10273</v>
      </c>
      <c r="B1186" s="2">
        <v>45786</v>
      </c>
      <c r="C1186" t="s">
        <v>49</v>
      </c>
      <c r="D1186" t="s">
        <v>32</v>
      </c>
      <c r="E1186" t="s">
        <v>22</v>
      </c>
      <c r="F1186" t="s">
        <v>23</v>
      </c>
      <c r="G1186" t="s">
        <v>95</v>
      </c>
      <c r="H1186" t="s">
        <v>88</v>
      </c>
      <c r="I1186" t="s">
        <v>118</v>
      </c>
      <c r="J1186">
        <v>883</v>
      </c>
      <c r="K1186">
        <v>24</v>
      </c>
      <c r="L1186" t="s">
        <v>68</v>
      </c>
      <c r="M1186">
        <v>49</v>
      </c>
      <c r="N1186">
        <v>37.200000000000003</v>
      </c>
      <c r="O1186">
        <v>65.400000000000006</v>
      </c>
      <c r="P1186">
        <v>5.84</v>
      </c>
      <c r="Q1186">
        <v>3.3</v>
      </c>
      <c r="R1186" t="s">
        <v>140</v>
      </c>
      <c r="S1186" t="s">
        <v>73</v>
      </c>
      <c r="T1186" t="s">
        <v>30</v>
      </c>
      <c r="U1186" t="str">
        <f t="shared" si="54"/>
        <v>Normal</v>
      </c>
      <c r="V1186" t="str">
        <f t="shared" si="55"/>
        <v>Normal</v>
      </c>
      <c r="W1186" t="str">
        <f t="shared" si="56"/>
        <v>Normal</v>
      </c>
    </row>
    <row r="1187" spans="1:23" x14ac:dyDescent="0.3">
      <c r="A1187">
        <v>10731</v>
      </c>
      <c r="B1187" s="2">
        <v>46000</v>
      </c>
      <c r="C1187" t="s">
        <v>20</v>
      </c>
      <c r="D1187" t="s">
        <v>32</v>
      </c>
      <c r="E1187" t="s">
        <v>33</v>
      </c>
      <c r="F1187" t="s">
        <v>23</v>
      </c>
      <c r="G1187" t="s">
        <v>74</v>
      </c>
      <c r="H1187" t="s">
        <v>75</v>
      </c>
      <c r="I1187" t="s">
        <v>132</v>
      </c>
      <c r="J1187">
        <v>725</v>
      </c>
      <c r="K1187">
        <v>7</v>
      </c>
      <c r="L1187" t="s">
        <v>37</v>
      </c>
      <c r="M1187">
        <v>99</v>
      </c>
      <c r="N1187">
        <v>48.1</v>
      </c>
      <c r="O1187">
        <v>65.400000000000006</v>
      </c>
      <c r="P1187">
        <v>6.3</v>
      </c>
      <c r="Q1187">
        <v>1.9</v>
      </c>
      <c r="R1187" t="s">
        <v>111</v>
      </c>
      <c r="S1187" t="s">
        <v>47</v>
      </c>
      <c r="T1187" t="s">
        <v>30</v>
      </c>
      <c r="U1187" t="str">
        <f t="shared" si="54"/>
        <v>Normal</v>
      </c>
      <c r="V1187" t="str">
        <f t="shared" si="55"/>
        <v>Normal</v>
      </c>
      <c r="W1187" t="str">
        <f t="shared" si="56"/>
        <v>Normal</v>
      </c>
    </row>
    <row r="1188" spans="1:23" x14ac:dyDescent="0.3">
      <c r="A1188">
        <v>11192</v>
      </c>
      <c r="B1188" s="2">
        <v>45873</v>
      </c>
      <c r="C1188" t="s">
        <v>20</v>
      </c>
      <c r="D1188" t="s">
        <v>21</v>
      </c>
      <c r="E1188" t="s">
        <v>40</v>
      </c>
      <c r="F1188" t="s">
        <v>41</v>
      </c>
      <c r="G1188" t="s">
        <v>113</v>
      </c>
      <c r="H1188" t="s">
        <v>161</v>
      </c>
      <c r="I1188" t="s">
        <v>217</v>
      </c>
      <c r="J1188">
        <v>664</v>
      </c>
      <c r="K1188">
        <v>5</v>
      </c>
      <c r="L1188" t="s">
        <v>37</v>
      </c>
      <c r="M1188">
        <v>98</v>
      </c>
      <c r="N1188">
        <v>49.4</v>
      </c>
      <c r="O1188">
        <v>65.400000000000006</v>
      </c>
      <c r="P1188">
        <v>5.55</v>
      </c>
      <c r="Q1188">
        <v>3.76</v>
      </c>
      <c r="R1188" t="s">
        <v>232</v>
      </c>
      <c r="S1188" t="s">
        <v>47</v>
      </c>
      <c r="T1188" t="s">
        <v>30</v>
      </c>
      <c r="U1188" t="str">
        <f t="shared" si="54"/>
        <v>Normal</v>
      </c>
      <c r="V1188" t="str">
        <f t="shared" si="55"/>
        <v>Normal</v>
      </c>
      <c r="W1188" t="str">
        <f t="shared" si="56"/>
        <v>Normal</v>
      </c>
    </row>
    <row r="1189" spans="1:23" x14ac:dyDescent="0.3">
      <c r="A1189">
        <v>11469</v>
      </c>
      <c r="B1189" s="2">
        <v>45905</v>
      </c>
      <c r="C1189" t="s">
        <v>31</v>
      </c>
      <c r="D1189" t="s">
        <v>64</v>
      </c>
      <c r="E1189" t="s">
        <v>40</v>
      </c>
      <c r="F1189" t="s">
        <v>23</v>
      </c>
      <c r="G1189" t="s">
        <v>42</v>
      </c>
      <c r="H1189" t="s">
        <v>85</v>
      </c>
      <c r="I1189" t="s">
        <v>307</v>
      </c>
      <c r="J1189">
        <v>455</v>
      </c>
      <c r="K1189">
        <v>1</v>
      </c>
      <c r="L1189" t="s">
        <v>37</v>
      </c>
      <c r="M1189">
        <v>137</v>
      </c>
      <c r="N1189">
        <v>28.3</v>
      </c>
      <c r="O1189">
        <v>65.400000000000006</v>
      </c>
      <c r="P1189">
        <v>5.67</v>
      </c>
      <c r="Q1189">
        <v>1.76</v>
      </c>
      <c r="R1189" t="s">
        <v>84</v>
      </c>
      <c r="S1189" t="s">
        <v>29</v>
      </c>
      <c r="T1189" t="s">
        <v>30</v>
      </c>
      <c r="U1189" t="str">
        <f t="shared" si="54"/>
        <v>Normal</v>
      </c>
      <c r="V1189" t="str">
        <f t="shared" si="55"/>
        <v>Normal</v>
      </c>
      <c r="W1189" t="str">
        <f t="shared" si="56"/>
        <v>Normal</v>
      </c>
    </row>
    <row r="1190" spans="1:23" x14ac:dyDescent="0.3">
      <c r="A1190">
        <v>10176</v>
      </c>
      <c r="B1190" s="2">
        <v>45825</v>
      </c>
      <c r="C1190" t="s">
        <v>31</v>
      </c>
      <c r="D1190" t="s">
        <v>64</v>
      </c>
      <c r="E1190" t="s">
        <v>22</v>
      </c>
      <c r="F1190" t="s">
        <v>81</v>
      </c>
      <c r="G1190" t="s">
        <v>34</v>
      </c>
      <c r="H1190" t="s">
        <v>66</v>
      </c>
      <c r="I1190" t="s">
        <v>67</v>
      </c>
      <c r="J1190">
        <v>1364</v>
      </c>
      <c r="K1190">
        <v>13</v>
      </c>
      <c r="L1190" t="s">
        <v>68</v>
      </c>
      <c r="M1190">
        <v>114</v>
      </c>
      <c r="N1190">
        <v>35.6</v>
      </c>
      <c r="O1190">
        <v>65.3</v>
      </c>
      <c r="P1190">
        <v>5.15</v>
      </c>
      <c r="Q1190">
        <v>2.0099999999999998</v>
      </c>
      <c r="R1190" t="s">
        <v>46</v>
      </c>
      <c r="S1190" t="s">
        <v>29</v>
      </c>
      <c r="T1190" t="s">
        <v>30</v>
      </c>
      <c r="U1190" t="str">
        <f t="shared" si="54"/>
        <v>Normal</v>
      </c>
      <c r="V1190" t="str">
        <f t="shared" si="55"/>
        <v>Normal</v>
      </c>
      <c r="W1190" t="str">
        <f t="shared" si="56"/>
        <v>Normal</v>
      </c>
    </row>
    <row r="1191" spans="1:23" x14ac:dyDescent="0.3">
      <c r="A1191">
        <v>10326</v>
      </c>
      <c r="B1191" s="2">
        <v>45771</v>
      </c>
      <c r="C1191" t="s">
        <v>49</v>
      </c>
      <c r="D1191" t="s">
        <v>59</v>
      </c>
      <c r="E1191" t="s">
        <v>107</v>
      </c>
      <c r="F1191" t="s">
        <v>23</v>
      </c>
      <c r="G1191" t="s">
        <v>60</v>
      </c>
      <c r="H1191" t="s">
        <v>88</v>
      </c>
      <c r="I1191" t="s">
        <v>218</v>
      </c>
      <c r="J1191">
        <v>709</v>
      </c>
      <c r="K1191">
        <v>7</v>
      </c>
      <c r="L1191" t="s">
        <v>57</v>
      </c>
      <c r="M1191">
        <v>24</v>
      </c>
      <c r="N1191">
        <v>37.200000000000003</v>
      </c>
      <c r="O1191">
        <v>65.3</v>
      </c>
      <c r="P1191">
        <v>5.38</v>
      </c>
      <c r="Q1191">
        <v>2.89</v>
      </c>
      <c r="R1191" t="s">
        <v>159</v>
      </c>
      <c r="S1191" t="s">
        <v>47</v>
      </c>
      <c r="T1191" t="s">
        <v>30</v>
      </c>
      <c r="U1191" t="str">
        <f t="shared" si="54"/>
        <v>Normal</v>
      </c>
      <c r="V1191" t="str">
        <f t="shared" si="55"/>
        <v>Normal</v>
      </c>
      <c r="W1191" t="str">
        <f t="shared" si="56"/>
        <v>Normal</v>
      </c>
    </row>
    <row r="1192" spans="1:23" x14ac:dyDescent="0.3">
      <c r="A1192">
        <v>10121</v>
      </c>
      <c r="B1192" s="2">
        <v>45791</v>
      </c>
      <c r="C1192" t="s">
        <v>31</v>
      </c>
      <c r="D1192" t="s">
        <v>21</v>
      </c>
      <c r="E1192" t="s">
        <v>107</v>
      </c>
      <c r="F1192" t="s">
        <v>81</v>
      </c>
      <c r="G1192" t="s">
        <v>42</v>
      </c>
      <c r="H1192" t="s">
        <v>66</v>
      </c>
      <c r="I1192" t="s">
        <v>279</v>
      </c>
      <c r="J1192">
        <v>1471</v>
      </c>
      <c r="K1192">
        <v>29</v>
      </c>
      <c r="L1192" t="s">
        <v>37</v>
      </c>
      <c r="M1192">
        <v>112</v>
      </c>
      <c r="N1192">
        <v>34.200000000000003</v>
      </c>
      <c r="O1192">
        <v>65.3</v>
      </c>
      <c r="P1192">
        <v>5.31</v>
      </c>
      <c r="Q1192">
        <v>2.92</v>
      </c>
      <c r="R1192" t="s">
        <v>153</v>
      </c>
      <c r="S1192" t="s">
        <v>29</v>
      </c>
      <c r="T1192" t="s">
        <v>30</v>
      </c>
      <c r="U1192" t="str">
        <f t="shared" si="54"/>
        <v>Normal</v>
      </c>
      <c r="V1192" t="str">
        <f t="shared" si="55"/>
        <v>Normal</v>
      </c>
      <c r="W1192" t="str">
        <f t="shared" si="56"/>
        <v>Normal</v>
      </c>
    </row>
    <row r="1193" spans="1:23" x14ac:dyDescent="0.3">
      <c r="A1193">
        <v>10667</v>
      </c>
      <c r="B1193" s="2">
        <v>45661</v>
      </c>
      <c r="C1193" t="s">
        <v>31</v>
      </c>
      <c r="D1193" t="s">
        <v>21</v>
      </c>
      <c r="E1193" t="s">
        <v>40</v>
      </c>
      <c r="F1193" t="s">
        <v>23</v>
      </c>
      <c r="G1193" t="s">
        <v>134</v>
      </c>
      <c r="H1193" t="s">
        <v>69</v>
      </c>
      <c r="I1193" t="s">
        <v>358</v>
      </c>
      <c r="J1193">
        <v>1153</v>
      </c>
      <c r="K1193">
        <v>3</v>
      </c>
      <c r="L1193" t="s">
        <v>68</v>
      </c>
      <c r="M1193">
        <v>17</v>
      </c>
      <c r="N1193">
        <v>40.6</v>
      </c>
      <c r="O1193">
        <v>65.3</v>
      </c>
      <c r="P1193">
        <v>4.49</v>
      </c>
      <c r="Q1193">
        <v>3.63</v>
      </c>
      <c r="R1193" t="s">
        <v>153</v>
      </c>
      <c r="S1193" t="s">
        <v>29</v>
      </c>
      <c r="T1193" t="s">
        <v>30</v>
      </c>
      <c r="U1193" t="str">
        <f t="shared" si="54"/>
        <v>Normal</v>
      </c>
      <c r="V1193" t="str">
        <f t="shared" si="55"/>
        <v>Normal</v>
      </c>
      <c r="W1193" t="str">
        <f t="shared" si="56"/>
        <v>Normal</v>
      </c>
    </row>
    <row r="1194" spans="1:23" x14ac:dyDescent="0.3">
      <c r="A1194">
        <v>11148</v>
      </c>
      <c r="B1194" s="2">
        <v>45693</v>
      </c>
      <c r="C1194" t="s">
        <v>31</v>
      </c>
      <c r="D1194" t="s">
        <v>64</v>
      </c>
      <c r="E1194" t="s">
        <v>40</v>
      </c>
      <c r="F1194" t="s">
        <v>23</v>
      </c>
      <c r="G1194" t="s">
        <v>60</v>
      </c>
      <c r="H1194" t="s">
        <v>69</v>
      </c>
      <c r="I1194" t="s">
        <v>388</v>
      </c>
      <c r="J1194">
        <v>698</v>
      </c>
      <c r="K1194">
        <v>7</v>
      </c>
      <c r="L1194" t="s">
        <v>71</v>
      </c>
      <c r="M1194">
        <v>40</v>
      </c>
      <c r="N1194">
        <v>37.1</v>
      </c>
      <c r="O1194">
        <v>65.3</v>
      </c>
      <c r="P1194">
        <v>5.56</v>
      </c>
      <c r="Q1194">
        <v>2.4700000000000002</v>
      </c>
      <c r="R1194" t="s">
        <v>184</v>
      </c>
      <c r="S1194" t="s">
        <v>47</v>
      </c>
      <c r="T1194" t="s">
        <v>30</v>
      </c>
      <c r="U1194" t="str">
        <f t="shared" si="54"/>
        <v>Normal</v>
      </c>
      <c r="V1194" t="str">
        <f t="shared" si="55"/>
        <v>Normal</v>
      </c>
      <c r="W1194" t="str">
        <f t="shared" si="56"/>
        <v>Normal</v>
      </c>
    </row>
    <row r="1195" spans="1:23" x14ac:dyDescent="0.3">
      <c r="A1195">
        <v>10016</v>
      </c>
      <c r="B1195" s="2">
        <v>45921</v>
      </c>
      <c r="C1195" t="s">
        <v>49</v>
      </c>
      <c r="D1195" t="s">
        <v>21</v>
      </c>
      <c r="E1195" t="s">
        <v>33</v>
      </c>
      <c r="F1195" t="s">
        <v>81</v>
      </c>
      <c r="G1195" t="s">
        <v>50</v>
      </c>
      <c r="H1195" t="s">
        <v>141</v>
      </c>
      <c r="I1195" t="s">
        <v>261</v>
      </c>
      <c r="J1195">
        <v>857</v>
      </c>
      <c r="K1195">
        <v>24</v>
      </c>
      <c r="L1195" t="s">
        <v>45</v>
      </c>
      <c r="M1195">
        <v>102</v>
      </c>
      <c r="N1195">
        <v>43.2</v>
      </c>
      <c r="O1195">
        <v>65.2</v>
      </c>
      <c r="P1195">
        <v>5.17</v>
      </c>
      <c r="Q1195">
        <v>2.21</v>
      </c>
      <c r="R1195" t="s">
        <v>58</v>
      </c>
      <c r="S1195" t="s">
        <v>29</v>
      </c>
      <c r="T1195" t="s">
        <v>30</v>
      </c>
      <c r="U1195" t="str">
        <f t="shared" si="54"/>
        <v>Normal</v>
      </c>
      <c r="V1195" t="str">
        <f t="shared" si="55"/>
        <v>Normal</v>
      </c>
      <c r="W1195" t="str">
        <f t="shared" si="56"/>
        <v>Normal</v>
      </c>
    </row>
    <row r="1196" spans="1:23" x14ac:dyDescent="0.3">
      <c r="A1196">
        <v>11340</v>
      </c>
      <c r="B1196" s="2">
        <v>45733</v>
      </c>
      <c r="C1196" t="s">
        <v>20</v>
      </c>
      <c r="D1196" t="s">
        <v>21</v>
      </c>
      <c r="E1196" t="s">
        <v>40</v>
      </c>
      <c r="F1196" t="s">
        <v>23</v>
      </c>
      <c r="G1196" t="s">
        <v>134</v>
      </c>
      <c r="H1196" t="s">
        <v>177</v>
      </c>
      <c r="I1196" t="s">
        <v>279</v>
      </c>
      <c r="J1196">
        <v>962</v>
      </c>
      <c r="K1196">
        <v>10</v>
      </c>
      <c r="L1196" t="s">
        <v>45</v>
      </c>
      <c r="M1196">
        <v>103</v>
      </c>
      <c r="N1196">
        <v>31.4</v>
      </c>
      <c r="O1196">
        <v>65.2</v>
      </c>
      <c r="P1196">
        <v>4.1900000000000004</v>
      </c>
      <c r="Q1196">
        <v>2.3199999999999998</v>
      </c>
      <c r="R1196" t="s">
        <v>111</v>
      </c>
      <c r="S1196" t="s">
        <v>73</v>
      </c>
      <c r="T1196" t="s">
        <v>30</v>
      </c>
      <c r="U1196" t="str">
        <f t="shared" si="54"/>
        <v>Normal</v>
      </c>
      <c r="V1196" t="str">
        <f t="shared" si="55"/>
        <v>Normal</v>
      </c>
      <c r="W1196" t="str">
        <f t="shared" si="56"/>
        <v>Normal</v>
      </c>
    </row>
    <row r="1197" spans="1:23" x14ac:dyDescent="0.3">
      <c r="A1197">
        <v>10043</v>
      </c>
      <c r="B1197" s="2">
        <v>45699</v>
      </c>
      <c r="C1197" t="s">
        <v>31</v>
      </c>
      <c r="D1197" t="s">
        <v>32</v>
      </c>
      <c r="E1197" t="s">
        <v>22</v>
      </c>
      <c r="F1197" t="s">
        <v>41</v>
      </c>
      <c r="G1197" t="s">
        <v>50</v>
      </c>
      <c r="H1197" t="s">
        <v>287</v>
      </c>
      <c r="I1197" t="s">
        <v>316</v>
      </c>
      <c r="J1197">
        <v>1270</v>
      </c>
      <c r="K1197">
        <v>39</v>
      </c>
      <c r="L1197" t="s">
        <v>71</v>
      </c>
      <c r="M1197">
        <v>161</v>
      </c>
      <c r="N1197">
        <v>38.799999999999997</v>
      </c>
      <c r="O1197">
        <v>65.2</v>
      </c>
      <c r="P1197">
        <v>5.86</v>
      </c>
      <c r="Q1197">
        <v>1.86</v>
      </c>
      <c r="R1197" t="s">
        <v>63</v>
      </c>
      <c r="S1197" t="s">
        <v>29</v>
      </c>
      <c r="T1197" t="s">
        <v>48</v>
      </c>
      <c r="U1197" t="str">
        <f t="shared" si="54"/>
        <v>Normal</v>
      </c>
      <c r="V1197" t="str">
        <f t="shared" si="55"/>
        <v>Normal</v>
      </c>
      <c r="W1197" t="str">
        <f t="shared" si="56"/>
        <v>Normal</v>
      </c>
    </row>
    <row r="1198" spans="1:23" x14ac:dyDescent="0.3">
      <c r="A1198">
        <v>10894</v>
      </c>
      <c r="B1198" s="2">
        <v>45821</v>
      </c>
      <c r="C1198" t="s">
        <v>20</v>
      </c>
      <c r="D1198" t="s">
        <v>32</v>
      </c>
      <c r="E1198" t="s">
        <v>33</v>
      </c>
      <c r="F1198" t="s">
        <v>23</v>
      </c>
      <c r="G1198" t="s">
        <v>74</v>
      </c>
      <c r="H1198" t="s">
        <v>90</v>
      </c>
      <c r="I1198" t="s">
        <v>378</v>
      </c>
      <c r="J1198">
        <v>915</v>
      </c>
      <c r="K1198">
        <v>5</v>
      </c>
      <c r="L1198" t="s">
        <v>27</v>
      </c>
      <c r="M1198">
        <v>139</v>
      </c>
      <c r="N1198">
        <v>43.8</v>
      </c>
      <c r="O1198">
        <v>65.2</v>
      </c>
      <c r="P1198">
        <v>4.87</v>
      </c>
      <c r="Q1198">
        <v>2.92</v>
      </c>
      <c r="R1198" t="s">
        <v>186</v>
      </c>
      <c r="S1198" t="s">
        <v>47</v>
      </c>
      <c r="T1198" t="s">
        <v>30</v>
      </c>
      <c r="U1198" t="str">
        <f t="shared" si="54"/>
        <v>Normal</v>
      </c>
      <c r="V1198" t="str">
        <f t="shared" si="55"/>
        <v>Normal</v>
      </c>
      <c r="W1198" t="str">
        <f t="shared" si="56"/>
        <v>Normal</v>
      </c>
    </row>
    <row r="1199" spans="1:23" x14ac:dyDescent="0.3">
      <c r="A1199">
        <v>10999</v>
      </c>
      <c r="B1199" s="2">
        <v>45881</v>
      </c>
      <c r="C1199" t="s">
        <v>31</v>
      </c>
      <c r="D1199" t="s">
        <v>64</v>
      </c>
      <c r="E1199" t="s">
        <v>22</v>
      </c>
      <c r="F1199" t="s">
        <v>41</v>
      </c>
      <c r="G1199" t="s">
        <v>60</v>
      </c>
      <c r="H1199" t="s">
        <v>114</v>
      </c>
      <c r="I1199" t="s">
        <v>173</v>
      </c>
      <c r="J1199">
        <v>1272</v>
      </c>
      <c r="K1199">
        <v>16</v>
      </c>
      <c r="L1199" t="s">
        <v>45</v>
      </c>
      <c r="M1199">
        <v>80</v>
      </c>
      <c r="N1199">
        <v>44</v>
      </c>
      <c r="O1199">
        <v>65.2</v>
      </c>
      <c r="P1199">
        <v>4.55</v>
      </c>
      <c r="Q1199">
        <v>1.77</v>
      </c>
      <c r="R1199" t="s">
        <v>216</v>
      </c>
      <c r="S1199" t="s">
        <v>39</v>
      </c>
      <c r="T1199" t="s">
        <v>30</v>
      </c>
      <c r="U1199" t="str">
        <f t="shared" si="54"/>
        <v>Normal</v>
      </c>
      <c r="V1199" t="str">
        <f t="shared" si="55"/>
        <v>Normal</v>
      </c>
      <c r="W1199" t="str">
        <f t="shared" si="56"/>
        <v>Normal</v>
      </c>
    </row>
    <row r="1200" spans="1:23" x14ac:dyDescent="0.3">
      <c r="A1200">
        <v>10488</v>
      </c>
      <c r="B1200" s="2">
        <v>45963</v>
      </c>
      <c r="C1200" t="s">
        <v>31</v>
      </c>
      <c r="D1200" t="s">
        <v>21</v>
      </c>
      <c r="E1200" t="s">
        <v>33</v>
      </c>
      <c r="F1200" t="s">
        <v>23</v>
      </c>
      <c r="G1200" t="s">
        <v>109</v>
      </c>
      <c r="H1200" t="s">
        <v>75</v>
      </c>
      <c r="I1200" t="s">
        <v>317</v>
      </c>
      <c r="J1200">
        <v>1117</v>
      </c>
      <c r="K1200">
        <v>112</v>
      </c>
      <c r="L1200" t="s">
        <v>45</v>
      </c>
      <c r="M1200">
        <v>101</v>
      </c>
      <c r="N1200">
        <v>55.1</v>
      </c>
      <c r="O1200">
        <v>65.2</v>
      </c>
      <c r="P1200">
        <v>7.15</v>
      </c>
      <c r="Q1200">
        <v>3.28</v>
      </c>
      <c r="R1200" t="s">
        <v>46</v>
      </c>
      <c r="S1200" t="s">
        <v>39</v>
      </c>
      <c r="T1200" t="s">
        <v>48</v>
      </c>
      <c r="U1200" t="str">
        <f t="shared" si="54"/>
        <v>Normal</v>
      </c>
      <c r="V1200" t="str">
        <f t="shared" si="55"/>
        <v>Normal</v>
      </c>
      <c r="W1200" t="str">
        <f t="shared" si="56"/>
        <v>Normal</v>
      </c>
    </row>
    <row r="1201" spans="1:23" x14ac:dyDescent="0.3">
      <c r="A1201">
        <v>10633</v>
      </c>
      <c r="B1201" s="2">
        <v>45870</v>
      </c>
      <c r="C1201" t="s">
        <v>49</v>
      </c>
      <c r="D1201" t="s">
        <v>21</v>
      </c>
      <c r="E1201" t="s">
        <v>22</v>
      </c>
      <c r="F1201" t="s">
        <v>41</v>
      </c>
      <c r="G1201" t="s">
        <v>50</v>
      </c>
      <c r="H1201" t="s">
        <v>196</v>
      </c>
      <c r="I1201" t="s">
        <v>168</v>
      </c>
      <c r="J1201">
        <v>872</v>
      </c>
      <c r="K1201">
        <v>9</v>
      </c>
      <c r="L1201" t="s">
        <v>27</v>
      </c>
      <c r="M1201">
        <v>141</v>
      </c>
      <c r="N1201">
        <v>44.6</v>
      </c>
      <c r="O1201">
        <v>65.2</v>
      </c>
      <c r="P1201">
        <v>4.93</v>
      </c>
      <c r="Q1201">
        <v>1.24</v>
      </c>
      <c r="R1201" t="s">
        <v>202</v>
      </c>
      <c r="S1201" t="s">
        <v>47</v>
      </c>
      <c r="T1201" t="s">
        <v>30</v>
      </c>
      <c r="U1201" t="str">
        <f t="shared" si="54"/>
        <v>Normal</v>
      </c>
      <c r="V1201" t="str">
        <f t="shared" si="55"/>
        <v>Normal</v>
      </c>
      <c r="W1201" t="str">
        <f t="shared" si="56"/>
        <v>Normal</v>
      </c>
    </row>
    <row r="1202" spans="1:23" x14ac:dyDescent="0.3">
      <c r="A1202">
        <v>10099</v>
      </c>
      <c r="B1202" s="2">
        <v>45830</v>
      </c>
      <c r="C1202" t="s">
        <v>20</v>
      </c>
      <c r="D1202" t="s">
        <v>32</v>
      </c>
      <c r="E1202" t="s">
        <v>22</v>
      </c>
      <c r="F1202" t="s">
        <v>41</v>
      </c>
      <c r="G1202" t="s">
        <v>109</v>
      </c>
      <c r="H1202" t="s">
        <v>93</v>
      </c>
      <c r="I1202" t="s">
        <v>142</v>
      </c>
      <c r="J1202">
        <v>1350</v>
      </c>
      <c r="K1202">
        <v>74</v>
      </c>
      <c r="L1202" t="s">
        <v>37</v>
      </c>
      <c r="M1202">
        <v>38</v>
      </c>
      <c r="N1202">
        <v>50.2</v>
      </c>
      <c r="O1202">
        <v>65.099999999999994</v>
      </c>
      <c r="P1202">
        <v>3.36</v>
      </c>
      <c r="Q1202">
        <v>2.31</v>
      </c>
      <c r="R1202" t="s">
        <v>167</v>
      </c>
      <c r="S1202" t="s">
        <v>29</v>
      </c>
      <c r="T1202" t="s">
        <v>48</v>
      </c>
      <c r="U1202" t="str">
        <f t="shared" si="54"/>
        <v>Normal</v>
      </c>
      <c r="V1202" t="str">
        <f t="shared" si="55"/>
        <v>Normal</v>
      </c>
      <c r="W1202" t="str">
        <f t="shared" si="56"/>
        <v>Normal</v>
      </c>
    </row>
    <row r="1203" spans="1:23" x14ac:dyDescent="0.3">
      <c r="A1203">
        <v>11254</v>
      </c>
      <c r="B1203" s="2">
        <v>45867</v>
      </c>
      <c r="C1203" t="s">
        <v>31</v>
      </c>
      <c r="D1203" t="s">
        <v>59</v>
      </c>
      <c r="E1203" t="s">
        <v>40</v>
      </c>
      <c r="F1203" t="s">
        <v>23</v>
      </c>
      <c r="G1203" t="s">
        <v>95</v>
      </c>
      <c r="H1203" t="s">
        <v>99</v>
      </c>
      <c r="I1203" t="s">
        <v>100</v>
      </c>
      <c r="J1203">
        <v>552</v>
      </c>
      <c r="K1203">
        <v>14</v>
      </c>
      <c r="L1203" t="s">
        <v>71</v>
      </c>
      <c r="M1203">
        <v>138</v>
      </c>
      <c r="N1203">
        <v>40</v>
      </c>
      <c r="O1203">
        <v>65</v>
      </c>
      <c r="P1203">
        <v>5.77</v>
      </c>
      <c r="Q1203">
        <v>3.37</v>
      </c>
      <c r="R1203" t="s">
        <v>84</v>
      </c>
      <c r="S1203" t="s">
        <v>39</v>
      </c>
      <c r="T1203" t="s">
        <v>30</v>
      </c>
      <c r="U1203" t="str">
        <f t="shared" si="54"/>
        <v>Normal</v>
      </c>
      <c r="V1203" t="str">
        <f t="shared" si="55"/>
        <v>Normal</v>
      </c>
      <c r="W1203" t="str">
        <f t="shared" si="56"/>
        <v>Normal</v>
      </c>
    </row>
    <row r="1204" spans="1:23" x14ac:dyDescent="0.3">
      <c r="A1204">
        <v>10352</v>
      </c>
      <c r="B1204" s="2">
        <v>45947</v>
      </c>
      <c r="C1204" t="s">
        <v>49</v>
      </c>
      <c r="D1204" t="s">
        <v>32</v>
      </c>
      <c r="E1204" t="s">
        <v>33</v>
      </c>
      <c r="F1204" t="s">
        <v>41</v>
      </c>
      <c r="G1204" t="s">
        <v>95</v>
      </c>
      <c r="H1204" t="s">
        <v>88</v>
      </c>
      <c r="I1204" t="s">
        <v>139</v>
      </c>
      <c r="J1204">
        <v>829</v>
      </c>
      <c r="K1204">
        <v>30</v>
      </c>
      <c r="L1204" t="s">
        <v>57</v>
      </c>
      <c r="M1204">
        <v>52</v>
      </c>
      <c r="N1204">
        <v>42.8</v>
      </c>
      <c r="O1204">
        <v>65</v>
      </c>
      <c r="P1204">
        <v>4.9400000000000004</v>
      </c>
      <c r="Q1204">
        <v>3.45</v>
      </c>
      <c r="R1204" t="s">
        <v>140</v>
      </c>
      <c r="S1204" t="s">
        <v>424</v>
      </c>
      <c r="T1204" t="s">
        <v>48</v>
      </c>
      <c r="U1204" t="str">
        <f t="shared" si="54"/>
        <v>Normal</v>
      </c>
      <c r="V1204" t="str">
        <f t="shared" si="55"/>
        <v>Normal</v>
      </c>
      <c r="W1204" t="str">
        <f t="shared" si="56"/>
        <v>Normal</v>
      </c>
    </row>
    <row r="1205" spans="1:23" x14ac:dyDescent="0.3">
      <c r="A1205">
        <v>10986</v>
      </c>
      <c r="B1205" s="2">
        <v>45866</v>
      </c>
      <c r="C1205" t="s">
        <v>20</v>
      </c>
      <c r="D1205" t="s">
        <v>64</v>
      </c>
      <c r="E1205" t="s">
        <v>22</v>
      </c>
      <c r="F1205" t="s">
        <v>81</v>
      </c>
      <c r="G1205" t="s">
        <v>109</v>
      </c>
      <c r="H1205" t="s">
        <v>193</v>
      </c>
      <c r="I1205" t="s">
        <v>52</v>
      </c>
      <c r="J1205">
        <v>1533</v>
      </c>
      <c r="K1205">
        <v>19</v>
      </c>
      <c r="L1205" t="s">
        <v>37</v>
      </c>
      <c r="M1205">
        <v>180</v>
      </c>
      <c r="N1205">
        <v>40.299999999999997</v>
      </c>
      <c r="O1205">
        <v>65</v>
      </c>
      <c r="P1205">
        <v>5.47</v>
      </c>
      <c r="Q1205">
        <v>3.01</v>
      </c>
      <c r="R1205" t="s">
        <v>280</v>
      </c>
      <c r="S1205" t="s">
        <v>29</v>
      </c>
      <c r="T1205" t="s">
        <v>30</v>
      </c>
      <c r="U1205" t="str">
        <f t="shared" si="54"/>
        <v>Normal</v>
      </c>
      <c r="V1205" t="str">
        <f t="shared" si="55"/>
        <v>Normal</v>
      </c>
      <c r="W1205" t="str">
        <f t="shared" si="56"/>
        <v>Normal</v>
      </c>
    </row>
    <row r="1206" spans="1:23" x14ac:dyDescent="0.3">
      <c r="A1206">
        <v>10893</v>
      </c>
      <c r="B1206" s="2">
        <v>45782</v>
      </c>
      <c r="C1206" t="s">
        <v>20</v>
      </c>
      <c r="D1206" t="s">
        <v>21</v>
      </c>
      <c r="E1206" t="s">
        <v>33</v>
      </c>
      <c r="F1206" t="s">
        <v>41</v>
      </c>
      <c r="G1206" t="s">
        <v>54</v>
      </c>
      <c r="H1206" t="s">
        <v>126</v>
      </c>
      <c r="I1206" t="s">
        <v>295</v>
      </c>
      <c r="J1206">
        <v>734</v>
      </c>
      <c r="K1206">
        <v>5</v>
      </c>
      <c r="L1206" t="s">
        <v>27</v>
      </c>
      <c r="M1206">
        <v>110</v>
      </c>
      <c r="N1206">
        <v>36.6</v>
      </c>
      <c r="O1206">
        <v>65</v>
      </c>
      <c r="P1206">
        <v>4.68</v>
      </c>
      <c r="Q1206">
        <v>2.15</v>
      </c>
      <c r="R1206" t="s">
        <v>202</v>
      </c>
      <c r="S1206" t="s">
        <v>73</v>
      </c>
      <c r="T1206" t="s">
        <v>30</v>
      </c>
      <c r="U1206" t="str">
        <f t="shared" si="54"/>
        <v>Normal</v>
      </c>
      <c r="V1206" t="str">
        <f t="shared" si="55"/>
        <v>Normal</v>
      </c>
      <c r="W1206" t="str">
        <f t="shared" si="56"/>
        <v>Normal</v>
      </c>
    </row>
    <row r="1207" spans="1:23" x14ac:dyDescent="0.3">
      <c r="A1207">
        <v>11090</v>
      </c>
      <c r="B1207" s="2">
        <v>45853</v>
      </c>
      <c r="C1207" t="s">
        <v>49</v>
      </c>
      <c r="D1207" t="s">
        <v>59</v>
      </c>
      <c r="E1207" t="s">
        <v>40</v>
      </c>
      <c r="F1207" t="s">
        <v>81</v>
      </c>
      <c r="G1207" t="s">
        <v>24</v>
      </c>
      <c r="H1207" t="s">
        <v>278</v>
      </c>
      <c r="I1207" t="s">
        <v>365</v>
      </c>
      <c r="J1207">
        <v>1175</v>
      </c>
      <c r="K1207">
        <v>6</v>
      </c>
      <c r="L1207" t="s">
        <v>71</v>
      </c>
      <c r="M1207">
        <v>131</v>
      </c>
      <c r="N1207">
        <v>64.5</v>
      </c>
      <c r="O1207">
        <v>65</v>
      </c>
      <c r="P1207">
        <v>5.62</v>
      </c>
      <c r="Q1207">
        <v>3.24</v>
      </c>
      <c r="R1207" t="s">
        <v>155</v>
      </c>
      <c r="S1207" t="s">
        <v>73</v>
      </c>
      <c r="T1207" t="s">
        <v>30</v>
      </c>
      <c r="U1207" t="str">
        <f t="shared" si="54"/>
        <v>Normal</v>
      </c>
      <c r="V1207" t="str">
        <f t="shared" si="55"/>
        <v>Normal</v>
      </c>
      <c r="W1207" t="str">
        <f t="shared" si="56"/>
        <v>Normal</v>
      </c>
    </row>
    <row r="1208" spans="1:23" x14ac:dyDescent="0.3">
      <c r="A1208">
        <v>11143</v>
      </c>
      <c r="B1208" s="2">
        <v>45759</v>
      </c>
      <c r="C1208" t="s">
        <v>31</v>
      </c>
      <c r="D1208" t="s">
        <v>32</v>
      </c>
      <c r="E1208" t="s">
        <v>33</v>
      </c>
      <c r="F1208" t="s">
        <v>23</v>
      </c>
      <c r="G1208" t="s">
        <v>34</v>
      </c>
      <c r="H1208" t="s">
        <v>213</v>
      </c>
      <c r="I1208" t="s">
        <v>70</v>
      </c>
      <c r="J1208">
        <v>952</v>
      </c>
      <c r="K1208">
        <v>11</v>
      </c>
      <c r="L1208" t="s">
        <v>424</v>
      </c>
      <c r="M1208">
        <v>50</v>
      </c>
      <c r="N1208">
        <v>36.6</v>
      </c>
      <c r="O1208">
        <v>65</v>
      </c>
      <c r="P1208">
        <v>3.95</v>
      </c>
      <c r="Q1208">
        <v>4.57</v>
      </c>
      <c r="R1208" t="s">
        <v>63</v>
      </c>
      <c r="S1208" t="s">
        <v>29</v>
      </c>
      <c r="T1208" t="s">
        <v>30</v>
      </c>
      <c r="U1208" t="str">
        <f t="shared" si="54"/>
        <v>Normal</v>
      </c>
      <c r="V1208" t="str">
        <f t="shared" si="55"/>
        <v>Normal</v>
      </c>
      <c r="W1208" t="str">
        <f t="shared" si="56"/>
        <v>Normal</v>
      </c>
    </row>
    <row r="1209" spans="1:23" x14ac:dyDescent="0.3">
      <c r="A1209">
        <v>10792</v>
      </c>
      <c r="B1209" s="2">
        <v>45894</v>
      </c>
      <c r="C1209" t="s">
        <v>49</v>
      </c>
      <c r="D1209" t="s">
        <v>64</v>
      </c>
      <c r="E1209" t="s">
        <v>33</v>
      </c>
      <c r="F1209" t="s">
        <v>23</v>
      </c>
      <c r="G1209" t="s">
        <v>89</v>
      </c>
      <c r="H1209" t="s">
        <v>123</v>
      </c>
      <c r="I1209" t="s">
        <v>352</v>
      </c>
      <c r="J1209">
        <v>1573</v>
      </c>
      <c r="K1209">
        <v>17</v>
      </c>
      <c r="L1209" t="s">
        <v>27</v>
      </c>
      <c r="M1209">
        <v>94</v>
      </c>
      <c r="N1209">
        <v>39.9</v>
      </c>
      <c r="O1209">
        <v>65</v>
      </c>
      <c r="P1209">
        <v>4.83</v>
      </c>
      <c r="Q1209">
        <v>2.0699999999999998</v>
      </c>
      <c r="R1209" t="s">
        <v>119</v>
      </c>
      <c r="S1209" t="s">
        <v>47</v>
      </c>
      <c r="T1209" t="s">
        <v>30</v>
      </c>
      <c r="U1209" t="str">
        <f t="shared" si="54"/>
        <v>Normal</v>
      </c>
      <c r="V1209" t="str">
        <f t="shared" si="55"/>
        <v>Normal</v>
      </c>
      <c r="W1209" t="str">
        <f t="shared" si="56"/>
        <v>Normal</v>
      </c>
    </row>
    <row r="1210" spans="1:23" x14ac:dyDescent="0.3">
      <c r="A1210">
        <v>10278</v>
      </c>
      <c r="B1210" s="2">
        <v>45922</v>
      </c>
      <c r="C1210" t="s">
        <v>20</v>
      </c>
      <c r="D1210" t="s">
        <v>32</v>
      </c>
      <c r="E1210" t="s">
        <v>40</v>
      </c>
      <c r="F1210" t="s">
        <v>41</v>
      </c>
      <c r="G1210" t="s">
        <v>109</v>
      </c>
      <c r="H1210" t="s">
        <v>114</v>
      </c>
      <c r="I1210" t="s">
        <v>293</v>
      </c>
      <c r="J1210">
        <v>1184</v>
      </c>
      <c r="K1210">
        <v>2</v>
      </c>
      <c r="L1210" t="s">
        <v>68</v>
      </c>
      <c r="M1210">
        <v>30</v>
      </c>
      <c r="N1210">
        <v>29.1</v>
      </c>
      <c r="O1210">
        <v>64.900000000000006</v>
      </c>
      <c r="P1210">
        <v>5.15</v>
      </c>
      <c r="Q1210">
        <v>3.39</v>
      </c>
      <c r="R1210" t="s">
        <v>46</v>
      </c>
      <c r="S1210" t="s">
        <v>29</v>
      </c>
      <c r="T1210" t="s">
        <v>30</v>
      </c>
      <c r="U1210" t="str">
        <f t="shared" si="54"/>
        <v>Normal</v>
      </c>
      <c r="V1210" t="str">
        <f t="shared" si="55"/>
        <v>Normal</v>
      </c>
      <c r="W1210" t="str">
        <f t="shared" si="56"/>
        <v>Normal</v>
      </c>
    </row>
    <row r="1211" spans="1:23" x14ac:dyDescent="0.3">
      <c r="A1211">
        <v>11010</v>
      </c>
      <c r="B1211" s="2">
        <v>45964</v>
      </c>
      <c r="C1211" t="s">
        <v>31</v>
      </c>
      <c r="D1211" t="s">
        <v>32</v>
      </c>
      <c r="E1211" t="s">
        <v>33</v>
      </c>
      <c r="F1211" t="s">
        <v>41</v>
      </c>
      <c r="G1211" t="s">
        <v>95</v>
      </c>
      <c r="H1211" t="s">
        <v>131</v>
      </c>
      <c r="I1211" t="s">
        <v>191</v>
      </c>
      <c r="J1211">
        <v>472</v>
      </c>
      <c r="K1211">
        <v>6</v>
      </c>
      <c r="L1211" t="s">
        <v>71</v>
      </c>
      <c r="M1211">
        <v>155</v>
      </c>
      <c r="N1211">
        <v>45.3</v>
      </c>
      <c r="O1211">
        <v>64.900000000000006</v>
      </c>
      <c r="P1211">
        <v>4.63</v>
      </c>
      <c r="Q1211">
        <v>3.42</v>
      </c>
      <c r="R1211" t="s">
        <v>119</v>
      </c>
      <c r="S1211" t="s">
        <v>47</v>
      </c>
      <c r="T1211" t="s">
        <v>30</v>
      </c>
      <c r="U1211" t="str">
        <f t="shared" si="54"/>
        <v>Normal</v>
      </c>
      <c r="V1211" t="str">
        <f t="shared" si="55"/>
        <v>Normal</v>
      </c>
      <c r="W1211" t="str">
        <f t="shared" si="56"/>
        <v>Normal</v>
      </c>
    </row>
    <row r="1212" spans="1:23" x14ac:dyDescent="0.3">
      <c r="A1212">
        <v>11243</v>
      </c>
      <c r="B1212" s="2">
        <v>45684</v>
      </c>
      <c r="C1212" t="s">
        <v>20</v>
      </c>
      <c r="D1212" t="s">
        <v>21</v>
      </c>
      <c r="E1212" t="s">
        <v>22</v>
      </c>
      <c r="F1212" t="s">
        <v>81</v>
      </c>
      <c r="G1212" t="s">
        <v>34</v>
      </c>
      <c r="H1212" t="s">
        <v>263</v>
      </c>
      <c r="I1212" t="s">
        <v>275</v>
      </c>
      <c r="J1212">
        <v>1347</v>
      </c>
      <c r="K1212">
        <v>16</v>
      </c>
      <c r="L1212" t="s">
        <v>57</v>
      </c>
      <c r="M1212">
        <v>155</v>
      </c>
      <c r="N1212">
        <v>39.5</v>
      </c>
      <c r="O1212">
        <v>64.900000000000006</v>
      </c>
      <c r="P1212">
        <v>5.81</v>
      </c>
      <c r="Q1212">
        <v>2.35</v>
      </c>
      <c r="R1212" t="s">
        <v>137</v>
      </c>
      <c r="S1212" t="s">
        <v>29</v>
      </c>
      <c r="T1212" t="s">
        <v>30</v>
      </c>
      <c r="U1212" t="str">
        <f t="shared" si="54"/>
        <v>Normal</v>
      </c>
      <c r="V1212" t="str">
        <f t="shared" si="55"/>
        <v>Normal</v>
      </c>
      <c r="W1212" t="str">
        <f t="shared" si="56"/>
        <v>Normal</v>
      </c>
    </row>
    <row r="1213" spans="1:23" x14ac:dyDescent="0.3">
      <c r="A1213">
        <v>10594</v>
      </c>
      <c r="B1213" s="2">
        <v>45843</v>
      </c>
      <c r="C1213" t="s">
        <v>20</v>
      </c>
      <c r="D1213" t="s">
        <v>64</v>
      </c>
      <c r="E1213" t="s">
        <v>33</v>
      </c>
      <c r="F1213" t="s">
        <v>23</v>
      </c>
      <c r="G1213" t="s">
        <v>74</v>
      </c>
      <c r="H1213" t="s">
        <v>25</v>
      </c>
      <c r="I1213" t="s">
        <v>354</v>
      </c>
      <c r="J1213">
        <v>1316</v>
      </c>
      <c r="K1213">
        <v>16</v>
      </c>
      <c r="L1213" t="s">
        <v>71</v>
      </c>
      <c r="M1213">
        <v>104</v>
      </c>
      <c r="N1213">
        <v>41.6</v>
      </c>
      <c r="O1213">
        <v>64.900000000000006</v>
      </c>
      <c r="P1213">
        <v>4.75</v>
      </c>
      <c r="Q1213">
        <v>2.15</v>
      </c>
      <c r="R1213" t="s">
        <v>38</v>
      </c>
      <c r="S1213" t="s">
        <v>73</v>
      </c>
      <c r="T1213" t="s">
        <v>30</v>
      </c>
      <c r="U1213" t="str">
        <f t="shared" si="54"/>
        <v>Normal</v>
      </c>
      <c r="V1213" t="str">
        <f t="shared" si="55"/>
        <v>Normal</v>
      </c>
      <c r="W1213" t="str">
        <f t="shared" si="56"/>
        <v>Normal</v>
      </c>
    </row>
    <row r="1214" spans="1:23" x14ac:dyDescent="0.3">
      <c r="A1214">
        <v>10693</v>
      </c>
      <c r="B1214" s="2">
        <v>45988</v>
      </c>
      <c r="C1214" t="s">
        <v>20</v>
      </c>
      <c r="D1214" t="s">
        <v>21</v>
      </c>
      <c r="E1214" t="s">
        <v>107</v>
      </c>
      <c r="F1214" t="s">
        <v>23</v>
      </c>
      <c r="G1214" t="s">
        <v>24</v>
      </c>
      <c r="H1214" t="s">
        <v>123</v>
      </c>
      <c r="I1214" t="s">
        <v>163</v>
      </c>
      <c r="J1214">
        <v>1475</v>
      </c>
      <c r="K1214">
        <v>19</v>
      </c>
      <c r="L1214" t="s">
        <v>57</v>
      </c>
      <c r="M1214">
        <v>101</v>
      </c>
      <c r="N1214">
        <v>32.6</v>
      </c>
      <c r="O1214">
        <v>64.900000000000006</v>
      </c>
      <c r="P1214">
        <v>3.89</v>
      </c>
      <c r="Q1214">
        <v>1.36</v>
      </c>
      <c r="R1214" t="s">
        <v>240</v>
      </c>
      <c r="S1214" t="s">
        <v>47</v>
      </c>
      <c r="T1214" t="s">
        <v>30</v>
      </c>
      <c r="U1214" t="str">
        <f t="shared" si="54"/>
        <v>Normal</v>
      </c>
      <c r="V1214" t="str">
        <f t="shared" si="55"/>
        <v>Normal</v>
      </c>
      <c r="W1214" t="str">
        <f t="shared" si="56"/>
        <v>Normal</v>
      </c>
    </row>
    <row r="1215" spans="1:23" x14ac:dyDescent="0.3">
      <c r="A1215">
        <v>11227</v>
      </c>
      <c r="B1215" s="2">
        <v>45996</v>
      </c>
      <c r="C1215" t="s">
        <v>20</v>
      </c>
      <c r="D1215" t="s">
        <v>21</v>
      </c>
      <c r="E1215" t="s">
        <v>33</v>
      </c>
      <c r="F1215" t="s">
        <v>23</v>
      </c>
      <c r="G1215" t="s">
        <v>54</v>
      </c>
      <c r="H1215" t="s">
        <v>165</v>
      </c>
      <c r="I1215" t="s">
        <v>377</v>
      </c>
      <c r="J1215">
        <v>920</v>
      </c>
      <c r="K1215">
        <v>9</v>
      </c>
      <c r="L1215" t="s">
        <v>68</v>
      </c>
      <c r="M1215">
        <v>113</v>
      </c>
      <c r="N1215">
        <v>35.299999999999997</v>
      </c>
      <c r="O1215">
        <v>64.900000000000006</v>
      </c>
      <c r="P1215">
        <v>5.18</v>
      </c>
      <c r="Q1215">
        <v>3.62</v>
      </c>
      <c r="R1215" t="s">
        <v>189</v>
      </c>
      <c r="S1215" t="s">
        <v>47</v>
      </c>
      <c r="T1215" t="s">
        <v>30</v>
      </c>
      <c r="U1215" t="str">
        <f t="shared" si="54"/>
        <v>Normal</v>
      </c>
      <c r="V1215" t="str">
        <f t="shared" si="55"/>
        <v>Normal</v>
      </c>
      <c r="W1215" t="str">
        <f t="shared" si="56"/>
        <v>Normal</v>
      </c>
    </row>
    <row r="1216" spans="1:23" x14ac:dyDescent="0.3">
      <c r="A1216">
        <v>11123</v>
      </c>
      <c r="B1216" s="2">
        <v>45716</v>
      </c>
      <c r="C1216" t="s">
        <v>49</v>
      </c>
      <c r="D1216" t="s">
        <v>21</v>
      </c>
      <c r="E1216" t="s">
        <v>22</v>
      </c>
      <c r="F1216" t="s">
        <v>81</v>
      </c>
      <c r="G1216" t="s">
        <v>89</v>
      </c>
      <c r="H1216" t="s">
        <v>196</v>
      </c>
      <c r="I1216" t="s">
        <v>244</v>
      </c>
      <c r="J1216">
        <v>1312</v>
      </c>
      <c r="K1216">
        <v>45</v>
      </c>
      <c r="L1216" t="s">
        <v>68</v>
      </c>
      <c r="M1216">
        <v>21</v>
      </c>
      <c r="N1216">
        <v>41.9</v>
      </c>
      <c r="O1216">
        <v>64.900000000000006</v>
      </c>
      <c r="P1216">
        <v>5.13</v>
      </c>
      <c r="Q1216">
        <v>2.58</v>
      </c>
      <c r="R1216" t="s">
        <v>28</v>
      </c>
      <c r="S1216" t="s">
        <v>39</v>
      </c>
      <c r="T1216" t="s">
        <v>48</v>
      </c>
      <c r="U1216" t="str">
        <f t="shared" si="54"/>
        <v>Normal</v>
      </c>
      <c r="V1216" t="str">
        <f t="shared" si="55"/>
        <v>Normal</v>
      </c>
      <c r="W1216" t="str">
        <f t="shared" si="56"/>
        <v>Normal</v>
      </c>
    </row>
    <row r="1217" spans="1:23" x14ac:dyDescent="0.3">
      <c r="A1217">
        <v>10381</v>
      </c>
      <c r="B1217" s="2">
        <v>45821</v>
      </c>
      <c r="C1217" t="s">
        <v>20</v>
      </c>
      <c r="D1217" t="s">
        <v>32</v>
      </c>
      <c r="E1217" t="s">
        <v>107</v>
      </c>
      <c r="F1217" t="s">
        <v>23</v>
      </c>
      <c r="G1217" t="s">
        <v>109</v>
      </c>
      <c r="H1217" t="s">
        <v>25</v>
      </c>
      <c r="I1217" t="s">
        <v>142</v>
      </c>
      <c r="J1217">
        <v>1149</v>
      </c>
      <c r="K1217">
        <v>25</v>
      </c>
      <c r="L1217" t="s">
        <v>57</v>
      </c>
      <c r="M1217">
        <v>55</v>
      </c>
      <c r="N1217">
        <v>49</v>
      </c>
      <c r="O1217">
        <v>64.8</v>
      </c>
      <c r="P1217">
        <v>5.41</v>
      </c>
      <c r="Q1217">
        <v>2.77</v>
      </c>
      <c r="R1217" t="s">
        <v>80</v>
      </c>
      <c r="S1217" t="s">
        <v>39</v>
      </c>
      <c r="T1217" t="s">
        <v>30</v>
      </c>
      <c r="U1217" t="str">
        <f t="shared" si="54"/>
        <v>Normal</v>
      </c>
      <c r="V1217" t="str">
        <f t="shared" si="55"/>
        <v>Normal</v>
      </c>
      <c r="W1217" t="str">
        <f t="shared" si="56"/>
        <v>Normal</v>
      </c>
    </row>
    <row r="1218" spans="1:23" x14ac:dyDescent="0.3">
      <c r="A1218">
        <v>11207</v>
      </c>
      <c r="B1218" s="2">
        <v>45693</v>
      </c>
      <c r="C1218" t="s">
        <v>49</v>
      </c>
      <c r="D1218" t="s">
        <v>64</v>
      </c>
      <c r="E1218" t="s">
        <v>107</v>
      </c>
      <c r="F1218" t="s">
        <v>41</v>
      </c>
      <c r="G1218" t="s">
        <v>54</v>
      </c>
      <c r="H1218" t="s">
        <v>88</v>
      </c>
      <c r="I1218" t="s">
        <v>248</v>
      </c>
      <c r="J1218">
        <v>1234</v>
      </c>
      <c r="K1218">
        <v>21</v>
      </c>
      <c r="L1218" t="s">
        <v>27</v>
      </c>
      <c r="M1218">
        <v>19</v>
      </c>
      <c r="N1218">
        <v>50.2</v>
      </c>
      <c r="O1218">
        <v>64.8</v>
      </c>
      <c r="P1218">
        <v>4.88</v>
      </c>
      <c r="Q1218">
        <v>1.17</v>
      </c>
      <c r="R1218" t="s">
        <v>153</v>
      </c>
      <c r="S1218" t="s">
        <v>29</v>
      </c>
      <c r="T1218" t="s">
        <v>30</v>
      </c>
      <c r="U1218" t="str">
        <f t="shared" ref="U1218:U1281" si="57">IF(OR(O1218&lt;20,O1218&gt;100),"Investigate","Normal")</f>
        <v>Normal</v>
      </c>
      <c r="V1218" t="str">
        <f t="shared" ref="V1218:V1281" si="58">IF(OR(P1218&lt;2,P1218&gt;10),"Investigate","Normal")</f>
        <v>Normal</v>
      </c>
      <c r="W1218" t="str">
        <f t="shared" ref="W1218:W1281" si="59">IF(Q1218&gt;10,"Investigate","Normal")</f>
        <v>Normal</v>
      </c>
    </row>
    <row r="1219" spans="1:23" x14ac:dyDescent="0.3">
      <c r="A1219">
        <v>11487</v>
      </c>
      <c r="B1219" s="2">
        <v>45761</v>
      </c>
      <c r="C1219" t="s">
        <v>31</v>
      </c>
      <c r="D1219" t="s">
        <v>59</v>
      </c>
      <c r="E1219" t="s">
        <v>107</v>
      </c>
      <c r="F1219" t="s">
        <v>81</v>
      </c>
      <c r="G1219" t="s">
        <v>54</v>
      </c>
      <c r="H1219" t="s">
        <v>138</v>
      </c>
      <c r="I1219" t="s">
        <v>345</v>
      </c>
      <c r="J1219">
        <v>912</v>
      </c>
      <c r="K1219">
        <v>5</v>
      </c>
      <c r="L1219" t="s">
        <v>68</v>
      </c>
      <c r="M1219">
        <v>14</v>
      </c>
      <c r="N1219">
        <v>37.5</v>
      </c>
      <c r="O1219">
        <v>64.8</v>
      </c>
      <c r="P1219">
        <v>5.08</v>
      </c>
      <c r="Q1219">
        <v>4.5599999999999996</v>
      </c>
      <c r="R1219" t="s">
        <v>159</v>
      </c>
      <c r="S1219" t="s">
        <v>47</v>
      </c>
      <c r="T1219" t="s">
        <v>30</v>
      </c>
      <c r="U1219" t="str">
        <f t="shared" si="57"/>
        <v>Normal</v>
      </c>
      <c r="V1219" t="str">
        <f t="shared" si="58"/>
        <v>Normal</v>
      </c>
      <c r="W1219" t="str">
        <f t="shared" si="59"/>
        <v>Normal</v>
      </c>
    </row>
    <row r="1220" spans="1:23" x14ac:dyDescent="0.3">
      <c r="A1220">
        <v>11219</v>
      </c>
      <c r="B1220" s="2">
        <v>45846</v>
      </c>
      <c r="C1220" t="s">
        <v>31</v>
      </c>
      <c r="D1220" t="s">
        <v>59</v>
      </c>
      <c r="E1220" t="s">
        <v>22</v>
      </c>
      <c r="F1220" t="s">
        <v>23</v>
      </c>
      <c r="G1220" t="s">
        <v>74</v>
      </c>
      <c r="H1220" t="s">
        <v>88</v>
      </c>
      <c r="I1220" t="s">
        <v>86</v>
      </c>
      <c r="J1220">
        <v>1386</v>
      </c>
      <c r="K1220">
        <v>16</v>
      </c>
      <c r="L1220" t="s">
        <v>37</v>
      </c>
      <c r="M1220">
        <v>131</v>
      </c>
      <c r="N1220">
        <v>43.6</v>
      </c>
      <c r="O1220">
        <v>64.8</v>
      </c>
      <c r="P1220">
        <v>4.5999999999999996</v>
      </c>
      <c r="Q1220">
        <v>3.56</v>
      </c>
      <c r="R1220" t="s">
        <v>72</v>
      </c>
      <c r="S1220" t="s">
        <v>73</v>
      </c>
      <c r="T1220" t="s">
        <v>30</v>
      </c>
      <c r="U1220" t="str">
        <f t="shared" si="57"/>
        <v>Normal</v>
      </c>
      <c r="V1220" t="str">
        <f t="shared" si="58"/>
        <v>Normal</v>
      </c>
      <c r="W1220" t="str">
        <f t="shared" si="59"/>
        <v>Normal</v>
      </c>
    </row>
    <row r="1221" spans="1:23" x14ac:dyDescent="0.3">
      <c r="A1221">
        <v>10642</v>
      </c>
      <c r="B1221" s="2">
        <v>45736</v>
      </c>
      <c r="C1221" t="s">
        <v>20</v>
      </c>
      <c r="D1221" t="s">
        <v>59</v>
      </c>
      <c r="E1221" t="s">
        <v>22</v>
      </c>
      <c r="F1221" t="s">
        <v>23</v>
      </c>
      <c r="G1221" t="s">
        <v>50</v>
      </c>
      <c r="H1221" t="s">
        <v>75</v>
      </c>
      <c r="I1221" t="s">
        <v>132</v>
      </c>
      <c r="J1221">
        <v>658</v>
      </c>
      <c r="K1221">
        <v>5</v>
      </c>
      <c r="L1221" t="s">
        <v>71</v>
      </c>
      <c r="M1221">
        <v>105</v>
      </c>
      <c r="N1221">
        <v>55.4</v>
      </c>
      <c r="O1221">
        <v>64.8</v>
      </c>
      <c r="P1221">
        <v>4.18</v>
      </c>
      <c r="Q1221">
        <v>2.1</v>
      </c>
      <c r="R1221" t="s">
        <v>133</v>
      </c>
      <c r="S1221" t="s">
        <v>29</v>
      </c>
      <c r="T1221" t="s">
        <v>30</v>
      </c>
      <c r="U1221" t="str">
        <f t="shared" si="57"/>
        <v>Normal</v>
      </c>
      <c r="V1221" t="str">
        <f t="shared" si="58"/>
        <v>Normal</v>
      </c>
      <c r="W1221" t="str">
        <f t="shared" si="59"/>
        <v>Normal</v>
      </c>
    </row>
    <row r="1222" spans="1:23" x14ac:dyDescent="0.3">
      <c r="A1222">
        <v>11058</v>
      </c>
      <c r="B1222" s="2">
        <v>45890</v>
      </c>
      <c r="C1222" t="s">
        <v>20</v>
      </c>
      <c r="D1222" t="s">
        <v>59</v>
      </c>
      <c r="E1222" t="s">
        <v>22</v>
      </c>
      <c r="F1222" t="s">
        <v>41</v>
      </c>
      <c r="G1222" t="s">
        <v>54</v>
      </c>
      <c r="H1222" t="s">
        <v>148</v>
      </c>
      <c r="I1222" t="s">
        <v>185</v>
      </c>
      <c r="J1222">
        <v>848</v>
      </c>
      <c r="K1222">
        <v>4</v>
      </c>
      <c r="L1222" t="s">
        <v>71</v>
      </c>
      <c r="M1222">
        <v>88</v>
      </c>
      <c r="N1222">
        <v>26.8</v>
      </c>
      <c r="O1222">
        <v>64.7</v>
      </c>
      <c r="P1222">
        <v>4.7699999999999996</v>
      </c>
      <c r="Q1222">
        <v>3.3</v>
      </c>
      <c r="R1222" t="s">
        <v>186</v>
      </c>
      <c r="S1222" t="s">
        <v>47</v>
      </c>
      <c r="T1222" t="s">
        <v>30</v>
      </c>
      <c r="U1222" t="str">
        <f t="shared" si="57"/>
        <v>Normal</v>
      </c>
      <c r="V1222" t="str">
        <f t="shared" si="58"/>
        <v>Normal</v>
      </c>
      <c r="W1222" t="str">
        <f t="shared" si="59"/>
        <v>Normal</v>
      </c>
    </row>
    <row r="1223" spans="1:23" x14ac:dyDescent="0.3">
      <c r="A1223">
        <v>10591</v>
      </c>
      <c r="B1223" s="2">
        <v>45678</v>
      </c>
      <c r="C1223" t="s">
        <v>20</v>
      </c>
      <c r="D1223" t="s">
        <v>64</v>
      </c>
      <c r="E1223" t="s">
        <v>40</v>
      </c>
      <c r="F1223" t="s">
        <v>81</v>
      </c>
      <c r="G1223" t="s">
        <v>50</v>
      </c>
      <c r="H1223" t="s">
        <v>193</v>
      </c>
      <c r="I1223" t="s">
        <v>290</v>
      </c>
      <c r="J1223">
        <v>1511</v>
      </c>
      <c r="K1223">
        <v>18</v>
      </c>
      <c r="L1223" t="s">
        <v>57</v>
      </c>
      <c r="M1223">
        <v>170</v>
      </c>
      <c r="N1223">
        <v>38.299999999999997</v>
      </c>
      <c r="O1223">
        <v>64.7</v>
      </c>
      <c r="P1223">
        <v>6.11</v>
      </c>
      <c r="Q1223">
        <v>1.39</v>
      </c>
      <c r="R1223" t="s">
        <v>105</v>
      </c>
      <c r="S1223" t="s">
        <v>39</v>
      </c>
      <c r="T1223" t="s">
        <v>30</v>
      </c>
      <c r="U1223" t="str">
        <f t="shared" si="57"/>
        <v>Normal</v>
      </c>
      <c r="V1223" t="str">
        <f t="shared" si="58"/>
        <v>Normal</v>
      </c>
      <c r="W1223" t="str">
        <f t="shared" si="59"/>
        <v>Normal</v>
      </c>
    </row>
    <row r="1224" spans="1:23" x14ac:dyDescent="0.3">
      <c r="A1224">
        <v>10322</v>
      </c>
      <c r="B1224" s="2">
        <v>45933</v>
      </c>
      <c r="C1224" t="s">
        <v>49</v>
      </c>
      <c r="D1224" t="s">
        <v>64</v>
      </c>
      <c r="E1224" t="s">
        <v>107</v>
      </c>
      <c r="F1224" t="s">
        <v>23</v>
      </c>
      <c r="G1224" t="s">
        <v>89</v>
      </c>
      <c r="H1224" t="s">
        <v>61</v>
      </c>
      <c r="I1224" t="s">
        <v>160</v>
      </c>
      <c r="J1224">
        <v>498</v>
      </c>
      <c r="K1224">
        <v>9</v>
      </c>
      <c r="L1224" t="s">
        <v>68</v>
      </c>
      <c r="M1224">
        <v>34</v>
      </c>
      <c r="N1224">
        <v>40.799999999999997</v>
      </c>
      <c r="O1224">
        <v>64.7</v>
      </c>
      <c r="P1224">
        <v>4.87</v>
      </c>
      <c r="Q1224">
        <v>3.18</v>
      </c>
      <c r="R1224" t="s">
        <v>58</v>
      </c>
      <c r="S1224" t="s">
        <v>47</v>
      </c>
      <c r="T1224" t="s">
        <v>30</v>
      </c>
      <c r="U1224" t="str">
        <f t="shared" si="57"/>
        <v>Normal</v>
      </c>
      <c r="V1224" t="str">
        <f t="shared" si="58"/>
        <v>Normal</v>
      </c>
      <c r="W1224" t="str">
        <f t="shared" si="59"/>
        <v>Normal</v>
      </c>
    </row>
    <row r="1225" spans="1:23" x14ac:dyDescent="0.3">
      <c r="A1225">
        <v>10485</v>
      </c>
      <c r="B1225" s="2">
        <v>45935</v>
      </c>
      <c r="C1225" t="s">
        <v>20</v>
      </c>
      <c r="D1225" t="s">
        <v>64</v>
      </c>
      <c r="E1225" t="s">
        <v>33</v>
      </c>
      <c r="F1225" t="s">
        <v>23</v>
      </c>
      <c r="G1225" t="s">
        <v>95</v>
      </c>
      <c r="H1225" t="s">
        <v>69</v>
      </c>
      <c r="I1225" t="s">
        <v>335</v>
      </c>
      <c r="J1225">
        <v>1438</v>
      </c>
      <c r="K1225">
        <v>9</v>
      </c>
      <c r="L1225" t="s">
        <v>37</v>
      </c>
      <c r="M1225">
        <v>87</v>
      </c>
      <c r="N1225">
        <v>57.7</v>
      </c>
      <c r="O1225">
        <v>64.7</v>
      </c>
      <c r="P1225">
        <v>6.13</v>
      </c>
      <c r="Q1225">
        <v>3.21</v>
      </c>
      <c r="R1225" t="s">
        <v>143</v>
      </c>
      <c r="S1225" t="s">
        <v>47</v>
      </c>
      <c r="T1225" t="s">
        <v>30</v>
      </c>
      <c r="U1225" t="str">
        <f t="shared" si="57"/>
        <v>Normal</v>
      </c>
      <c r="V1225" t="str">
        <f t="shared" si="58"/>
        <v>Normal</v>
      </c>
      <c r="W1225" t="str">
        <f t="shared" si="59"/>
        <v>Normal</v>
      </c>
    </row>
    <row r="1226" spans="1:23" x14ac:dyDescent="0.3">
      <c r="A1226">
        <v>10253</v>
      </c>
      <c r="B1226" s="2">
        <v>45871</v>
      </c>
      <c r="C1226" t="s">
        <v>20</v>
      </c>
      <c r="D1226" t="s">
        <v>59</v>
      </c>
      <c r="E1226" t="s">
        <v>107</v>
      </c>
      <c r="F1226" t="s">
        <v>23</v>
      </c>
      <c r="G1226" t="s">
        <v>24</v>
      </c>
      <c r="H1226" t="s">
        <v>99</v>
      </c>
      <c r="I1226" t="s">
        <v>118</v>
      </c>
      <c r="J1226">
        <v>759</v>
      </c>
      <c r="K1226">
        <v>65</v>
      </c>
      <c r="L1226" t="s">
        <v>68</v>
      </c>
      <c r="M1226">
        <v>155</v>
      </c>
      <c r="N1226">
        <v>49.5</v>
      </c>
      <c r="O1226">
        <v>64.7</v>
      </c>
      <c r="P1226">
        <v>5.79</v>
      </c>
      <c r="Q1226">
        <v>4.62</v>
      </c>
      <c r="R1226" t="s">
        <v>143</v>
      </c>
      <c r="S1226" t="s">
        <v>39</v>
      </c>
      <c r="T1226" t="s">
        <v>48</v>
      </c>
      <c r="U1226" t="str">
        <f t="shared" si="57"/>
        <v>Normal</v>
      </c>
      <c r="V1226" t="str">
        <f t="shared" si="58"/>
        <v>Normal</v>
      </c>
      <c r="W1226" t="str">
        <f t="shared" si="59"/>
        <v>Normal</v>
      </c>
    </row>
    <row r="1227" spans="1:23" x14ac:dyDescent="0.3">
      <c r="A1227">
        <v>11011</v>
      </c>
      <c r="B1227" s="2">
        <v>45945</v>
      </c>
      <c r="C1227" t="s">
        <v>31</v>
      </c>
      <c r="D1227" t="s">
        <v>64</v>
      </c>
      <c r="E1227" t="s">
        <v>107</v>
      </c>
      <c r="F1227" t="s">
        <v>23</v>
      </c>
      <c r="G1227" t="s">
        <v>113</v>
      </c>
      <c r="H1227" t="s">
        <v>66</v>
      </c>
      <c r="I1227" t="s">
        <v>299</v>
      </c>
      <c r="J1227">
        <v>601</v>
      </c>
      <c r="K1227">
        <v>6</v>
      </c>
      <c r="L1227" t="s">
        <v>45</v>
      </c>
      <c r="M1227">
        <v>20</v>
      </c>
      <c r="N1227">
        <v>52</v>
      </c>
      <c r="O1227">
        <v>64.599999999999994</v>
      </c>
      <c r="P1227">
        <v>5.9</v>
      </c>
      <c r="Q1227">
        <v>3.97</v>
      </c>
      <c r="R1227" t="s">
        <v>195</v>
      </c>
      <c r="S1227" t="s">
        <v>73</v>
      </c>
      <c r="T1227" t="s">
        <v>30</v>
      </c>
      <c r="U1227" t="str">
        <f t="shared" si="57"/>
        <v>Normal</v>
      </c>
      <c r="V1227" t="str">
        <f t="shared" si="58"/>
        <v>Normal</v>
      </c>
      <c r="W1227" t="str">
        <f t="shared" si="59"/>
        <v>Normal</v>
      </c>
    </row>
    <row r="1228" spans="1:23" x14ac:dyDescent="0.3">
      <c r="A1228">
        <v>10371</v>
      </c>
      <c r="B1228" s="2">
        <v>45932</v>
      </c>
      <c r="C1228" t="s">
        <v>20</v>
      </c>
      <c r="D1228" t="s">
        <v>59</v>
      </c>
      <c r="E1228" t="s">
        <v>40</v>
      </c>
      <c r="F1228" t="s">
        <v>81</v>
      </c>
      <c r="G1228" t="s">
        <v>60</v>
      </c>
      <c r="H1228" t="s">
        <v>88</v>
      </c>
      <c r="I1228" t="s">
        <v>151</v>
      </c>
      <c r="J1228">
        <v>1519</v>
      </c>
      <c r="K1228">
        <v>17</v>
      </c>
      <c r="L1228" t="s">
        <v>71</v>
      </c>
      <c r="M1228">
        <v>50</v>
      </c>
      <c r="N1228">
        <v>50.8</v>
      </c>
      <c r="O1228">
        <v>64.599999999999994</v>
      </c>
      <c r="P1228">
        <v>4.41</v>
      </c>
      <c r="Q1228">
        <v>1.88</v>
      </c>
      <c r="R1228" t="s">
        <v>216</v>
      </c>
      <c r="S1228" t="s">
        <v>47</v>
      </c>
      <c r="T1228" t="s">
        <v>30</v>
      </c>
      <c r="U1228" t="str">
        <f t="shared" si="57"/>
        <v>Normal</v>
      </c>
      <c r="V1228" t="str">
        <f t="shared" si="58"/>
        <v>Normal</v>
      </c>
      <c r="W1228" t="str">
        <f t="shared" si="59"/>
        <v>Normal</v>
      </c>
    </row>
    <row r="1229" spans="1:23" x14ac:dyDescent="0.3">
      <c r="A1229">
        <v>10789</v>
      </c>
      <c r="B1229" s="2">
        <v>45963</v>
      </c>
      <c r="C1229" t="s">
        <v>20</v>
      </c>
      <c r="D1229" t="s">
        <v>32</v>
      </c>
      <c r="E1229" t="s">
        <v>107</v>
      </c>
      <c r="F1229" t="s">
        <v>41</v>
      </c>
      <c r="G1229" t="s">
        <v>95</v>
      </c>
      <c r="H1229" t="s">
        <v>278</v>
      </c>
      <c r="I1229" t="s">
        <v>121</v>
      </c>
      <c r="J1229">
        <v>898</v>
      </c>
      <c r="K1229">
        <v>4</v>
      </c>
      <c r="L1229" t="s">
        <v>27</v>
      </c>
      <c r="M1229">
        <v>88</v>
      </c>
      <c r="N1229">
        <v>56.4</v>
      </c>
      <c r="O1229">
        <v>64.599999999999994</v>
      </c>
      <c r="P1229">
        <v>4.47</v>
      </c>
      <c r="Q1229">
        <v>3.73</v>
      </c>
      <c r="R1229" t="s">
        <v>84</v>
      </c>
      <c r="S1229" t="s">
        <v>73</v>
      </c>
      <c r="T1229" t="s">
        <v>30</v>
      </c>
      <c r="U1229" t="str">
        <f t="shared" si="57"/>
        <v>Normal</v>
      </c>
      <c r="V1229" t="str">
        <f t="shared" si="58"/>
        <v>Normal</v>
      </c>
      <c r="W1229" t="str">
        <f t="shared" si="59"/>
        <v>Normal</v>
      </c>
    </row>
    <row r="1230" spans="1:23" x14ac:dyDescent="0.3">
      <c r="A1230">
        <v>10205</v>
      </c>
      <c r="B1230" s="2">
        <v>45784</v>
      </c>
      <c r="C1230" t="s">
        <v>49</v>
      </c>
      <c r="D1230" t="s">
        <v>59</v>
      </c>
      <c r="E1230" t="s">
        <v>22</v>
      </c>
      <c r="F1230" t="s">
        <v>41</v>
      </c>
      <c r="G1230" t="s">
        <v>89</v>
      </c>
      <c r="H1230" t="s">
        <v>120</v>
      </c>
      <c r="I1230" t="s">
        <v>62</v>
      </c>
      <c r="J1230">
        <v>1215</v>
      </c>
      <c r="K1230">
        <v>34</v>
      </c>
      <c r="L1230" t="s">
        <v>27</v>
      </c>
      <c r="M1230">
        <v>147</v>
      </c>
      <c r="N1230">
        <v>37.5</v>
      </c>
      <c r="O1230">
        <v>64.599999999999994</v>
      </c>
      <c r="P1230">
        <v>5.2</v>
      </c>
      <c r="Q1230">
        <v>3.43</v>
      </c>
      <c r="R1230" t="s">
        <v>103</v>
      </c>
      <c r="S1230" t="s">
        <v>39</v>
      </c>
      <c r="T1230" t="s">
        <v>30</v>
      </c>
      <c r="U1230" t="str">
        <f t="shared" si="57"/>
        <v>Normal</v>
      </c>
      <c r="V1230" t="str">
        <f t="shared" si="58"/>
        <v>Normal</v>
      </c>
      <c r="W1230" t="str">
        <f t="shared" si="59"/>
        <v>Normal</v>
      </c>
    </row>
    <row r="1231" spans="1:23" x14ac:dyDescent="0.3">
      <c r="A1231">
        <v>11423</v>
      </c>
      <c r="B1231" s="2">
        <v>45882</v>
      </c>
      <c r="C1231" t="s">
        <v>49</v>
      </c>
      <c r="D1231" t="s">
        <v>32</v>
      </c>
      <c r="E1231" t="s">
        <v>33</v>
      </c>
      <c r="F1231" t="s">
        <v>23</v>
      </c>
      <c r="G1231" t="s">
        <v>24</v>
      </c>
      <c r="H1231" t="s">
        <v>265</v>
      </c>
      <c r="I1231" t="s">
        <v>366</v>
      </c>
      <c r="J1231">
        <v>726</v>
      </c>
      <c r="K1231">
        <v>4</v>
      </c>
      <c r="L1231" t="s">
        <v>27</v>
      </c>
      <c r="M1231">
        <v>81</v>
      </c>
      <c r="N1231">
        <v>42.9</v>
      </c>
      <c r="O1231">
        <v>64.599999999999994</v>
      </c>
      <c r="P1231">
        <v>4.32</v>
      </c>
      <c r="Q1231">
        <v>2.0499999999999998</v>
      </c>
      <c r="R1231" t="s">
        <v>128</v>
      </c>
      <c r="S1231" t="s">
        <v>73</v>
      </c>
      <c r="T1231" t="s">
        <v>30</v>
      </c>
      <c r="U1231" t="str">
        <f t="shared" si="57"/>
        <v>Normal</v>
      </c>
      <c r="V1231" t="str">
        <f t="shared" si="58"/>
        <v>Normal</v>
      </c>
      <c r="W1231" t="str">
        <f t="shared" si="59"/>
        <v>Normal</v>
      </c>
    </row>
    <row r="1232" spans="1:23" x14ac:dyDescent="0.3">
      <c r="A1232">
        <v>11105</v>
      </c>
      <c r="B1232" s="2">
        <v>45786</v>
      </c>
      <c r="C1232" t="s">
        <v>49</v>
      </c>
      <c r="D1232" t="s">
        <v>21</v>
      </c>
      <c r="E1232" t="s">
        <v>107</v>
      </c>
      <c r="F1232" t="s">
        <v>23</v>
      </c>
      <c r="G1232" t="s">
        <v>50</v>
      </c>
      <c r="H1232" t="s">
        <v>144</v>
      </c>
      <c r="I1232" t="s">
        <v>359</v>
      </c>
      <c r="J1232">
        <v>1319</v>
      </c>
      <c r="K1232">
        <v>8</v>
      </c>
      <c r="L1232" t="s">
        <v>68</v>
      </c>
      <c r="M1232">
        <v>116</v>
      </c>
      <c r="N1232">
        <v>42</v>
      </c>
      <c r="O1232">
        <v>64.599999999999994</v>
      </c>
      <c r="P1232">
        <v>3.37</v>
      </c>
      <c r="Q1232">
        <v>1.58</v>
      </c>
      <c r="R1232" t="s">
        <v>125</v>
      </c>
      <c r="S1232" t="s">
        <v>47</v>
      </c>
      <c r="T1232" t="s">
        <v>30</v>
      </c>
      <c r="U1232" t="str">
        <f t="shared" si="57"/>
        <v>Normal</v>
      </c>
      <c r="V1232" t="str">
        <f t="shared" si="58"/>
        <v>Normal</v>
      </c>
      <c r="W1232" t="str">
        <f t="shared" si="59"/>
        <v>Normal</v>
      </c>
    </row>
    <row r="1233" spans="1:23" x14ac:dyDescent="0.3">
      <c r="A1233">
        <v>10333</v>
      </c>
      <c r="B1233" s="2">
        <v>45840</v>
      </c>
      <c r="C1233" t="s">
        <v>31</v>
      </c>
      <c r="D1233" t="s">
        <v>64</v>
      </c>
      <c r="E1233" t="s">
        <v>40</v>
      </c>
      <c r="F1233" t="s">
        <v>41</v>
      </c>
      <c r="G1233" t="s">
        <v>24</v>
      </c>
      <c r="H1233" t="s">
        <v>196</v>
      </c>
      <c r="I1233" t="s">
        <v>241</v>
      </c>
      <c r="J1233">
        <v>1393</v>
      </c>
      <c r="K1233">
        <v>10</v>
      </c>
      <c r="L1233" t="s">
        <v>27</v>
      </c>
      <c r="M1233">
        <v>38</v>
      </c>
      <c r="N1233">
        <v>39.9</v>
      </c>
      <c r="O1233">
        <v>64.5</v>
      </c>
      <c r="P1233">
        <v>6.26</v>
      </c>
      <c r="Q1233">
        <v>1.23</v>
      </c>
      <c r="R1233" t="s">
        <v>155</v>
      </c>
      <c r="S1233" t="s">
        <v>39</v>
      </c>
      <c r="T1233" t="s">
        <v>30</v>
      </c>
      <c r="U1233" t="str">
        <f t="shared" si="57"/>
        <v>Normal</v>
      </c>
      <c r="V1233" t="str">
        <f t="shared" si="58"/>
        <v>Normal</v>
      </c>
      <c r="W1233" t="str">
        <f t="shared" si="59"/>
        <v>Normal</v>
      </c>
    </row>
    <row r="1234" spans="1:23" x14ac:dyDescent="0.3">
      <c r="A1234">
        <v>10523</v>
      </c>
      <c r="B1234" s="2">
        <v>45847</v>
      </c>
      <c r="C1234" t="s">
        <v>49</v>
      </c>
      <c r="D1234" t="s">
        <v>59</v>
      </c>
      <c r="E1234" t="s">
        <v>107</v>
      </c>
      <c r="F1234" t="s">
        <v>81</v>
      </c>
      <c r="G1234" t="s">
        <v>50</v>
      </c>
      <c r="H1234" t="s">
        <v>69</v>
      </c>
      <c r="I1234" t="s">
        <v>306</v>
      </c>
      <c r="J1234">
        <v>1378</v>
      </c>
      <c r="K1234">
        <v>8</v>
      </c>
      <c r="L1234" t="s">
        <v>27</v>
      </c>
      <c r="M1234">
        <v>132</v>
      </c>
      <c r="N1234">
        <v>51.2</v>
      </c>
      <c r="O1234">
        <v>64.5</v>
      </c>
      <c r="P1234">
        <v>5.92</v>
      </c>
      <c r="Q1234">
        <v>2.93</v>
      </c>
      <c r="R1234" t="s">
        <v>119</v>
      </c>
      <c r="S1234" t="s">
        <v>73</v>
      </c>
      <c r="T1234" t="s">
        <v>30</v>
      </c>
      <c r="U1234" t="str">
        <f t="shared" si="57"/>
        <v>Normal</v>
      </c>
      <c r="V1234" t="str">
        <f t="shared" si="58"/>
        <v>Normal</v>
      </c>
      <c r="W1234" t="str">
        <f t="shared" si="59"/>
        <v>Normal</v>
      </c>
    </row>
    <row r="1235" spans="1:23" x14ac:dyDescent="0.3">
      <c r="A1235">
        <v>10504</v>
      </c>
      <c r="B1235" s="2">
        <v>45746</v>
      </c>
      <c r="C1235" t="s">
        <v>20</v>
      </c>
      <c r="D1235" t="s">
        <v>64</v>
      </c>
      <c r="E1235" t="s">
        <v>22</v>
      </c>
      <c r="F1235" t="s">
        <v>41</v>
      </c>
      <c r="G1235" t="s">
        <v>74</v>
      </c>
      <c r="H1235" t="s">
        <v>96</v>
      </c>
      <c r="I1235" t="s">
        <v>379</v>
      </c>
      <c r="J1235">
        <v>1304</v>
      </c>
      <c r="K1235">
        <v>16</v>
      </c>
      <c r="L1235" t="s">
        <v>27</v>
      </c>
      <c r="M1235">
        <v>91</v>
      </c>
      <c r="N1235">
        <v>43.7</v>
      </c>
      <c r="O1235">
        <v>64.5</v>
      </c>
      <c r="P1235">
        <v>4.8899999999999997</v>
      </c>
      <c r="Q1235">
        <v>2.57</v>
      </c>
      <c r="R1235" t="s">
        <v>164</v>
      </c>
      <c r="S1235" t="s">
        <v>73</v>
      </c>
      <c r="T1235" t="s">
        <v>30</v>
      </c>
      <c r="U1235" t="str">
        <f t="shared" si="57"/>
        <v>Normal</v>
      </c>
      <c r="V1235" t="str">
        <f t="shared" si="58"/>
        <v>Normal</v>
      </c>
      <c r="W1235" t="str">
        <f t="shared" si="59"/>
        <v>Normal</v>
      </c>
    </row>
    <row r="1236" spans="1:23" x14ac:dyDescent="0.3">
      <c r="A1236">
        <v>10502</v>
      </c>
      <c r="B1236" s="2">
        <v>45720</v>
      </c>
      <c r="C1236" t="s">
        <v>49</v>
      </c>
      <c r="D1236" t="s">
        <v>21</v>
      </c>
      <c r="E1236" t="s">
        <v>33</v>
      </c>
      <c r="F1236" t="s">
        <v>41</v>
      </c>
      <c r="G1236" t="s">
        <v>134</v>
      </c>
      <c r="H1236" t="s">
        <v>123</v>
      </c>
      <c r="I1236" t="s">
        <v>254</v>
      </c>
      <c r="J1236">
        <v>1434</v>
      </c>
      <c r="K1236">
        <v>5</v>
      </c>
      <c r="L1236" t="s">
        <v>37</v>
      </c>
      <c r="M1236">
        <v>12</v>
      </c>
      <c r="N1236">
        <v>31</v>
      </c>
      <c r="O1236">
        <v>64.5</v>
      </c>
      <c r="P1236">
        <v>3.37</v>
      </c>
      <c r="Q1236">
        <v>1.94</v>
      </c>
      <c r="R1236" t="s">
        <v>130</v>
      </c>
      <c r="S1236" t="s">
        <v>29</v>
      </c>
      <c r="T1236" t="s">
        <v>30</v>
      </c>
      <c r="U1236" t="str">
        <f t="shared" si="57"/>
        <v>Normal</v>
      </c>
      <c r="V1236" t="str">
        <f t="shared" si="58"/>
        <v>Normal</v>
      </c>
      <c r="W1236" t="str">
        <f t="shared" si="59"/>
        <v>Normal</v>
      </c>
    </row>
    <row r="1237" spans="1:23" x14ac:dyDescent="0.3">
      <c r="A1237">
        <v>10441</v>
      </c>
      <c r="B1237" s="2">
        <v>45778</v>
      </c>
      <c r="C1237" t="s">
        <v>20</v>
      </c>
      <c r="D1237" t="s">
        <v>21</v>
      </c>
      <c r="E1237" t="s">
        <v>107</v>
      </c>
      <c r="F1237" t="s">
        <v>23</v>
      </c>
      <c r="G1237" t="s">
        <v>34</v>
      </c>
      <c r="H1237" t="s">
        <v>165</v>
      </c>
      <c r="I1237" t="s">
        <v>157</v>
      </c>
      <c r="J1237">
        <v>1323</v>
      </c>
      <c r="K1237">
        <v>12</v>
      </c>
      <c r="L1237" t="s">
        <v>68</v>
      </c>
      <c r="M1237">
        <v>179</v>
      </c>
      <c r="N1237">
        <v>57.7</v>
      </c>
      <c r="O1237">
        <v>64.5</v>
      </c>
      <c r="P1237">
        <v>4.46</v>
      </c>
      <c r="Q1237">
        <v>4.4800000000000004</v>
      </c>
      <c r="R1237" t="s">
        <v>216</v>
      </c>
      <c r="S1237" t="s">
        <v>73</v>
      </c>
      <c r="T1237" t="s">
        <v>30</v>
      </c>
      <c r="U1237" t="str">
        <f t="shared" si="57"/>
        <v>Normal</v>
      </c>
      <c r="V1237" t="str">
        <f t="shared" si="58"/>
        <v>Normal</v>
      </c>
      <c r="W1237" t="str">
        <f t="shared" si="59"/>
        <v>Normal</v>
      </c>
    </row>
    <row r="1238" spans="1:23" x14ac:dyDescent="0.3">
      <c r="A1238">
        <v>10155</v>
      </c>
      <c r="B1238" s="2">
        <v>45988</v>
      </c>
      <c r="C1238" t="s">
        <v>31</v>
      </c>
      <c r="D1238" t="s">
        <v>21</v>
      </c>
      <c r="E1238" t="s">
        <v>107</v>
      </c>
      <c r="F1238" t="s">
        <v>41</v>
      </c>
      <c r="G1238" t="s">
        <v>89</v>
      </c>
      <c r="H1238" t="s">
        <v>93</v>
      </c>
      <c r="I1238" t="s">
        <v>326</v>
      </c>
      <c r="J1238">
        <v>965</v>
      </c>
      <c r="K1238">
        <v>84</v>
      </c>
      <c r="L1238" t="s">
        <v>37</v>
      </c>
      <c r="M1238">
        <v>110</v>
      </c>
      <c r="N1238">
        <v>34</v>
      </c>
      <c r="O1238">
        <v>64.5</v>
      </c>
      <c r="P1238">
        <v>5.22</v>
      </c>
      <c r="Q1238">
        <v>3.22</v>
      </c>
      <c r="R1238" t="s">
        <v>63</v>
      </c>
      <c r="S1238" t="s">
        <v>39</v>
      </c>
      <c r="T1238" t="s">
        <v>48</v>
      </c>
      <c r="U1238" t="str">
        <f t="shared" si="57"/>
        <v>Normal</v>
      </c>
      <c r="V1238" t="str">
        <f t="shared" si="58"/>
        <v>Normal</v>
      </c>
      <c r="W1238" t="str">
        <f t="shared" si="59"/>
        <v>Normal</v>
      </c>
    </row>
    <row r="1239" spans="1:23" x14ac:dyDescent="0.3">
      <c r="A1239">
        <v>11460</v>
      </c>
      <c r="B1239" s="2">
        <v>45818</v>
      </c>
      <c r="C1239" t="s">
        <v>31</v>
      </c>
      <c r="D1239" t="s">
        <v>64</v>
      </c>
      <c r="E1239" t="s">
        <v>107</v>
      </c>
      <c r="F1239" t="s">
        <v>41</v>
      </c>
      <c r="G1239" t="s">
        <v>50</v>
      </c>
      <c r="H1239" t="s">
        <v>165</v>
      </c>
      <c r="I1239" t="s">
        <v>217</v>
      </c>
      <c r="J1239">
        <v>816</v>
      </c>
      <c r="K1239">
        <v>7</v>
      </c>
      <c r="L1239" t="s">
        <v>68</v>
      </c>
      <c r="M1239">
        <v>120</v>
      </c>
      <c r="N1239">
        <v>52.5</v>
      </c>
      <c r="O1239">
        <v>64.5</v>
      </c>
      <c r="P1239">
        <v>4.92</v>
      </c>
      <c r="Q1239">
        <v>1.19</v>
      </c>
      <c r="R1239" t="s">
        <v>111</v>
      </c>
      <c r="S1239" t="s">
        <v>73</v>
      </c>
      <c r="T1239" t="s">
        <v>30</v>
      </c>
      <c r="U1239" t="str">
        <f t="shared" si="57"/>
        <v>Normal</v>
      </c>
      <c r="V1239" t="str">
        <f t="shared" si="58"/>
        <v>Normal</v>
      </c>
      <c r="W1239" t="str">
        <f t="shared" si="59"/>
        <v>Normal</v>
      </c>
    </row>
    <row r="1240" spans="1:23" x14ac:dyDescent="0.3">
      <c r="A1240">
        <v>10910</v>
      </c>
      <c r="B1240" s="2">
        <v>45953</v>
      </c>
      <c r="C1240" t="s">
        <v>20</v>
      </c>
      <c r="D1240" t="s">
        <v>59</v>
      </c>
      <c r="E1240" t="s">
        <v>40</v>
      </c>
      <c r="F1240" t="s">
        <v>23</v>
      </c>
      <c r="G1240" t="s">
        <v>24</v>
      </c>
      <c r="H1240" t="s">
        <v>161</v>
      </c>
      <c r="I1240" t="s">
        <v>185</v>
      </c>
      <c r="J1240">
        <v>1217</v>
      </c>
      <c r="K1240">
        <v>120</v>
      </c>
      <c r="L1240" t="s">
        <v>37</v>
      </c>
      <c r="M1240">
        <v>128</v>
      </c>
      <c r="N1240">
        <v>42</v>
      </c>
      <c r="O1240">
        <v>64.400000000000006</v>
      </c>
      <c r="P1240">
        <v>3.74</v>
      </c>
      <c r="Q1240">
        <v>1.97</v>
      </c>
      <c r="R1240" t="s">
        <v>174</v>
      </c>
      <c r="S1240" t="s">
        <v>47</v>
      </c>
      <c r="T1240" t="s">
        <v>48</v>
      </c>
      <c r="U1240" t="str">
        <f t="shared" si="57"/>
        <v>Normal</v>
      </c>
      <c r="V1240" t="str">
        <f t="shared" si="58"/>
        <v>Normal</v>
      </c>
      <c r="W1240" t="str">
        <f t="shared" si="59"/>
        <v>Normal</v>
      </c>
    </row>
    <row r="1241" spans="1:23" x14ac:dyDescent="0.3">
      <c r="A1241">
        <v>10984</v>
      </c>
      <c r="B1241" s="2">
        <v>45662</v>
      </c>
      <c r="C1241" t="s">
        <v>49</v>
      </c>
      <c r="D1241" t="s">
        <v>64</v>
      </c>
      <c r="E1241" t="s">
        <v>33</v>
      </c>
      <c r="F1241" t="s">
        <v>23</v>
      </c>
      <c r="G1241" t="s">
        <v>113</v>
      </c>
      <c r="H1241" t="s">
        <v>196</v>
      </c>
      <c r="I1241" t="s">
        <v>117</v>
      </c>
      <c r="J1241">
        <v>1485</v>
      </c>
      <c r="K1241">
        <v>6</v>
      </c>
      <c r="L1241" t="s">
        <v>27</v>
      </c>
      <c r="M1241">
        <v>93</v>
      </c>
      <c r="N1241">
        <v>60.9</v>
      </c>
      <c r="O1241">
        <v>64.400000000000006</v>
      </c>
      <c r="P1241">
        <v>3.94</v>
      </c>
      <c r="Q1241">
        <v>4.6500000000000004</v>
      </c>
      <c r="R1241" t="s">
        <v>147</v>
      </c>
      <c r="S1241" t="s">
        <v>39</v>
      </c>
      <c r="T1241" t="s">
        <v>30</v>
      </c>
      <c r="U1241" t="str">
        <f t="shared" si="57"/>
        <v>Normal</v>
      </c>
      <c r="V1241" t="str">
        <f t="shared" si="58"/>
        <v>Normal</v>
      </c>
      <c r="W1241" t="str">
        <f t="shared" si="59"/>
        <v>Normal</v>
      </c>
    </row>
    <row r="1242" spans="1:23" x14ac:dyDescent="0.3">
      <c r="A1242">
        <v>10025</v>
      </c>
      <c r="B1242" s="2">
        <v>45996</v>
      </c>
      <c r="C1242" t="s">
        <v>20</v>
      </c>
      <c r="D1242" t="s">
        <v>64</v>
      </c>
      <c r="E1242" t="s">
        <v>33</v>
      </c>
      <c r="F1242" t="s">
        <v>81</v>
      </c>
      <c r="G1242" t="s">
        <v>50</v>
      </c>
      <c r="H1242" t="s">
        <v>200</v>
      </c>
      <c r="I1242" t="s">
        <v>305</v>
      </c>
      <c r="J1242">
        <v>619</v>
      </c>
      <c r="K1242">
        <v>4</v>
      </c>
      <c r="L1242" t="s">
        <v>57</v>
      </c>
      <c r="M1242">
        <v>136</v>
      </c>
      <c r="N1242">
        <v>51.3</v>
      </c>
      <c r="O1242">
        <v>64.400000000000006</v>
      </c>
      <c r="P1242">
        <v>3.33</v>
      </c>
      <c r="Q1242">
        <v>2.41</v>
      </c>
      <c r="R1242" t="s">
        <v>209</v>
      </c>
      <c r="S1242" t="s">
        <v>39</v>
      </c>
      <c r="T1242" t="s">
        <v>30</v>
      </c>
      <c r="U1242" t="str">
        <f t="shared" si="57"/>
        <v>Normal</v>
      </c>
      <c r="V1242" t="str">
        <f t="shared" si="58"/>
        <v>Normal</v>
      </c>
      <c r="W1242" t="str">
        <f t="shared" si="59"/>
        <v>Normal</v>
      </c>
    </row>
    <row r="1243" spans="1:23" x14ac:dyDescent="0.3">
      <c r="A1243">
        <v>10626</v>
      </c>
      <c r="B1243" s="2">
        <v>45928</v>
      </c>
      <c r="C1243" t="s">
        <v>20</v>
      </c>
      <c r="D1243" t="s">
        <v>21</v>
      </c>
      <c r="E1243" t="s">
        <v>40</v>
      </c>
      <c r="F1243" t="s">
        <v>81</v>
      </c>
      <c r="G1243" t="s">
        <v>60</v>
      </c>
      <c r="H1243" t="s">
        <v>424</v>
      </c>
      <c r="I1243" t="s">
        <v>327</v>
      </c>
      <c r="J1243">
        <v>535</v>
      </c>
      <c r="K1243">
        <v>5</v>
      </c>
      <c r="L1243" t="s">
        <v>37</v>
      </c>
      <c r="M1243">
        <v>99</v>
      </c>
      <c r="N1243">
        <v>35.200000000000003</v>
      </c>
      <c r="O1243">
        <v>64.400000000000006</v>
      </c>
      <c r="P1243">
        <v>4.78</v>
      </c>
      <c r="Q1243">
        <v>1.73</v>
      </c>
      <c r="R1243" t="s">
        <v>125</v>
      </c>
      <c r="S1243" t="s">
        <v>73</v>
      </c>
      <c r="T1243" t="s">
        <v>30</v>
      </c>
      <c r="U1243" t="str">
        <f t="shared" si="57"/>
        <v>Normal</v>
      </c>
      <c r="V1243" t="str">
        <f t="shared" si="58"/>
        <v>Normal</v>
      </c>
      <c r="W1243" t="str">
        <f t="shared" si="59"/>
        <v>Normal</v>
      </c>
    </row>
    <row r="1244" spans="1:23" x14ac:dyDescent="0.3">
      <c r="A1244">
        <v>11299</v>
      </c>
      <c r="B1244" s="2">
        <v>45883</v>
      </c>
      <c r="C1244" t="s">
        <v>31</v>
      </c>
      <c r="D1244" t="s">
        <v>21</v>
      </c>
      <c r="E1244" t="s">
        <v>40</v>
      </c>
      <c r="F1244" t="s">
        <v>41</v>
      </c>
      <c r="G1244" t="s">
        <v>109</v>
      </c>
      <c r="H1244" t="s">
        <v>278</v>
      </c>
      <c r="I1244" t="s">
        <v>254</v>
      </c>
      <c r="J1244">
        <v>504</v>
      </c>
      <c r="K1244">
        <v>7</v>
      </c>
      <c r="L1244" t="s">
        <v>71</v>
      </c>
      <c r="M1244">
        <v>79</v>
      </c>
      <c r="N1244">
        <v>46.6</v>
      </c>
      <c r="O1244">
        <v>64.400000000000006</v>
      </c>
      <c r="P1244">
        <v>5.17</v>
      </c>
      <c r="Q1244">
        <v>1.97</v>
      </c>
      <c r="R1244" t="s">
        <v>164</v>
      </c>
      <c r="S1244" t="s">
        <v>39</v>
      </c>
      <c r="T1244" t="s">
        <v>30</v>
      </c>
      <c r="U1244" t="str">
        <f t="shared" si="57"/>
        <v>Normal</v>
      </c>
      <c r="V1244" t="str">
        <f t="shared" si="58"/>
        <v>Normal</v>
      </c>
      <c r="W1244" t="str">
        <f t="shared" si="59"/>
        <v>Normal</v>
      </c>
    </row>
    <row r="1245" spans="1:23" x14ac:dyDescent="0.3">
      <c r="A1245">
        <v>11288</v>
      </c>
      <c r="B1245" s="2">
        <v>45678</v>
      </c>
      <c r="C1245" t="s">
        <v>31</v>
      </c>
      <c r="D1245" t="s">
        <v>32</v>
      </c>
      <c r="E1245" t="s">
        <v>33</v>
      </c>
      <c r="F1245" t="s">
        <v>41</v>
      </c>
      <c r="G1245" t="s">
        <v>95</v>
      </c>
      <c r="H1245" t="s">
        <v>66</v>
      </c>
      <c r="I1245" t="s">
        <v>249</v>
      </c>
      <c r="J1245">
        <v>758</v>
      </c>
      <c r="K1245">
        <v>10</v>
      </c>
      <c r="L1245" t="s">
        <v>27</v>
      </c>
      <c r="M1245">
        <v>147</v>
      </c>
      <c r="N1245">
        <v>40.4</v>
      </c>
      <c r="O1245">
        <v>64.3</v>
      </c>
      <c r="P1245">
        <v>5.88</v>
      </c>
      <c r="Q1245">
        <v>0.88</v>
      </c>
      <c r="R1245" t="s">
        <v>222</v>
      </c>
      <c r="S1245" t="s">
        <v>47</v>
      </c>
      <c r="T1245" t="s">
        <v>30</v>
      </c>
      <c r="U1245" t="str">
        <f t="shared" si="57"/>
        <v>Normal</v>
      </c>
      <c r="V1245" t="str">
        <f t="shared" si="58"/>
        <v>Normal</v>
      </c>
      <c r="W1245" t="str">
        <f t="shared" si="59"/>
        <v>Normal</v>
      </c>
    </row>
    <row r="1246" spans="1:23" x14ac:dyDescent="0.3">
      <c r="A1246">
        <v>10027</v>
      </c>
      <c r="B1246" s="2">
        <v>45737</v>
      </c>
      <c r="C1246" t="s">
        <v>49</v>
      </c>
      <c r="D1246" t="s">
        <v>64</v>
      </c>
      <c r="E1246" t="s">
        <v>40</v>
      </c>
      <c r="F1246" t="s">
        <v>81</v>
      </c>
      <c r="G1246" t="s">
        <v>34</v>
      </c>
      <c r="H1246" t="s">
        <v>61</v>
      </c>
      <c r="I1246" t="s">
        <v>91</v>
      </c>
      <c r="J1246">
        <v>1590</v>
      </c>
      <c r="K1246">
        <v>23</v>
      </c>
      <c r="L1246" t="s">
        <v>27</v>
      </c>
      <c r="M1246">
        <v>24</v>
      </c>
      <c r="N1246">
        <v>37.1</v>
      </c>
      <c r="O1246">
        <v>64.3</v>
      </c>
      <c r="P1246">
        <v>6.35</v>
      </c>
      <c r="Q1246">
        <v>2.0299999999999998</v>
      </c>
      <c r="R1246" t="s">
        <v>280</v>
      </c>
      <c r="S1246" t="s">
        <v>47</v>
      </c>
      <c r="T1246" t="s">
        <v>30</v>
      </c>
      <c r="U1246" t="str">
        <f t="shared" si="57"/>
        <v>Normal</v>
      </c>
      <c r="V1246" t="str">
        <f t="shared" si="58"/>
        <v>Normal</v>
      </c>
      <c r="W1246" t="str">
        <f t="shared" si="59"/>
        <v>Normal</v>
      </c>
    </row>
    <row r="1247" spans="1:23" x14ac:dyDescent="0.3">
      <c r="A1247">
        <v>11245</v>
      </c>
      <c r="B1247" s="2">
        <v>45792</v>
      </c>
      <c r="C1247" t="s">
        <v>49</v>
      </c>
      <c r="D1247" t="s">
        <v>32</v>
      </c>
      <c r="E1247" t="s">
        <v>40</v>
      </c>
      <c r="F1247" t="s">
        <v>23</v>
      </c>
      <c r="G1247" t="s">
        <v>50</v>
      </c>
      <c r="H1247" t="s">
        <v>126</v>
      </c>
      <c r="I1247" t="s">
        <v>275</v>
      </c>
      <c r="J1247">
        <v>1186</v>
      </c>
      <c r="K1247">
        <v>11</v>
      </c>
      <c r="L1247" t="s">
        <v>27</v>
      </c>
      <c r="M1247">
        <v>80</v>
      </c>
      <c r="N1247">
        <v>31.8</v>
      </c>
      <c r="O1247">
        <v>64.2</v>
      </c>
      <c r="P1247">
        <v>4.99</v>
      </c>
      <c r="Q1247">
        <v>0.84</v>
      </c>
      <c r="R1247" t="s">
        <v>202</v>
      </c>
      <c r="S1247" t="s">
        <v>39</v>
      </c>
      <c r="T1247" t="s">
        <v>30</v>
      </c>
      <c r="U1247" t="str">
        <f t="shared" si="57"/>
        <v>Normal</v>
      </c>
      <c r="V1247" t="str">
        <f t="shared" si="58"/>
        <v>Normal</v>
      </c>
      <c r="W1247" t="str">
        <f t="shared" si="59"/>
        <v>Normal</v>
      </c>
    </row>
    <row r="1248" spans="1:23" x14ac:dyDescent="0.3">
      <c r="A1248">
        <v>10486</v>
      </c>
      <c r="B1248" s="2">
        <v>45717</v>
      </c>
      <c r="C1248" t="s">
        <v>49</v>
      </c>
      <c r="D1248" t="s">
        <v>21</v>
      </c>
      <c r="E1248" t="s">
        <v>22</v>
      </c>
      <c r="F1248" t="s">
        <v>23</v>
      </c>
      <c r="G1248" t="s">
        <v>95</v>
      </c>
      <c r="H1248" t="s">
        <v>169</v>
      </c>
      <c r="I1248" t="s">
        <v>314</v>
      </c>
      <c r="J1248">
        <v>1574</v>
      </c>
      <c r="K1248">
        <v>14</v>
      </c>
      <c r="L1248" t="s">
        <v>45</v>
      </c>
      <c r="M1248">
        <v>82</v>
      </c>
      <c r="N1248">
        <v>41</v>
      </c>
      <c r="O1248">
        <v>64.2</v>
      </c>
      <c r="P1248">
        <v>5.97</v>
      </c>
      <c r="Q1248">
        <v>2.74</v>
      </c>
      <c r="R1248" t="s">
        <v>103</v>
      </c>
      <c r="S1248" t="s">
        <v>47</v>
      </c>
      <c r="T1248" t="s">
        <v>30</v>
      </c>
      <c r="U1248" t="str">
        <f t="shared" si="57"/>
        <v>Normal</v>
      </c>
      <c r="V1248" t="str">
        <f t="shared" si="58"/>
        <v>Normal</v>
      </c>
      <c r="W1248" t="str">
        <f t="shared" si="59"/>
        <v>Normal</v>
      </c>
    </row>
    <row r="1249" spans="1:23" x14ac:dyDescent="0.3">
      <c r="A1249">
        <v>10225</v>
      </c>
      <c r="B1249" s="2">
        <v>45665</v>
      </c>
      <c r="C1249" t="s">
        <v>20</v>
      </c>
      <c r="D1249" t="s">
        <v>59</v>
      </c>
      <c r="E1249" t="s">
        <v>107</v>
      </c>
      <c r="F1249" t="s">
        <v>23</v>
      </c>
      <c r="G1249" t="s">
        <v>74</v>
      </c>
      <c r="H1249" t="s">
        <v>148</v>
      </c>
      <c r="I1249" t="s">
        <v>339</v>
      </c>
      <c r="J1249">
        <v>461</v>
      </c>
      <c r="K1249">
        <v>3</v>
      </c>
      <c r="L1249" t="s">
        <v>68</v>
      </c>
      <c r="M1249">
        <v>80</v>
      </c>
      <c r="N1249">
        <v>34.9</v>
      </c>
      <c r="O1249">
        <v>64.2</v>
      </c>
      <c r="P1249">
        <v>6.17</v>
      </c>
      <c r="Q1249">
        <v>1.42</v>
      </c>
      <c r="R1249" t="s">
        <v>159</v>
      </c>
      <c r="S1249" t="s">
        <v>73</v>
      </c>
      <c r="T1249" t="s">
        <v>30</v>
      </c>
      <c r="U1249" t="str">
        <f t="shared" si="57"/>
        <v>Normal</v>
      </c>
      <c r="V1249" t="str">
        <f t="shared" si="58"/>
        <v>Normal</v>
      </c>
      <c r="W1249" t="str">
        <f t="shared" si="59"/>
        <v>Normal</v>
      </c>
    </row>
    <row r="1250" spans="1:23" x14ac:dyDescent="0.3">
      <c r="A1250">
        <v>10724</v>
      </c>
      <c r="B1250" s="2">
        <v>45738</v>
      </c>
      <c r="C1250" t="s">
        <v>31</v>
      </c>
      <c r="D1250" t="s">
        <v>64</v>
      </c>
      <c r="E1250" t="s">
        <v>33</v>
      </c>
      <c r="F1250" t="s">
        <v>23</v>
      </c>
      <c r="G1250" t="s">
        <v>54</v>
      </c>
      <c r="H1250" t="s">
        <v>165</v>
      </c>
      <c r="I1250" t="s">
        <v>160</v>
      </c>
      <c r="J1250">
        <v>722</v>
      </c>
      <c r="K1250">
        <v>42</v>
      </c>
      <c r="L1250" t="s">
        <v>71</v>
      </c>
      <c r="M1250">
        <v>127</v>
      </c>
      <c r="N1250">
        <v>41.9</v>
      </c>
      <c r="O1250">
        <v>64.2</v>
      </c>
      <c r="P1250">
        <v>6.36</v>
      </c>
      <c r="Q1250">
        <v>4.87</v>
      </c>
      <c r="R1250" t="s">
        <v>103</v>
      </c>
      <c r="S1250" t="s">
        <v>47</v>
      </c>
      <c r="T1250" t="s">
        <v>48</v>
      </c>
      <c r="U1250" t="str">
        <f t="shared" si="57"/>
        <v>Normal</v>
      </c>
      <c r="V1250" t="str">
        <f t="shared" si="58"/>
        <v>Normal</v>
      </c>
      <c r="W1250" t="str">
        <f t="shared" si="59"/>
        <v>Normal</v>
      </c>
    </row>
    <row r="1251" spans="1:23" x14ac:dyDescent="0.3">
      <c r="A1251">
        <v>11077</v>
      </c>
      <c r="B1251" s="2">
        <v>45802</v>
      </c>
      <c r="C1251" t="s">
        <v>31</v>
      </c>
      <c r="D1251" t="s">
        <v>64</v>
      </c>
      <c r="E1251" t="s">
        <v>40</v>
      </c>
      <c r="F1251" t="s">
        <v>81</v>
      </c>
      <c r="G1251" t="s">
        <v>60</v>
      </c>
      <c r="H1251" t="s">
        <v>85</v>
      </c>
      <c r="I1251" t="s">
        <v>355</v>
      </c>
      <c r="J1251">
        <v>533</v>
      </c>
      <c r="K1251">
        <v>7</v>
      </c>
      <c r="L1251" t="s">
        <v>57</v>
      </c>
      <c r="M1251">
        <v>131</v>
      </c>
      <c r="N1251">
        <v>38.299999999999997</v>
      </c>
      <c r="O1251">
        <v>64.2</v>
      </c>
      <c r="P1251">
        <v>4.1900000000000004</v>
      </c>
      <c r="Q1251">
        <v>2.98</v>
      </c>
      <c r="R1251" t="s">
        <v>229</v>
      </c>
      <c r="S1251" t="s">
        <v>47</v>
      </c>
      <c r="T1251" t="s">
        <v>30</v>
      </c>
      <c r="U1251" t="str">
        <f t="shared" si="57"/>
        <v>Normal</v>
      </c>
      <c r="V1251" t="str">
        <f t="shared" si="58"/>
        <v>Normal</v>
      </c>
      <c r="W1251" t="str">
        <f t="shared" si="59"/>
        <v>Normal</v>
      </c>
    </row>
    <row r="1252" spans="1:23" x14ac:dyDescent="0.3">
      <c r="A1252">
        <v>10479</v>
      </c>
      <c r="B1252" s="2">
        <v>45672</v>
      </c>
      <c r="C1252" t="s">
        <v>20</v>
      </c>
      <c r="D1252" t="s">
        <v>64</v>
      </c>
      <c r="E1252" t="s">
        <v>40</v>
      </c>
      <c r="F1252" t="s">
        <v>41</v>
      </c>
      <c r="G1252" t="s">
        <v>50</v>
      </c>
      <c r="H1252" t="s">
        <v>223</v>
      </c>
      <c r="I1252" t="s">
        <v>307</v>
      </c>
      <c r="J1252">
        <v>1512</v>
      </c>
      <c r="K1252">
        <v>32</v>
      </c>
      <c r="L1252" t="s">
        <v>68</v>
      </c>
      <c r="M1252">
        <v>138</v>
      </c>
      <c r="N1252">
        <v>41.8</v>
      </c>
      <c r="O1252">
        <v>64.099999999999994</v>
      </c>
      <c r="P1252">
        <v>5.43</v>
      </c>
      <c r="Q1252">
        <v>4.88</v>
      </c>
      <c r="R1252" t="s">
        <v>105</v>
      </c>
      <c r="S1252" t="s">
        <v>39</v>
      </c>
      <c r="T1252" t="s">
        <v>30</v>
      </c>
      <c r="U1252" t="str">
        <f t="shared" si="57"/>
        <v>Normal</v>
      </c>
      <c r="V1252" t="str">
        <f t="shared" si="58"/>
        <v>Normal</v>
      </c>
      <c r="W1252" t="str">
        <f t="shared" si="59"/>
        <v>Normal</v>
      </c>
    </row>
    <row r="1253" spans="1:23" x14ac:dyDescent="0.3">
      <c r="A1253">
        <v>10237</v>
      </c>
      <c r="B1253" s="2">
        <v>45768</v>
      </c>
      <c r="C1253" t="s">
        <v>20</v>
      </c>
      <c r="D1253" t="s">
        <v>64</v>
      </c>
      <c r="E1253" t="s">
        <v>33</v>
      </c>
      <c r="F1253" t="s">
        <v>23</v>
      </c>
      <c r="G1253" t="s">
        <v>134</v>
      </c>
      <c r="H1253" t="s">
        <v>123</v>
      </c>
      <c r="I1253" t="s">
        <v>327</v>
      </c>
      <c r="J1253">
        <v>1436</v>
      </c>
      <c r="K1253">
        <v>14</v>
      </c>
      <c r="L1253" t="s">
        <v>68</v>
      </c>
      <c r="M1253">
        <v>94</v>
      </c>
      <c r="N1253">
        <v>41.6</v>
      </c>
      <c r="O1253">
        <v>64.099999999999994</v>
      </c>
      <c r="P1253">
        <v>6.1</v>
      </c>
      <c r="Q1253">
        <v>5.35</v>
      </c>
      <c r="R1253" t="s">
        <v>164</v>
      </c>
      <c r="S1253" t="s">
        <v>47</v>
      </c>
      <c r="T1253" t="s">
        <v>30</v>
      </c>
      <c r="U1253" t="str">
        <f t="shared" si="57"/>
        <v>Normal</v>
      </c>
      <c r="V1253" t="str">
        <f t="shared" si="58"/>
        <v>Normal</v>
      </c>
      <c r="W1253" t="str">
        <f t="shared" si="59"/>
        <v>Normal</v>
      </c>
    </row>
    <row r="1254" spans="1:23" x14ac:dyDescent="0.3">
      <c r="A1254">
        <v>11306</v>
      </c>
      <c r="B1254" s="2">
        <v>45988</v>
      </c>
      <c r="C1254" t="s">
        <v>20</v>
      </c>
      <c r="D1254" t="s">
        <v>59</v>
      </c>
      <c r="E1254" t="s">
        <v>22</v>
      </c>
      <c r="F1254" t="s">
        <v>23</v>
      </c>
      <c r="G1254" t="s">
        <v>34</v>
      </c>
      <c r="H1254" t="s">
        <v>172</v>
      </c>
      <c r="I1254" t="s">
        <v>344</v>
      </c>
      <c r="J1254">
        <v>982</v>
      </c>
      <c r="K1254">
        <v>5</v>
      </c>
      <c r="L1254" t="s">
        <v>27</v>
      </c>
      <c r="M1254">
        <v>45</v>
      </c>
      <c r="N1254">
        <v>41.3</v>
      </c>
      <c r="O1254">
        <v>64.099999999999994</v>
      </c>
      <c r="P1254">
        <v>5.65</v>
      </c>
      <c r="Q1254">
        <v>1.99</v>
      </c>
      <c r="R1254" t="s">
        <v>130</v>
      </c>
      <c r="S1254" t="s">
        <v>39</v>
      </c>
      <c r="T1254" t="s">
        <v>30</v>
      </c>
      <c r="U1254" t="str">
        <f t="shared" si="57"/>
        <v>Normal</v>
      </c>
      <c r="V1254" t="str">
        <f t="shared" si="58"/>
        <v>Normal</v>
      </c>
      <c r="W1254" t="str">
        <f t="shared" si="59"/>
        <v>Normal</v>
      </c>
    </row>
    <row r="1255" spans="1:23" x14ac:dyDescent="0.3">
      <c r="A1255">
        <v>10719</v>
      </c>
      <c r="B1255" s="2">
        <v>45971</v>
      </c>
      <c r="C1255" t="s">
        <v>20</v>
      </c>
      <c r="D1255" t="s">
        <v>64</v>
      </c>
      <c r="E1255" t="s">
        <v>107</v>
      </c>
      <c r="F1255" t="s">
        <v>41</v>
      </c>
      <c r="G1255" t="s">
        <v>109</v>
      </c>
      <c r="H1255" t="s">
        <v>78</v>
      </c>
      <c r="I1255" t="s">
        <v>162</v>
      </c>
      <c r="J1255">
        <v>1422</v>
      </c>
      <c r="K1255">
        <v>20</v>
      </c>
      <c r="L1255" t="s">
        <v>71</v>
      </c>
      <c r="M1255">
        <v>106</v>
      </c>
      <c r="N1255">
        <v>41.5</v>
      </c>
      <c r="O1255">
        <v>64.099999999999994</v>
      </c>
      <c r="P1255">
        <v>5.7</v>
      </c>
      <c r="Q1255">
        <v>4.3600000000000003</v>
      </c>
      <c r="R1255" t="s">
        <v>174</v>
      </c>
      <c r="S1255" t="s">
        <v>39</v>
      </c>
      <c r="T1255" t="s">
        <v>30</v>
      </c>
      <c r="U1255" t="str">
        <f t="shared" si="57"/>
        <v>Normal</v>
      </c>
      <c r="V1255" t="str">
        <f t="shared" si="58"/>
        <v>Normal</v>
      </c>
      <c r="W1255" t="str">
        <f t="shared" si="59"/>
        <v>Normal</v>
      </c>
    </row>
    <row r="1256" spans="1:23" x14ac:dyDescent="0.3">
      <c r="A1256">
        <v>10781</v>
      </c>
      <c r="B1256" s="2">
        <v>45779</v>
      </c>
      <c r="C1256" t="s">
        <v>31</v>
      </c>
      <c r="D1256" t="s">
        <v>21</v>
      </c>
      <c r="E1256" t="s">
        <v>22</v>
      </c>
      <c r="F1256" t="s">
        <v>23</v>
      </c>
      <c r="G1256" t="s">
        <v>74</v>
      </c>
      <c r="H1256" t="s">
        <v>161</v>
      </c>
      <c r="I1256" t="s">
        <v>171</v>
      </c>
      <c r="J1256">
        <v>1441</v>
      </c>
      <c r="K1256">
        <v>48</v>
      </c>
      <c r="L1256" t="s">
        <v>57</v>
      </c>
      <c r="M1256">
        <v>102</v>
      </c>
      <c r="N1256">
        <v>45.9</v>
      </c>
      <c r="O1256">
        <v>64.099999999999994</v>
      </c>
      <c r="P1256">
        <v>4.88</v>
      </c>
      <c r="Q1256">
        <v>4.45</v>
      </c>
      <c r="R1256" t="s">
        <v>184</v>
      </c>
      <c r="S1256" t="s">
        <v>73</v>
      </c>
      <c r="T1256" t="s">
        <v>48</v>
      </c>
      <c r="U1256" t="str">
        <f t="shared" si="57"/>
        <v>Normal</v>
      </c>
      <c r="V1256" t="str">
        <f t="shared" si="58"/>
        <v>Normal</v>
      </c>
      <c r="W1256" t="str">
        <f t="shared" si="59"/>
        <v>Normal</v>
      </c>
    </row>
    <row r="1257" spans="1:23" x14ac:dyDescent="0.3">
      <c r="A1257">
        <v>11277</v>
      </c>
      <c r="B1257" s="2">
        <v>46021</v>
      </c>
      <c r="C1257" t="s">
        <v>49</v>
      </c>
      <c r="D1257" t="s">
        <v>32</v>
      </c>
      <c r="E1257" t="s">
        <v>33</v>
      </c>
      <c r="F1257" t="s">
        <v>23</v>
      </c>
      <c r="G1257" t="s">
        <v>109</v>
      </c>
      <c r="H1257" t="s">
        <v>200</v>
      </c>
      <c r="I1257" t="s">
        <v>149</v>
      </c>
      <c r="J1257">
        <v>952</v>
      </c>
      <c r="K1257">
        <v>2</v>
      </c>
      <c r="L1257" t="s">
        <v>37</v>
      </c>
      <c r="M1257">
        <v>128</v>
      </c>
      <c r="N1257">
        <v>30.4</v>
      </c>
      <c r="O1257">
        <v>64.099999999999994</v>
      </c>
      <c r="P1257">
        <v>5.3</v>
      </c>
      <c r="Q1257">
        <v>2.89</v>
      </c>
      <c r="R1257" t="s">
        <v>189</v>
      </c>
      <c r="S1257" t="s">
        <v>39</v>
      </c>
      <c r="T1257" t="s">
        <v>30</v>
      </c>
      <c r="U1257" t="str">
        <f t="shared" si="57"/>
        <v>Normal</v>
      </c>
      <c r="V1257" t="str">
        <f t="shared" si="58"/>
        <v>Normal</v>
      </c>
      <c r="W1257" t="str">
        <f t="shared" si="59"/>
        <v>Normal</v>
      </c>
    </row>
    <row r="1258" spans="1:23" x14ac:dyDescent="0.3">
      <c r="A1258">
        <v>11447</v>
      </c>
      <c r="B1258" s="2">
        <v>45803</v>
      </c>
      <c r="C1258" t="s">
        <v>49</v>
      </c>
      <c r="D1258" t="s">
        <v>64</v>
      </c>
      <c r="E1258" t="s">
        <v>107</v>
      </c>
      <c r="F1258" t="s">
        <v>81</v>
      </c>
      <c r="G1258" t="s">
        <v>42</v>
      </c>
      <c r="H1258" t="s">
        <v>120</v>
      </c>
      <c r="I1258" t="s">
        <v>379</v>
      </c>
      <c r="J1258">
        <v>848</v>
      </c>
      <c r="K1258">
        <v>2</v>
      </c>
      <c r="L1258" t="s">
        <v>37</v>
      </c>
      <c r="M1258">
        <v>171</v>
      </c>
      <c r="N1258">
        <v>54.3</v>
      </c>
      <c r="O1258">
        <v>64.099999999999994</v>
      </c>
      <c r="P1258">
        <v>6.37</v>
      </c>
      <c r="Q1258">
        <v>1.75</v>
      </c>
      <c r="R1258" t="s">
        <v>111</v>
      </c>
      <c r="S1258" t="s">
        <v>39</v>
      </c>
      <c r="T1258" t="s">
        <v>30</v>
      </c>
      <c r="U1258" t="str">
        <f t="shared" si="57"/>
        <v>Normal</v>
      </c>
      <c r="V1258" t="str">
        <f t="shared" si="58"/>
        <v>Normal</v>
      </c>
      <c r="W1258" t="str">
        <f t="shared" si="59"/>
        <v>Normal</v>
      </c>
    </row>
    <row r="1259" spans="1:23" x14ac:dyDescent="0.3">
      <c r="A1259">
        <v>10656</v>
      </c>
      <c r="B1259" s="2">
        <v>45940</v>
      </c>
      <c r="C1259" t="s">
        <v>49</v>
      </c>
      <c r="D1259" t="s">
        <v>64</v>
      </c>
      <c r="E1259" t="s">
        <v>107</v>
      </c>
      <c r="F1259" t="s">
        <v>41</v>
      </c>
      <c r="G1259" t="s">
        <v>50</v>
      </c>
      <c r="H1259" t="s">
        <v>96</v>
      </c>
      <c r="I1259" t="s">
        <v>221</v>
      </c>
      <c r="J1259">
        <v>1243</v>
      </c>
      <c r="K1259">
        <v>17</v>
      </c>
      <c r="L1259" t="s">
        <v>71</v>
      </c>
      <c r="M1259">
        <v>91</v>
      </c>
      <c r="N1259">
        <v>44.7</v>
      </c>
      <c r="O1259">
        <v>64.099999999999994</v>
      </c>
      <c r="P1259">
        <v>6.26</v>
      </c>
      <c r="Q1259">
        <v>0.96</v>
      </c>
      <c r="R1259" t="s">
        <v>77</v>
      </c>
      <c r="S1259" t="s">
        <v>39</v>
      </c>
      <c r="T1259" t="s">
        <v>30</v>
      </c>
      <c r="U1259" t="str">
        <f t="shared" si="57"/>
        <v>Normal</v>
      </c>
      <c r="V1259" t="str">
        <f t="shared" si="58"/>
        <v>Normal</v>
      </c>
      <c r="W1259" t="str">
        <f t="shared" si="59"/>
        <v>Normal</v>
      </c>
    </row>
    <row r="1260" spans="1:23" x14ac:dyDescent="0.3">
      <c r="A1260">
        <v>10442</v>
      </c>
      <c r="B1260" s="2">
        <v>45958</v>
      </c>
      <c r="C1260" t="s">
        <v>20</v>
      </c>
      <c r="D1260" t="s">
        <v>59</v>
      </c>
      <c r="E1260" t="s">
        <v>33</v>
      </c>
      <c r="F1260" t="s">
        <v>41</v>
      </c>
      <c r="G1260" t="s">
        <v>54</v>
      </c>
      <c r="H1260" t="s">
        <v>205</v>
      </c>
      <c r="I1260" t="s">
        <v>102</v>
      </c>
      <c r="J1260">
        <v>1347</v>
      </c>
      <c r="K1260">
        <v>49</v>
      </c>
      <c r="L1260" t="s">
        <v>37</v>
      </c>
      <c r="M1260">
        <v>116</v>
      </c>
      <c r="N1260">
        <v>54.1</v>
      </c>
      <c r="O1260">
        <v>64.099999999999994</v>
      </c>
      <c r="P1260">
        <v>5.0199999999999996</v>
      </c>
      <c r="Q1260">
        <v>3.85</v>
      </c>
      <c r="R1260" t="s">
        <v>125</v>
      </c>
      <c r="S1260" t="s">
        <v>47</v>
      </c>
      <c r="T1260" t="s">
        <v>48</v>
      </c>
      <c r="U1260" t="str">
        <f t="shared" si="57"/>
        <v>Normal</v>
      </c>
      <c r="V1260" t="str">
        <f t="shared" si="58"/>
        <v>Normal</v>
      </c>
      <c r="W1260" t="str">
        <f t="shared" si="59"/>
        <v>Normal</v>
      </c>
    </row>
    <row r="1261" spans="1:23" x14ac:dyDescent="0.3">
      <c r="A1261">
        <v>10217</v>
      </c>
      <c r="B1261" s="2">
        <v>45715</v>
      </c>
      <c r="C1261" t="s">
        <v>20</v>
      </c>
      <c r="D1261" t="s">
        <v>32</v>
      </c>
      <c r="E1261" t="s">
        <v>22</v>
      </c>
      <c r="F1261" t="s">
        <v>41</v>
      </c>
      <c r="G1261" t="s">
        <v>109</v>
      </c>
      <c r="H1261" t="s">
        <v>93</v>
      </c>
      <c r="I1261" t="s">
        <v>385</v>
      </c>
      <c r="J1261">
        <v>718</v>
      </c>
      <c r="K1261">
        <v>6</v>
      </c>
      <c r="L1261" t="s">
        <v>57</v>
      </c>
      <c r="M1261">
        <v>138</v>
      </c>
      <c r="N1261">
        <v>45.2</v>
      </c>
      <c r="O1261">
        <v>64.099999999999994</v>
      </c>
      <c r="P1261">
        <v>5.25</v>
      </c>
      <c r="Q1261">
        <v>3.29</v>
      </c>
      <c r="R1261" t="s">
        <v>216</v>
      </c>
      <c r="S1261" t="s">
        <v>29</v>
      </c>
      <c r="T1261" t="s">
        <v>30</v>
      </c>
      <c r="U1261" t="str">
        <f t="shared" si="57"/>
        <v>Normal</v>
      </c>
      <c r="V1261" t="str">
        <f t="shared" si="58"/>
        <v>Normal</v>
      </c>
      <c r="W1261" t="str">
        <f t="shared" si="59"/>
        <v>Normal</v>
      </c>
    </row>
    <row r="1262" spans="1:23" x14ac:dyDescent="0.3">
      <c r="A1262">
        <v>10325</v>
      </c>
      <c r="B1262" s="2">
        <v>45726</v>
      </c>
      <c r="C1262" t="s">
        <v>20</v>
      </c>
      <c r="D1262" t="s">
        <v>59</v>
      </c>
      <c r="E1262" t="s">
        <v>22</v>
      </c>
      <c r="F1262" t="s">
        <v>41</v>
      </c>
      <c r="G1262" t="s">
        <v>34</v>
      </c>
      <c r="H1262" t="s">
        <v>120</v>
      </c>
      <c r="I1262" t="s">
        <v>121</v>
      </c>
      <c r="J1262">
        <v>1485</v>
      </c>
      <c r="K1262">
        <v>51</v>
      </c>
      <c r="L1262" t="s">
        <v>45</v>
      </c>
      <c r="M1262">
        <v>13</v>
      </c>
      <c r="N1262">
        <v>38.9</v>
      </c>
      <c r="O1262">
        <v>64</v>
      </c>
      <c r="P1262">
        <v>6.02</v>
      </c>
      <c r="Q1262">
        <v>2.08</v>
      </c>
      <c r="R1262" t="s">
        <v>122</v>
      </c>
      <c r="S1262" t="s">
        <v>73</v>
      </c>
      <c r="T1262" t="s">
        <v>48</v>
      </c>
      <c r="U1262" t="str">
        <f t="shared" si="57"/>
        <v>Normal</v>
      </c>
      <c r="V1262" t="str">
        <f t="shared" si="58"/>
        <v>Normal</v>
      </c>
      <c r="W1262" t="str">
        <f t="shared" si="59"/>
        <v>Normal</v>
      </c>
    </row>
    <row r="1263" spans="1:23" x14ac:dyDescent="0.3">
      <c r="A1263">
        <v>10179</v>
      </c>
      <c r="B1263" s="2">
        <v>45864</v>
      </c>
      <c r="C1263" t="s">
        <v>20</v>
      </c>
      <c r="D1263" t="s">
        <v>32</v>
      </c>
      <c r="E1263" t="s">
        <v>40</v>
      </c>
      <c r="F1263" t="s">
        <v>23</v>
      </c>
      <c r="G1263" t="s">
        <v>42</v>
      </c>
      <c r="H1263" t="s">
        <v>99</v>
      </c>
      <c r="I1263" t="s">
        <v>239</v>
      </c>
      <c r="J1263">
        <v>1221</v>
      </c>
      <c r="K1263">
        <v>12</v>
      </c>
      <c r="L1263" t="s">
        <v>68</v>
      </c>
      <c r="M1263">
        <v>42</v>
      </c>
      <c r="N1263">
        <v>42.3</v>
      </c>
      <c r="O1263">
        <v>64</v>
      </c>
      <c r="P1263">
        <v>5.88</v>
      </c>
      <c r="Q1263">
        <v>3.85</v>
      </c>
      <c r="R1263" t="s">
        <v>229</v>
      </c>
      <c r="S1263" t="s">
        <v>47</v>
      </c>
      <c r="T1263" t="s">
        <v>30</v>
      </c>
      <c r="U1263" t="str">
        <f t="shared" si="57"/>
        <v>Normal</v>
      </c>
      <c r="V1263" t="str">
        <f t="shared" si="58"/>
        <v>Normal</v>
      </c>
      <c r="W1263" t="str">
        <f t="shared" si="59"/>
        <v>Normal</v>
      </c>
    </row>
    <row r="1264" spans="1:23" x14ac:dyDescent="0.3">
      <c r="A1264">
        <v>11075</v>
      </c>
      <c r="B1264" s="2">
        <v>45672</v>
      </c>
      <c r="C1264" t="s">
        <v>20</v>
      </c>
      <c r="D1264" t="s">
        <v>32</v>
      </c>
      <c r="E1264" t="s">
        <v>22</v>
      </c>
      <c r="F1264" t="s">
        <v>23</v>
      </c>
      <c r="G1264" t="s">
        <v>24</v>
      </c>
      <c r="H1264" t="s">
        <v>96</v>
      </c>
      <c r="I1264" t="s">
        <v>272</v>
      </c>
      <c r="J1264">
        <v>1360</v>
      </c>
      <c r="K1264">
        <v>12</v>
      </c>
      <c r="L1264" t="s">
        <v>71</v>
      </c>
      <c r="M1264">
        <v>85</v>
      </c>
      <c r="N1264">
        <v>37</v>
      </c>
      <c r="O1264">
        <v>63.9</v>
      </c>
      <c r="P1264">
        <v>4.9000000000000004</v>
      </c>
      <c r="Q1264">
        <v>2.19</v>
      </c>
      <c r="R1264" t="s">
        <v>77</v>
      </c>
      <c r="S1264" t="s">
        <v>39</v>
      </c>
      <c r="T1264" t="s">
        <v>30</v>
      </c>
      <c r="U1264" t="str">
        <f t="shared" si="57"/>
        <v>Normal</v>
      </c>
      <c r="V1264" t="str">
        <f t="shared" si="58"/>
        <v>Normal</v>
      </c>
      <c r="W1264" t="str">
        <f t="shared" si="59"/>
        <v>Normal</v>
      </c>
    </row>
    <row r="1265" spans="1:23" x14ac:dyDescent="0.3">
      <c r="A1265">
        <v>11404</v>
      </c>
      <c r="B1265" s="2">
        <v>45682</v>
      </c>
      <c r="C1265" t="s">
        <v>20</v>
      </c>
      <c r="D1265" t="s">
        <v>21</v>
      </c>
      <c r="E1265" t="s">
        <v>107</v>
      </c>
      <c r="F1265" t="s">
        <v>41</v>
      </c>
      <c r="G1265" t="s">
        <v>60</v>
      </c>
      <c r="H1265" t="s">
        <v>172</v>
      </c>
      <c r="I1265" t="s">
        <v>302</v>
      </c>
      <c r="J1265">
        <v>675</v>
      </c>
      <c r="K1265">
        <v>13</v>
      </c>
      <c r="L1265" t="s">
        <v>68</v>
      </c>
      <c r="M1265">
        <v>93</v>
      </c>
      <c r="N1265">
        <v>32.9</v>
      </c>
      <c r="O1265">
        <v>63.9</v>
      </c>
      <c r="P1265">
        <v>5.65</v>
      </c>
      <c r="Q1265">
        <v>4.92</v>
      </c>
      <c r="R1265" t="s">
        <v>186</v>
      </c>
      <c r="S1265" t="s">
        <v>29</v>
      </c>
      <c r="T1265" t="s">
        <v>30</v>
      </c>
      <c r="U1265" t="str">
        <f t="shared" si="57"/>
        <v>Normal</v>
      </c>
      <c r="V1265" t="str">
        <f t="shared" si="58"/>
        <v>Normal</v>
      </c>
      <c r="W1265" t="str">
        <f t="shared" si="59"/>
        <v>Normal</v>
      </c>
    </row>
    <row r="1266" spans="1:23" x14ac:dyDescent="0.3">
      <c r="A1266">
        <v>10433</v>
      </c>
      <c r="B1266" s="2">
        <v>45987</v>
      </c>
      <c r="C1266" t="s">
        <v>20</v>
      </c>
      <c r="D1266" t="s">
        <v>32</v>
      </c>
      <c r="E1266" t="s">
        <v>40</v>
      </c>
      <c r="F1266" t="s">
        <v>81</v>
      </c>
      <c r="G1266" t="s">
        <v>113</v>
      </c>
      <c r="H1266" t="s">
        <v>141</v>
      </c>
      <c r="I1266" t="s">
        <v>211</v>
      </c>
      <c r="J1266">
        <v>991</v>
      </c>
      <c r="K1266">
        <v>12</v>
      </c>
      <c r="L1266" t="s">
        <v>45</v>
      </c>
      <c r="M1266">
        <v>119</v>
      </c>
      <c r="N1266">
        <v>48.3</v>
      </c>
      <c r="O1266">
        <v>63.9</v>
      </c>
      <c r="P1266">
        <v>6.65</v>
      </c>
      <c r="Q1266">
        <v>3.42</v>
      </c>
      <c r="R1266" t="s">
        <v>209</v>
      </c>
      <c r="S1266" t="s">
        <v>47</v>
      </c>
      <c r="T1266" t="s">
        <v>30</v>
      </c>
      <c r="U1266" t="str">
        <f t="shared" si="57"/>
        <v>Normal</v>
      </c>
      <c r="V1266" t="str">
        <f t="shared" si="58"/>
        <v>Normal</v>
      </c>
      <c r="W1266" t="str">
        <f t="shared" si="59"/>
        <v>Normal</v>
      </c>
    </row>
    <row r="1267" spans="1:23" x14ac:dyDescent="0.3">
      <c r="A1267">
        <v>11272</v>
      </c>
      <c r="B1267" s="2">
        <v>45975</v>
      </c>
      <c r="C1267" t="s">
        <v>20</v>
      </c>
      <c r="D1267" t="s">
        <v>59</v>
      </c>
      <c r="E1267" t="s">
        <v>33</v>
      </c>
      <c r="F1267" t="s">
        <v>41</v>
      </c>
      <c r="G1267" t="s">
        <v>134</v>
      </c>
      <c r="H1267" t="s">
        <v>263</v>
      </c>
      <c r="I1267" t="s">
        <v>336</v>
      </c>
      <c r="J1267">
        <v>624</v>
      </c>
      <c r="K1267">
        <v>1</v>
      </c>
      <c r="L1267" t="s">
        <v>27</v>
      </c>
      <c r="M1267">
        <v>134</v>
      </c>
      <c r="N1267">
        <v>39.299999999999997</v>
      </c>
      <c r="O1267">
        <v>63.9</v>
      </c>
      <c r="P1267">
        <v>4.71</v>
      </c>
      <c r="Q1267">
        <v>2.0699999999999998</v>
      </c>
      <c r="R1267" t="s">
        <v>164</v>
      </c>
      <c r="S1267" t="s">
        <v>39</v>
      </c>
      <c r="T1267" t="s">
        <v>30</v>
      </c>
      <c r="U1267" t="str">
        <f t="shared" si="57"/>
        <v>Normal</v>
      </c>
      <c r="V1267" t="str">
        <f t="shared" si="58"/>
        <v>Normal</v>
      </c>
      <c r="W1267" t="str">
        <f t="shared" si="59"/>
        <v>Normal</v>
      </c>
    </row>
    <row r="1268" spans="1:23" x14ac:dyDescent="0.3">
      <c r="A1268">
        <v>11118</v>
      </c>
      <c r="B1268" s="2">
        <v>45978</v>
      </c>
      <c r="C1268" t="s">
        <v>31</v>
      </c>
      <c r="D1268" t="s">
        <v>32</v>
      </c>
      <c r="E1268" t="s">
        <v>33</v>
      </c>
      <c r="F1268" t="s">
        <v>41</v>
      </c>
      <c r="G1268" t="s">
        <v>34</v>
      </c>
      <c r="H1268" t="s">
        <v>78</v>
      </c>
      <c r="I1268" t="s">
        <v>221</v>
      </c>
      <c r="J1268">
        <v>744</v>
      </c>
      <c r="K1268">
        <v>4</v>
      </c>
      <c r="L1268" t="s">
        <v>57</v>
      </c>
      <c r="M1268">
        <v>54</v>
      </c>
      <c r="N1268">
        <v>50.2</v>
      </c>
      <c r="O1268">
        <v>63.9</v>
      </c>
      <c r="P1268">
        <v>5.2</v>
      </c>
      <c r="Q1268">
        <v>3.26</v>
      </c>
      <c r="R1268" t="s">
        <v>46</v>
      </c>
      <c r="S1268" t="s">
        <v>47</v>
      </c>
      <c r="T1268" t="s">
        <v>30</v>
      </c>
      <c r="U1268" t="str">
        <f t="shared" si="57"/>
        <v>Normal</v>
      </c>
      <c r="V1268" t="str">
        <f t="shared" si="58"/>
        <v>Normal</v>
      </c>
      <c r="W1268" t="str">
        <f t="shared" si="59"/>
        <v>Normal</v>
      </c>
    </row>
    <row r="1269" spans="1:23" x14ac:dyDescent="0.3">
      <c r="A1269">
        <v>10459</v>
      </c>
      <c r="B1269" s="2">
        <v>45705</v>
      </c>
      <c r="C1269" t="s">
        <v>31</v>
      </c>
      <c r="D1269" t="s">
        <v>21</v>
      </c>
      <c r="E1269" t="s">
        <v>40</v>
      </c>
      <c r="F1269" t="s">
        <v>41</v>
      </c>
      <c r="G1269" t="s">
        <v>34</v>
      </c>
      <c r="H1269" t="s">
        <v>213</v>
      </c>
      <c r="I1269" t="s">
        <v>376</v>
      </c>
      <c r="J1269">
        <v>1280</v>
      </c>
      <c r="K1269">
        <v>9</v>
      </c>
      <c r="L1269" t="s">
        <v>71</v>
      </c>
      <c r="M1269">
        <v>114</v>
      </c>
      <c r="N1269">
        <v>40.5</v>
      </c>
      <c r="O1269">
        <v>63.9</v>
      </c>
      <c r="P1269">
        <v>3.34</v>
      </c>
      <c r="Q1269">
        <v>2.41</v>
      </c>
      <c r="R1269" t="s">
        <v>209</v>
      </c>
      <c r="S1269" t="s">
        <v>29</v>
      </c>
      <c r="T1269" t="s">
        <v>30</v>
      </c>
      <c r="U1269" t="str">
        <f t="shared" si="57"/>
        <v>Normal</v>
      </c>
      <c r="V1269" t="str">
        <f t="shared" si="58"/>
        <v>Normal</v>
      </c>
      <c r="W1269" t="str">
        <f t="shared" si="59"/>
        <v>Normal</v>
      </c>
    </row>
    <row r="1270" spans="1:23" x14ac:dyDescent="0.3">
      <c r="A1270">
        <v>10040</v>
      </c>
      <c r="B1270" s="2">
        <v>45916</v>
      </c>
      <c r="C1270" t="s">
        <v>20</v>
      </c>
      <c r="D1270" t="s">
        <v>59</v>
      </c>
      <c r="E1270" t="s">
        <v>33</v>
      </c>
      <c r="F1270" t="s">
        <v>41</v>
      </c>
      <c r="G1270" t="s">
        <v>109</v>
      </c>
      <c r="H1270" t="s">
        <v>78</v>
      </c>
      <c r="I1270" t="s">
        <v>309</v>
      </c>
      <c r="J1270">
        <v>539</v>
      </c>
      <c r="K1270">
        <v>9</v>
      </c>
      <c r="L1270" t="s">
        <v>27</v>
      </c>
      <c r="M1270">
        <v>176</v>
      </c>
      <c r="N1270">
        <v>46.4</v>
      </c>
      <c r="O1270">
        <v>63.9</v>
      </c>
      <c r="P1270">
        <v>7.11</v>
      </c>
      <c r="Q1270">
        <v>2.14</v>
      </c>
      <c r="R1270" t="s">
        <v>130</v>
      </c>
      <c r="S1270" t="s">
        <v>29</v>
      </c>
      <c r="T1270" t="s">
        <v>30</v>
      </c>
      <c r="U1270" t="str">
        <f t="shared" si="57"/>
        <v>Normal</v>
      </c>
      <c r="V1270" t="str">
        <f t="shared" si="58"/>
        <v>Normal</v>
      </c>
      <c r="W1270" t="str">
        <f t="shared" si="59"/>
        <v>Normal</v>
      </c>
    </row>
    <row r="1271" spans="1:23" x14ac:dyDescent="0.3">
      <c r="A1271">
        <v>10243</v>
      </c>
      <c r="B1271" s="2">
        <v>45688</v>
      </c>
      <c r="C1271" t="s">
        <v>20</v>
      </c>
      <c r="D1271" t="s">
        <v>64</v>
      </c>
      <c r="E1271" t="s">
        <v>40</v>
      </c>
      <c r="F1271" t="s">
        <v>81</v>
      </c>
      <c r="G1271" t="s">
        <v>60</v>
      </c>
      <c r="H1271" t="s">
        <v>192</v>
      </c>
      <c r="I1271" t="s">
        <v>308</v>
      </c>
      <c r="J1271">
        <v>826</v>
      </c>
      <c r="K1271">
        <v>6</v>
      </c>
      <c r="L1271" t="s">
        <v>71</v>
      </c>
      <c r="M1271">
        <v>136</v>
      </c>
      <c r="N1271">
        <v>37.6</v>
      </c>
      <c r="O1271">
        <v>63.9</v>
      </c>
      <c r="P1271">
        <v>4.09</v>
      </c>
      <c r="Q1271">
        <v>1.69</v>
      </c>
      <c r="R1271" t="s">
        <v>267</v>
      </c>
      <c r="S1271" t="s">
        <v>73</v>
      </c>
      <c r="T1271" t="s">
        <v>30</v>
      </c>
      <c r="U1271" t="str">
        <f t="shared" si="57"/>
        <v>Normal</v>
      </c>
      <c r="V1271" t="str">
        <f t="shared" si="58"/>
        <v>Normal</v>
      </c>
      <c r="W1271" t="str">
        <f t="shared" si="59"/>
        <v>Normal</v>
      </c>
    </row>
    <row r="1272" spans="1:23" x14ac:dyDescent="0.3">
      <c r="A1272">
        <v>10778</v>
      </c>
      <c r="B1272" s="2">
        <v>45900</v>
      </c>
      <c r="C1272" t="s">
        <v>49</v>
      </c>
      <c r="D1272" t="s">
        <v>21</v>
      </c>
      <c r="E1272" t="s">
        <v>40</v>
      </c>
      <c r="F1272" t="s">
        <v>23</v>
      </c>
      <c r="G1272" t="s">
        <v>109</v>
      </c>
      <c r="H1272" t="s">
        <v>43</v>
      </c>
      <c r="I1272" t="s">
        <v>273</v>
      </c>
      <c r="J1272">
        <v>1525</v>
      </c>
      <c r="K1272">
        <v>123</v>
      </c>
      <c r="L1272" t="s">
        <v>68</v>
      </c>
      <c r="M1272">
        <v>116</v>
      </c>
      <c r="N1272">
        <v>46.4</v>
      </c>
      <c r="O1272">
        <v>63.8</v>
      </c>
      <c r="P1272">
        <v>5.69</v>
      </c>
      <c r="Q1272">
        <v>3.32</v>
      </c>
      <c r="R1272" t="s">
        <v>140</v>
      </c>
      <c r="S1272" t="s">
        <v>73</v>
      </c>
      <c r="T1272" t="s">
        <v>48</v>
      </c>
      <c r="U1272" t="str">
        <f t="shared" si="57"/>
        <v>Normal</v>
      </c>
      <c r="V1272" t="str">
        <f t="shared" si="58"/>
        <v>Normal</v>
      </c>
      <c r="W1272" t="str">
        <f t="shared" si="59"/>
        <v>Normal</v>
      </c>
    </row>
    <row r="1273" spans="1:23" x14ac:dyDescent="0.3">
      <c r="A1273">
        <v>10835</v>
      </c>
      <c r="B1273" s="2">
        <v>45756</v>
      </c>
      <c r="C1273" t="s">
        <v>31</v>
      </c>
      <c r="D1273" t="s">
        <v>21</v>
      </c>
      <c r="E1273" t="s">
        <v>22</v>
      </c>
      <c r="F1273" t="s">
        <v>41</v>
      </c>
      <c r="G1273" t="s">
        <v>134</v>
      </c>
      <c r="H1273" t="s">
        <v>169</v>
      </c>
      <c r="I1273" t="s">
        <v>262</v>
      </c>
      <c r="J1273">
        <v>842</v>
      </c>
      <c r="K1273">
        <v>23</v>
      </c>
      <c r="L1273" t="s">
        <v>68</v>
      </c>
      <c r="M1273">
        <v>87</v>
      </c>
      <c r="N1273">
        <v>38.1</v>
      </c>
      <c r="O1273">
        <v>63.8</v>
      </c>
      <c r="P1273">
        <v>6.37</v>
      </c>
      <c r="Q1273">
        <v>0.86</v>
      </c>
      <c r="R1273" t="s">
        <v>119</v>
      </c>
      <c r="S1273" t="s">
        <v>29</v>
      </c>
      <c r="T1273" t="s">
        <v>30</v>
      </c>
      <c r="U1273" t="str">
        <f t="shared" si="57"/>
        <v>Normal</v>
      </c>
      <c r="V1273" t="str">
        <f t="shared" si="58"/>
        <v>Normal</v>
      </c>
      <c r="W1273" t="str">
        <f t="shared" si="59"/>
        <v>Normal</v>
      </c>
    </row>
    <row r="1274" spans="1:23" x14ac:dyDescent="0.3">
      <c r="A1274">
        <v>10506</v>
      </c>
      <c r="B1274" s="2">
        <v>45715</v>
      </c>
      <c r="C1274" t="s">
        <v>20</v>
      </c>
      <c r="D1274" t="s">
        <v>59</v>
      </c>
      <c r="E1274" t="s">
        <v>40</v>
      </c>
      <c r="F1274" t="s">
        <v>23</v>
      </c>
      <c r="G1274" t="s">
        <v>89</v>
      </c>
      <c r="H1274" t="s">
        <v>141</v>
      </c>
      <c r="I1274" t="s">
        <v>317</v>
      </c>
      <c r="J1274">
        <v>1233</v>
      </c>
      <c r="K1274">
        <v>4</v>
      </c>
      <c r="L1274" t="s">
        <v>68</v>
      </c>
      <c r="M1274">
        <v>74</v>
      </c>
      <c r="N1274">
        <v>33</v>
      </c>
      <c r="O1274">
        <v>63.8</v>
      </c>
      <c r="P1274">
        <v>5.15</v>
      </c>
      <c r="Q1274">
        <v>5.8</v>
      </c>
      <c r="R1274" t="s">
        <v>174</v>
      </c>
      <c r="S1274" t="s">
        <v>73</v>
      </c>
      <c r="T1274" t="s">
        <v>30</v>
      </c>
      <c r="U1274" t="str">
        <f t="shared" si="57"/>
        <v>Normal</v>
      </c>
      <c r="V1274" t="str">
        <f t="shared" si="58"/>
        <v>Normal</v>
      </c>
      <c r="W1274" t="str">
        <f t="shared" si="59"/>
        <v>Normal</v>
      </c>
    </row>
    <row r="1275" spans="1:23" x14ac:dyDescent="0.3">
      <c r="A1275">
        <v>11012</v>
      </c>
      <c r="B1275" s="2">
        <v>45778</v>
      </c>
      <c r="C1275" t="s">
        <v>31</v>
      </c>
      <c r="D1275" t="s">
        <v>64</v>
      </c>
      <c r="E1275" t="s">
        <v>107</v>
      </c>
      <c r="F1275" t="s">
        <v>81</v>
      </c>
      <c r="G1275" t="s">
        <v>109</v>
      </c>
      <c r="H1275" t="s">
        <v>161</v>
      </c>
      <c r="I1275" t="s">
        <v>221</v>
      </c>
      <c r="J1275">
        <v>681</v>
      </c>
      <c r="K1275">
        <v>3</v>
      </c>
      <c r="L1275" t="s">
        <v>27</v>
      </c>
      <c r="M1275">
        <v>67</v>
      </c>
      <c r="N1275">
        <v>45.6</v>
      </c>
      <c r="O1275">
        <v>63.8</v>
      </c>
      <c r="P1275">
        <v>4.5599999999999996</v>
      </c>
      <c r="Q1275">
        <v>3.54</v>
      </c>
      <c r="R1275" t="s">
        <v>240</v>
      </c>
      <c r="S1275" t="s">
        <v>73</v>
      </c>
      <c r="T1275" t="s">
        <v>30</v>
      </c>
      <c r="U1275" t="str">
        <f t="shared" si="57"/>
        <v>Normal</v>
      </c>
      <c r="V1275" t="str">
        <f t="shared" si="58"/>
        <v>Normal</v>
      </c>
      <c r="W1275" t="str">
        <f t="shared" si="59"/>
        <v>Normal</v>
      </c>
    </row>
    <row r="1276" spans="1:23" x14ac:dyDescent="0.3">
      <c r="A1276">
        <v>11258</v>
      </c>
      <c r="B1276" s="2">
        <v>45939</v>
      </c>
      <c r="C1276" t="s">
        <v>49</v>
      </c>
      <c r="D1276" t="s">
        <v>32</v>
      </c>
      <c r="E1276" t="s">
        <v>22</v>
      </c>
      <c r="F1276" t="s">
        <v>41</v>
      </c>
      <c r="G1276" t="s">
        <v>74</v>
      </c>
      <c r="H1276" t="s">
        <v>61</v>
      </c>
      <c r="I1276" t="s">
        <v>367</v>
      </c>
      <c r="J1276">
        <v>791</v>
      </c>
      <c r="K1276">
        <v>7</v>
      </c>
      <c r="L1276" t="s">
        <v>45</v>
      </c>
      <c r="M1276">
        <v>63</v>
      </c>
      <c r="N1276">
        <v>36.6</v>
      </c>
      <c r="O1276">
        <v>63.8</v>
      </c>
      <c r="P1276">
        <v>5.79</v>
      </c>
      <c r="Q1276">
        <v>1.43</v>
      </c>
      <c r="R1276" t="s">
        <v>164</v>
      </c>
      <c r="S1276" t="s">
        <v>47</v>
      </c>
      <c r="T1276" t="s">
        <v>30</v>
      </c>
      <c r="U1276" t="str">
        <f t="shared" si="57"/>
        <v>Normal</v>
      </c>
      <c r="V1276" t="str">
        <f t="shared" si="58"/>
        <v>Normal</v>
      </c>
      <c r="W1276" t="str">
        <f t="shared" si="59"/>
        <v>Normal</v>
      </c>
    </row>
    <row r="1277" spans="1:23" x14ac:dyDescent="0.3">
      <c r="A1277">
        <v>11475</v>
      </c>
      <c r="B1277" s="2">
        <v>45704</v>
      </c>
      <c r="C1277" t="s">
        <v>49</v>
      </c>
      <c r="D1277" t="s">
        <v>64</v>
      </c>
      <c r="E1277" t="s">
        <v>33</v>
      </c>
      <c r="F1277" t="s">
        <v>81</v>
      </c>
      <c r="G1277" t="s">
        <v>113</v>
      </c>
      <c r="H1277" t="s">
        <v>116</v>
      </c>
      <c r="I1277" t="s">
        <v>181</v>
      </c>
      <c r="J1277">
        <v>739</v>
      </c>
      <c r="K1277">
        <v>5</v>
      </c>
      <c r="L1277" t="s">
        <v>45</v>
      </c>
      <c r="M1277">
        <v>117</v>
      </c>
      <c r="N1277">
        <v>41.5</v>
      </c>
      <c r="O1277">
        <v>63.7</v>
      </c>
      <c r="P1277">
        <v>6.44</v>
      </c>
      <c r="Q1277">
        <v>2.0299999999999998</v>
      </c>
      <c r="R1277" t="s">
        <v>28</v>
      </c>
      <c r="S1277" t="s">
        <v>73</v>
      </c>
      <c r="T1277" t="s">
        <v>30</v>
      </c>
      <c r="U1277" t="str">
        <f t="shared" si="57"/>
        <v>Normal</v>
      </c>
      <c r="V1277" t="str">
        <f t="shared" si="58"/>
        <v>Normal</v>
      </c>
      <c r="W1277" t="str">
        <f t="shared" si="59"/>
        <v>Normal</v>
      </c>
    </row>
    <row r="1278" spans="1:23" x14ac:dyDescent="0.3">
      <c r="A1278">
        <v>11468</v>
      </c>
      <c r="B1278" s="2">
        <v>45864</v>
      </c>
      <c r="C1278" t="s">
        <v>49</v>
      </c>
      <c r="D1278" t="s">
        <v>32</v>
      </c>
      <c r="E1278" t="s">
        <v>22</v>
      </c>
      <c r="F1278" t="s">
        <v>23</v>
      </c>
      <c r="G1278" t="s">
        <v>74</v>
      </c>
      <c r="H1278" t="s">
        <v>265</v>
      </c>
      <c r="I1278" t="s">
        <v>94</v>
      </c>
      <c r="J1278">
        <v>1180</v>
      </c>
      <c r="K1278">
        <v>6</v>
      </c>
      <c r="L1278" t="s">
        <v>27</v>
      </c>
      <c r="M1278">
        <v>32</v>
      </c>
      <c r="N1278">
        <v>45.3</v>
      </c>
      <c r="O1278">
        <v>63.7</v>
      </c>
      <c r="P1278">
        <v>4.0599999999999996</v>
      </c>
      <c r="Q1278">
        <v>3.59</v>
      </c>
      <c r="R1278" t="s">
        <v>125</v>
      </c>
      <c r="S1278" t="s">
        <v>73</v>
      </c>
      <c r="T1278" t="s">
        <v>30</v>
      </c>
      <c r="U1278" t="str">
        <f t="shared" si="57"/>
        <v>Normal</v>
      </c>
      <c r="V1278" t="str">
        <f t="shared" si="58"/>
        <v>Normal</v>
      </c>
      <c r="W1278" t="str">
        <f t="shared" si="59"/>
        <v>Normal</v>
      </c>
    </row>
    <row r="1279" spans="1:23" x14ac:dyDescent="0.3">
      <c r="A1279">
        <v>10837</v>
      </c>
      <c r="B1279" s="2">
        <v>45896</v>
      </c>
      <c r="C1279" t="s">
        <v>20</v>
      </c>
      <c r="D1279" t="s">
        <v>32</v>
      </c>
      <c r="E1279" t="s">
        <v>107</v>
      </c>
      <c r="F1279" t="s">
        <v>23</v>
      </c>
      <c r="G1279" t="s">
        <v>34</v>
      </c>
      <c r="H1279" t="s">
        <v>223</v>
      </c>
      <c r="I1279" t="s">
        <v>254</v>
      </c>
      <c r="J1279">
        <v>758</v>
      </c>
      <c r="K1279">
        <v>8</v>
      </c>
      <c r="L1279" t="s">
        <v>57</v>
      </c>
      <c r="M1279">
        <v>98</v>
      </c>
      <c r="N1279">
        <v>40.700000000000003</v>
      </c>
      <c r="O1279">
        <v>63.7</v>
      </c>
      <c r="P1279">
        <v>5.21</v>
      </c>
      <c r="Q1279">
        <v>1.61</v>
      </c>
      <c r="R1279" t="s">
        <v>216</v>
      </c>
      <c r="S1279" t="s">
        <v>29</v>
      </c>
      <c r="T1279" t="s">
        <v>30</v>
      </c>
      <c r="U1279" t="str">
        <f t="shared" si="57"/>
        <v>Normal</v>
      </c>
      <c r="V1279" t="str">
        <f t="shared" si="58"/>
        <v>Normal</v>
      </c>
      <c r="W1279" t="str">
        <f t="shared" si="59"/>
        <v>Normal</v>
      </c>
    </row>
    <row r="1280" spans="1:23" x14ac:dyDescent="0.3">
      <c r="A1280">
        <v>10787</v>
      </c>
      <c r="B1280" s="2">
        <v>45858</v>
      </c>
      <c r="C1280" t="s">
        <v>20</v>
      </c>
      <c r="D1280" t="s">
        <v>32</v>
      </c>
      <c r="E1280" t="s">
        <v>33</v>
      </c>
      <c r="F1280" t="s">
        <v>41</v>
      </c>
      <c r="G1280" t="s">
        <v>109</v>
      </c>
      <c r="H1280" t="s">
        <v>175</v>
      </c>
      <c r="I1280" t="s">
        <v>76</v>
      </c>
      <c r="J1280">
        <v>902</v>
      </c>
      <c r="K1280">
        <v>11</v>
      </c>
      <c r="L1280" t="s">
        <v>57</v>
      </c>
      <c r="M1280">
        <v>174</v>
      </c>
      <c r="N1280">
        <v>44.6</v>
      </c>
      <c r="O1280">
        <v>63.7</v>
      </c>
      <c r="P1280">
        <v>4.7300000000000004</v>
      </c>
      <c r="Q1280">
        <v>2.5499999999999998</v>
      </c>
      <c r="R1280" t="s">
        <v>164</v>
      </c>
      <c r="S1280" t="s">
        <v>73</v>
      </c>
      <c r="T1280" t="s">
        <v>30</v>
      </c>
      <c r="U1280" t="str">
        <f t="shared" si="57"/>
        <v>Normal</v>
      </c>
      <c r="V1280" t="str">
        <f t="shared" si="58"/>
        <v>Normal</v>
      </c>
      <c r="W1280" t="str">
        <f t="shared" si="59"/>
        <v>Normal</v>
      </c>
    </row>
    <row r="1281" spans="1:23" x14ac:dyDescent="0.3">
      <c r="A1281">
        <v>10165</v>
      </c>
      <c r="B1281" s="2">
        <v>45704</v>
      </c>
      <c r="C1281" t="s">
        <v>49</v>
      </c>
      <c r="D1281" t="s">
        <v>21</v>
      </c>
      <c r="E1281" t="s">
        <v>40</v>
      </c>
      <c r="F1281" t="s">
        <v>23</v>
      </c>
      <c r="G1281" t="s">
        <v>74</v>
      </c>
      <c r="H1281" t="s">
        <v>223</v>
      </c>
      <c r="I1281" t="s">
        <v>284</v>
      </c>
      <c r="J1281">
        <v>755</v>
      </c>
      <c r="K1281">
        <v>10</v>
      </c>
      <c r="L1281" t="s">
        <v>45</v>
      </c>
      <c r="M1281">
        <v>153</v>
      </c>
      <c r="N1281">
        <v>39.5</v>
      </c>
      <c r="O1281">
        <v>63.7</v>
      </c>
      <c r="P1281">
        <v>6.4</v>
      </c>
      <c r="Q1281">
        <v>2.2400000000000002</v>
      </c>
      <c r="R1281" t="s">
        <v>202</v>
      </c>
      <c r="S1281" t="s">
        <v>424</v>
      </c>
      <c r="T1281" t="s">
        <v>30</v>
      </c>
      <c r="U1281" t="str">
        <f t="shared" si="57"/>
        <v>Normal</v>
      </c>
      <c r="V1281" t="str">
        <f t="shared" si="58"/>
        <v>Normal</v>
      </c>
      <c r="W1281" t="str">
        <f t="shared" si="59"/>
        <v>Normal</v>
      </c>
    </row>
    <row r="1282" spans="1:23" x14ac:dyDescent="0.3">
      <c r="A1282">
        <v>11218</v>
      </c>
      <c r="B1282" s="2">
        <v>46001</v>
      </c>
      <c r="C1282" t="s">
        <v>49</v>
      </c>
      <c r="D1282" t="s">
        <v>59</v>
      </c>
      <c r="E1282" t="s">
        <v>107</v>
      </c>
      <c r="F1282" t="s">
        <v>41</v>
      </c>
      <c r="G1282" t="s">
        <v>89</v>
      </c>
      <c r="H1282" t="s">
        <v>126</v>
      </c>
      <c r="I1282" t="s">
        <v>127</v>
      </c>
      <c r="J1282">
        <v>674</v>
      </c>
      <c r="K1282">
        <v>11</v>
      </c>
      <c r="L1282" t="s">
        <v>27</v>
      </c>
      <c r="M1282">
        <v>28</v>
      </c>
      <c r="N1282">
        <v>45.1</v>
      </c>
      <c r="O1282">
        <v>63.6</v>
      </c>
      <c r="P1282">
        <v>5.47</v>
      </c>
      <c r="Q1282">
        <v>2.1800000000000002</v>
      </c>
      <c r="R1282" t="s">
        <v>128</v>
      </c>
      <c r="S1282" t="s">
        <v>73</v>
      </c>
      <c r="T1282" t="s">
        <v>30</v>
      </c>
      <c r="U1282" t="str">
        <f t="shared" ref="U1282:U1345" si="60">IF(OR(O1282&lt;20,O1282&gt;100),"Investigate","Normal")</f>
        <v>Normal</v>
      </c>
      <c r="V1282" t="str">
        <f t="shared" ref="V1282:V1345" si="61">IF(OR(P1282&lt;2,P1282&gt;10),"Investigate","Normal")</f>
        <v>Normal</v>
      </c>
      <c r="W1282" t="str">
        <f t="shared" ref="W1282:W1345" si="62">IF(Q1282&gt;10,"Investigate","Normal")</f>
        <v>Normal</v>
      </c>
    </row>
    <row r="1283" spans="1:23" x14ac:dyDescent="0.3">
      <c r="A1283">
        <v>10990</v>
      </c>
      <c r="B1283" s="2">
        <v>45933</v>
      </c>
      <c r="C1283" t="s">
        <v>49</v>
      </c>
      <c r="D1283" t="s">
        <v>21</v>
      </c>
      <c r="E1283" t="s">
        <v>22</v>
      </c>
      <c r="F1283" t="s">
        <v>41</v>
      </c>
      <c r="G1283" t="s">
        <v>60</v>
      </c>
      <c r="H1283" t="s">
        <v>193</v>
      </c>
      <c r="I1283" t="s">
        <v>26</v>
      </c>
      <c r="J1283">
        <v>1419</v>
      </c>
      <c r="K1283">
        <v>16</v>
      </c>
      <c r="L1283" t="s">
        <v>37</v>
      </c>
      <c r="M1283">
        <v>43</v>
      </c>
      <c r="N1283">
        <v>48.3</v>
      </c>
      <c r="O1283">
        <v>63.6</v>
      </c>
      <c r="P1283">
        <v>5.24</v>
      </c>
      <c r="Q1283">
        <v>2.92</v>
      </c>
      <c r="R1283" t="s">
        <v>159</v>
      </c>
      <c r="S1283" t="s">
        <v>47</v>
      </c>
      <c r="T1283" t="s">
        <v>30</v>
      </c>
      <c r="U1283" t="str">
        <f t="shared" si="60"/>
        <v>Normal</v>
      </c>
      <c r="V1283" t="str">
        <f t="shared" si="61"/>
        <v>Normal</v>
      </c>
      <c r="W1283" t="str">
        <f t="shared" si="62"/>
        <v>Normal</v>
      </c>
    </row>
    <row r="1284" spans="1:23" x14ac:dyDescent="0.3">
      <c r="A1284">
        <v>10222</v>
      </c>
      <c r="B1284" s="2">
        <v>45740</v>
      </c>
      <c r="C1284" t="s">
        <v>20</v>
      </c>
      <c r="D1284" t="s">
        <v>32</v>
      </c>
      <c r="E1284" t="s">
        <v>22</v>
      </c>
      <c r="F1284" t="s">
        <v>23</v>
      </c>
      <c r="G1284" t="s">
        <v>50</v>
      </c>
      <c r="H1284" t="s">
        <v>55</v>
      </c>
      <c r="I1284" t="s">
        <v>347</v>
      </c>
      <c r="J1284">
        <v>525</v>
      </c>
      <c r="K1284">
        <v>17</v>
      </c>
      <c r="L1284" t="s">
        <v>37</v>
      </c>
      <c r="M1284">
        <v>160</v>
      </c>
      <c r="N1284">
        <v>43.3</v>
      </c>
      <c r="O1284">
        <v>63.6</v>
      </c>
      <c r="P1284">
        <v>6.31</v>
      </c>
      <c r="Q1284">
        <v>2.5</v>
      </c>
      <c r="R1284" t="s">
        <v>80</v>
      </c>
      <c r="S1284" t="s">
        <v>73</v>
      </c>
      <c r="T1284" t="s">
        <v>48</v>
      </c>
      <c r="U1284" t="str">
        <f t="shared" si="60"/>
        <v>Normal</v>
      </c>
      <c r="V1284" t="str">
        <f t="shared" si="61"/>
        <v>Normal</v>
      </c>
      <c r="W1284" t="str">
        <f t="shared" si="62"/>
        <v>Normal</v>
      </c>
    </row>
    <row r="1285" spans="1:23" x14ac:dyDescent="0.3">
      <c r="A1285">
        <v>11425</v>
      </c>
      <c r="B1285" s="2">
        <v>45789</v>
      </c>
      <c r="C1285" t="s">
        <v>49</v>
      </c>
      <c r="D1285" t="s">
        <v>59</v>
      </c>
      <c r="E1285" t="s">
        <v>22</v>
      </c>
      <c r="F1285" t="s">
        <v>41</v>
      </c>
      <c r="G1285" t="s">
        <v>34</v>
      </c>
      <c r="H1285" t="s">
        <v>61</v>
      </c>
      <c r="I1285" t="s">
        <v>270</v>
      </c>
      <c r="J1285">
        <v>846</v>
      </c>
      <c r="K1285">
        <v>14</v>
      </c>
      <c r="L1285" t="s">
        <v>27</v>
      </c>
      <c r="M1285">
        <v>120</v>
      </c>
      <c r="N1285">
        <v>37.9</v>
      </c>
      <c r="O1285">
        <v>63.6</v>
      </c>
      <c r="P1285">
        <v>5.62</v>
      </c>
      <c r="Q1285">
        <v>2.72</v>
      </c>
      <c r="R1285" t="s">
        <v>167</v>
      </c>
      <c r="S1285" t="s">
        <v>39</v>
      </c>
      <c r="T1285" t="s">
        <v>30</v>
      </c>
      <c r="U1285" t="str">
        <f t="shared" si="60"/>
        <v>Normal</v>
      </c>
      <c r="V1285" t="str">
        <f t="shared" si="61"/>
        <v>Normal</v>
      </c>
      <c r="W1285" t="str">
        <f t="shared" si="62"/>
        <v>Normal</v>
      </c>
    </row>
    <row r="1286" spans="1:23" x14ac:dyDescent="0.3">
      <c r="A1286">
        <v>10760</v>
      </c>
      <c r="B1286" s="2">
        <v>45676</v>
      </c>
      <c r="C1286" t="s">
        <v>49</v>
      </c>
      <c r="D1286" t="s">
        <v>32</v>
      </c>
      <c r="E1286" t="s">
        <v>33</v>
      </c>
      <c r="F1286" t="s">
        <v>23</v>
      </c>
      <c r="G1286" t="s">
        <v>89</v>
      </c>
      <c r="H1286" t="s">
        <v>25</v>
      </c>
      <c r="I1286" t="s">
        <v>276</v>
      </c>
      <c r="J1286">
        <v>706</v>
      </c>
      <c r="K1286">
        <v>7</v>
      </c>
      <c r="L1286" t="s">
        <v>45</v>
      </c>
      <c r="M1286">
        <v>83</v>
      </c>
      <c r="N1286">
        <v>44</v>
      </c>
      <c r="O1286">
        <v>63.6</v>
      </c>
      <c r="P1286">
        <v>4.9000000000000004</v>
      </c>
      <c r="Q1286">
        <v>2.91</v>
      </c>
      <c r="R1286" t="s">
        <v>179</v>
      </c>
      <c r="S1286" t="s">
        <v>424</v>
      </c>
      <c r="T1286" t="s">
        <v>30</v>
      </c>
      <c r="U1286" t="str">
        <f t="shared" si="60"/>
        <v>Normal</v>
      </c>
      <c r="V1286" t="str">
        <f t="shared" si="61"/>
        <v>Normal</v>
      </c>
      <c r="W1286" t="str">
        <f t="shared" si="62"/>
        <v>Normal</v>
      </c>
    </row>
    <row r="1287" spans="1:23" x14ac:dyDescent="0.3">
      <c r="A1287">
        <v>10098</v>
      </c>
      <c r="B1287" s="2">
        <v>45664</v>
      </c>
      <c r="C1287" t="s">
        <v>31</v>
      </c>
      <c r="D1287" t="s">
        <v>21</v>
      </c>
      <c r="E1287" t="s">
        <v>33</v>
      </c>
      <c r="F1287" t="s">
        <v>81</v>
      </c>
      <c r="G1287" t="s">
        <v>109</v>
      </c>
      <c r="H1287" t="s">
        <v>96</v>
      </c>
      <c r="I1287" t="s">
        <v>303</v>
      </c>
      <c r="J1287">
        <v>871</v>
      </c>
      <c r="K1287">
        <v>7</v>
      </c>
      <c r="L1287" t="s">
        <v>27</v>
      </c>
      <c r="M1287">
        <v>134</v>
      </c>
      <c r="N1287">
        <v>40.4</v>
      </c>
      <c r="O1287">
        <v>63.6</v>
      </c>
      <c r="P1287">
        <v>5.51</v>
      </c>
      <c r="Q1287">
        <v>4.3</v>
      </c>
      <c r="R1287" t="s">
        <v>174</v>
      </c>
      <c r="S1287" t="s">
        <v>29</v>
      </c>
      <c r="T1287" t="s">
        <v>30</v>
      </c>
      <c r="U1287" t="str">
        <f t="shared" si="60"/>
        <v>Normal</v>
      </c>
      <c r="V1287" t="str">
        <f t="shared" si="61"/>
        <v>Normal</v>
      </c>
      <c r="W1287" t="str">
        <f t="shared" si="62"/>
        <v>Normal</v>
      </c>
    </row>
    <row r="1288" spans="1:23" x14ac:dyDescent="0.3">
      <c r="A1288">
        <v>10965</v>
      </c>
      <c r="B1288" s="2">
        <v>45793</v>
      </c>
      <c r="C1288" t="s">
        <v>20</v>
      </c>
      <c r="D1288" t="s">
        <v>59</v>
      </c>
      <c r="E1288" t="s">
        <v>33</v>
      </c>
      <c r="F1288" t="s">
        <v>23</v>
      </c>
      <c r="G1288" t="s">
        <v>95</v>
      </c>
      <c r="H1288" t="s">
        <v>180</v>
      </c>
      <c r="I1288" t="s">
        <v>365</v>
      </c>
      <c r="J1288">
        <v>603</v>
      </c>
      <c r="K1288">
        <v>12</v>
      </c>
      <c r="L1288" t="s">
        <v>71</v>
      </c>
      <c r="M1288">
        <v>127</v>
      </c>
      <c r="N1288">
        <v>34.799999999999997</v>
      </c>
      <c r="O1288">
        <v>63.6</v>
      </c>
      <c r="P1288">
        <v>5.01</v>
      </c>
      <c r="Q1288">
        <v>1.76</v>
      </c>
      <c r="R1288" t="s">
        <v>216</v>
      </c>
      <c r="S1288" t="s">
        <v>29</v>
      </c>
      <c r="T1288" t="s">
        <v>30</v>
      </c>
      <c r="U1288" t="str">
        <f t="shared" si="60"/>
        <v>Normal</v>
      </c>
      <c r="V1288" t="str">
        <f t="shared" si="61"/>
        <v>Normal</v>
      </c>
      <c r="W1288" t="str">
        <f t="shared" si="62"/>
        <v>Normal</v>
      </c>
    </row>
    <row r="1289" spans="1:23" x14ac:dyDescent="0.3">
      <c r="A1289">
        <v>11271</v>
      </c>
      <c r="B1289" s="2">
        <v>45921</v>
      </c>
      <c r="C1289" t="s">
        <v>31</v>
      </c>
      <c r="D1289" t="s">
        <v>21</v>
      </c>
      <c r="E1289" t="s">
        <v>107</v>
      </c>
      <c r="F1289" t="s">
        <v>23</v>
      </c>
      <c r="G1289" t="s">
        <v>60</v>
      </c>
      <c r="H1289" t="s">
        <v>55</v>
      </c>
      <c r="I1289" t="s">
        <v>353</v>
      </c>
      <c r="J1289">
        <v>909</v>
      </c>
      <c r="K1289">
        <v>15</v>
      </c>
      <c r="L1289" t="s">
        <v>45</v>
      </c>
      <c r="M1289">
        <v>180</v>
      </c>
      <c r="N1289">
        <v>47.4</v>
      </c>
      <c r="O1289">
        <v>63.6</v>
      </c>
      <c r="P1289">
        <v>5.36</v>
      </c>
      <c r="Q1289">
        <v>0.75</v>
      </c>
      <c r="R1289" t="s">
        <v>174</v>
      </c>
      <c r="S1289" t="s">
        <v>39</v>
      </c>
      <c r="T1289" t="s">
        <v>30</v>
      </c>
      <c r="U1289" t="str">
        <f t="shared" si="60"/>
        <v>Normal</v>
      </c>
      <c r="V1289" t="str">
        <f t="shared" si="61"/>
        <v>Normal</v>
      </c>
      <c r="W1289" t="str">
        <f t="shared" si="62"/>
        <v>Normal</v>
      </c>
    </row>
    <row r="1290" spans="1:23" x14ac:dyDescent="0.3">
      <c r="A1290">
        <v>10033</v>
      </c>
      <c r="B1290" s="2">
        <v>45768</v>
      </c>
      <c r="C1290" t="s">
        <v>20</v>
      </c>
      <c r="D1290" t="s">
        <v>32</v>
      </c>
      <c r="E1290" t="s">
        <v>40</v>
      </c>
      <c r="F1290" t="s">
        <v>41</v>
      </c>
      <c r="G1290" t="s">
        <v>113</v>
      </c>
      <c r="H1290" t="s">
        <v>144</v>
      </c>
      <c r="I1290" t="s">
        <v>214</v>
      </c>
      <c r="J1290">
        <v>518</v>
      </c>
      <c r="K1290">
        <v>8</v>
      </c>
      <c r="L1290" t="s">
        <v>71</v>
      </c>
      <c r="M1290">
        <v>136</v>
      </c>
      <c r="N1290">
        <v>38.4</v>
      </c>
      <c r="O1290">
        <v>63.5</v>
      </c>
      <c r="P1290">
        <v>5.15</v>
      </c>
      <c r="Q1290">
        <v>3.85</v>
      </c>
      <c r="R1290" t="s">
        <v>167</v>
      </c>
      <c r="S1290" t="s">
        <v>47</v>
      </c>
      <c r="T1290" t="s">
        <v>30</v>
      </c>
      <c r="U1290" t="str">
        <f t="shared" si="60"/>
        <v>Normal</v>
      </c>
      <c r="V1290" t="str">
        <f t="shared" si="61"/>
        <v>Normal</v>
      </c>
      <c r="W1290" t="str">
        <f t="shared" si="62"/>
        <v>Normal</v>
      </c>
    </row>
    <row r="1291" spans="1:23" x14ac:dyDescent="0.3">
      <c r="A1291">
        <v>10430</v>
      </c>
      <c r="B1291" s="2">
        <v>45867</v>
      </c>
      <c r="C1291" t="s">
        <v>49</v>
      </c>
      <c r="D1291" t="s">
        <v>64</v>
      </c>
      <c r="E1291" t="s">
        <v>40</v>
      </c>
      <c r="F1291" t="s">
        <v>41</v>
      </c>
      <c r="G1291" t="s">
        <v>89</v>
      </c>
      <c r="H1291" t="s">
        <v>172</v>
      </c>
      <c r="I1291" t="s">
        <v>226</v>
      </c>
      <c r="J1291">
        <v>1145</v>
      </c>
      <c r="K1291">
        <v>11</v>
      </c>
      <c r="L1291" t="s">
        <v>37</v>
      </c>
      <c r="M1291">
        <v>71</v>
      </c>
      <c r="N1291">
        <v>43.1</v>
      </c>
      <c r="O1291">
        <v>63.5</v>
      </c>
      <c r="P1291">
        <v>5.09</v>
      </c>
      <c r="Q1291">
        <v>2.34</v>
      </c>
      <c r="R1291" t="s">
        <v>159</v>
      </c>
      <c r="S1291" t="s">
        <v>73</v>
      </c>
      <c r="T1291" t="s">
        <v>30</v>
      </c>
      <c r="U1291" t="str">
        <f t="shared" si="60"/>
        <v>Normal</v>
      </c>
      <c r="V1291" t="str">
        <f t="shared" si="61"/>
        <v>Normal</v>
      </c>
      <c r="W1291" t="str">
        <f t="shared" si="62"/>
        <v>Normal</v>
      </c>
    </row>
    <row r="1292" spans="1:23" x14ac:dyDescent="0.3">
      <c r="A1292">
        <v>11232</v>
      </c>
      <c r="B1292" s="2">
        <v>45676</v>
      </c>
      <c r="C1292" t="s">
        <v>49</v>
      </c>
      <c r="D1292" t="s">
        <v>59</v>
      </c>
      <c r="E1292" t="s">
        <v>33</v>
      </c>
      <c r="F1292" t="s">
        <v>23</v>
      </c>
      <c r="G1292" t="s">
        <v>50</v>
      </c>
      <c r="H1292" t="s">
        <v>200</v>
      </c>
      <c r="I1292" t="s">
        <v>290</v>
      </c>
      <c r="J1292">
        <v>488</v>
      </c>
      <c r="K1292">
        <v>6</v>
      </c>
      <c r="L1292" t="s">
        <v>71</v>
      </c>
      <c r="M1292">
        <v>15</v>
      </c>
      <c r="N1292">
        <v>38.9</v>
      </c>
      <c r="O1292">
        <v>63.5</v>
      </c>
      <c r="P1292">
        <v>5.16</v>
      </c>
      <c r="Q1292">
        <v>3.75</v>
      </c>
      <c r="R1292" t="s">
        <v>84</v>
      </c>
      <c r="S1292" t="s">
        <v>39</v>
      </c>
      <c r="T1292" t="s">
        <v>30</v>
      </c>
      <c r="U1292" t="str">
        <f t="shared" si="60"/>
        <v>Normal</v>
      </c>
      <c r="V1292" t="str">
        <f t="shared" si="61"/>
        <v>Normal</v>
      </c>
      <c r="W1292" t="str">
        <f t="shared" si="62"/>
        <v>Normal</v>
      </c>
    </row>
    <row r="1293" spans="1:23" x14ac:dyDescent="0.3">
      <c r="A1293">
        <v>10238</v>
      </c>
      <c r="B1293" s="2">
        <v>45811</v>
      </c>
      <c r="C1293" t="s">
        <v>49</v>
      </c>
      <c r="D1293" t="s">
        <v>32</v>
      </c>
      <c r="E1293" t="s">
        <v>40</v>
      </c>
      <c r="F1293" t="s">
        <v>23</v>
      </c>
      <c r="G1293" t="s">
        <v>113</v>
      </c>
      <c r="H1293" t="s">
        <v>114</v>
      </c>
      <c r="I1293" t="s">
        <v>255</v>
      </c>
      <c r="J1293">
        <v>660</v>
      </c>
      <c r="K1293">
        <v>8</v>
      </c>
      <c r="L1293" t="s">
        <v>71</v>
      </c>
      <c r="M1293">
        <v>138</v>
      </c>
      <c r="N1293">
        <v>36.1</v>
      </c>
      <c r="O1293">
        <v>63.4</v>
      </c>
      <c r="P1293">
        <v>5.87</v>
      </c>
      <c r="Q1293">
        <v>3.06</v>
      </c>
      <c r="R1293" t="s">
        <v>222</v>
      </c>
      <c r="S1293" t="s">
        <v>47</v>
      </c>
      <c r="T1293" t="s">
        <v>30</v>
      </c>
      <c r="U1293" t="str">
        <f t="shared" si="60"/>
        <v>Normal</v>
      </c>
      <c r="V1293" t="str">
        <f t="shared" si="61"/>
        <v>Normal</v>
      </c>
      <c r="W1293" t="str">
        <f t="shared" si="62"/>
        <v>Normal</v>
      </c>
    </row>
    <row r="1294" spans="1:23" x14ac:dyDescent="0.3">
      <c r="A1294">
        <v>10716</v>
      </c>
      <c r="B1294" s="2">
        <v>45820</v>
      </c>
      <c r="C1294" t="s">
        <v>31</v>
      </c>
      <c r="D1294" t="s">
        <v>64</v>
      </c>
      <c r="E1294" t="s">
        <v>22</v>
      </c>
      <c r="F1294" t="s">
        <v>81</v>
      </c>
      <c r="G1294" t="s">
        <v>109</v>
      </c>
      <c r="H1294" t="s">
        <v>82</v>
      </c>
      <c r="I1294" t="s">
        <v>310</v>
      </c>
      <c r="J1294">
        <v>1416</v>
      </c>
      <c r="K1294">
        <v>6</v>
      </c>
      <c r="L1294" t="s">
        <v>68</v>
      </c>
      <c r="M1294">
        <v>33</v>
      </c>
      <c r="N1294">
        <v>37.4</v>
      </c>
      <c r="O1294">
        <v>63.4</v>
      </c>
      <c r="P1294">
        <v>5.49</v>
      </c>
      <c r="Q1294">
        <v>1.66</v>
      </c>
      <c r="R1294" t="s">
        <v>167</v>
      </c>
      <c r="S1294" t="s">
        <v>73</v>
      </c>
      <c r="T1294" t="s">
        <v>30</v>
      </c>
      <c r="U1294" t="str">
        <f t="shared" si="60"/>
        <v>Normal</v>
      </c>
      <c r="V1294" t="str">
        <f t="shared" si="61"/>
        <v>Normal</v>
      </c>
      <c r="W1294" t="str">
        <f t="shared" si="62"/>
        <v>Normal</v>
      </c>
    </row>
    <row r="1295" spans="1:23" x14ac:dyDescent="0.3">
      <c r="A1295">
        <v>10967</v>
      </c>
      <c r="B1295" s="2">
        <v>46021</v>
      </c>
      <c r="C1295" t="s">
        <v>31</v>
      </c>
      <c r="D1295" t="s">
        <v>21</v>
      </c>
      <c r="E1295" t="s">
        <v>107</v>
      </c>
      <c r="F1295" t="s">
        <v>41</v>
      </c>
      <c r="G1295" t="s">
        <v>42</v>
      </c>
      <c r="H1295" t="s">
        <v>123</v>
      </c>
      <c r="I1295" t="s">
        <v>334</v>
      </c>
      <c r="J1295">
        <v>1524</v>
      </c>
      <c r="K1295">
        <v>8</v>
      </c>
      <c r="L1295" t="s">
        <v>71</v>
      </c>
      <c r="M1295">
        <v>105</v>
      </c>
      <c r="N1295">
        <v>43.4</v>
      </c>
      <c r="O1295">
        <v>63.4</v>
      </c>
      <c r="P1295">
        <v>5.3</v>
      </c>
      <c r="Q1295">
        <v>4.37</v>
      </c>
      <c r="R1295" t="s">
        <v>159</v>
      </c>
      <c r="S1295" t="s">
        <v>39</v>
      </c>
      <c r="T1295" t="s">
        <v>30</v>
      </c>
      <c r="U1295" t="str">
        <f t="shared" si="60"/>
        <v>Normal</v>
      </c>
      <c r="V1295" t="str">
        <f t="shared" si="61"/>
        <v>Normal</v>
      </c>
      <c r="W1295" t="str">
        <f t="shared" si="62"/>
        <v>Normal</v>
      </c>
    </row>
    <row r="1296" spans="1:23" x14ac:dyDescent="0.3">
      <c r="A1296">
        <v>10638</v>
      </c>
      <c r="B1296" s="2">
        <v>45851</v>
      </c>
      <c r="C1296" t="s">
        <v>49</v>
      </c>
      <c r="D1296" t="s">
        <v>32</v>
      </c>
      <c r="E1296" t="s">
        <v>22</v>
      </c>
      <c r="F1296" t="s">
        <v>23</v>
      </c>
      <c r="G1296" t="s">
        <v>74</v>
      </c>
      <c r="H1296" t="s">
        <v>114</v>
      </c>
      <c r="I1296" t="s">
        <v>318</v>
      </c>
      <c r="J1296">
        <v>917</v>
      </c>
      <c r="K1296">
        <v>7</v>
      </c>
      <c r="L1296" t="s">
        <v>68</v>
      </c>
      <c r="M1296">
        <v>57</v>
      </c>
      <c r="N1296">
        <v>32.6</v>
      </c>
      <c r="O1296">
        <v>63.4</v>
      </c>
      <c r="P1296">
        <v>4.1500000000000004</v>
      </c>
      <c r="Q1296">
        <v>5.0199999999999996</v>
      </c>
      <c r="R1296" t="s">
        <v>125</v>
      </c>
      <c r="S1296" t="s">
        <v>39</v>
      </c>
      <c r="T1296" t="s">
        <v>30</v>
      </c>
      <c r="U1296" t="str">
        <f t="shared" si="60"/>
        <v>Normal</v>
      </c>
      <c r="V1296" t="str">
        <f t="shared" si="61"/>
        <v>Normal</v>
      </c>
      <c r="W1296" t="str">
        <f t="shared" si="62"/>
        <v>Normal</v>
      </c>
    </row>
    <row r="1297" spans="1:23" x14ac:dyDescent="0.3">
      <c r="A1297">
        <v>10384</v>
      </c>
      <c r="B1297" s="2">
        <v>45947</v>
      </c>
      <c r="C1297" t="s">
        <v>31</v>
      </c>
      <c r="D1297" t="s">
        <v>59</v>
      </c>
      <c r="E1297" t="s">
        <v>33</v>
      </c>
      <c r="F1297" t="s">
        <v>41</v>
      </c>
      <c r="G1297" t="s">
        <v>42</v>
      </c>
      <c r="H1297" t="s">
        <v>252</v>
      </c>
      <c r="I1297" t="s">
        <v>203</v>
      </c>
      <c r="J1297">
        <v>805</v>
      </c>
      <c r="K1297">
        <v>11</v>
      </c>
      <c r="L1297" t="s">
        <v>37</v>
      </c>
      <c r="M1297">
        <v>36</v>
      </c>
      <c r="N1297">
        <v>46.6</v>
      </c>
      <c r="O1297">
        <v>63.4</v>
      </c>
      <c r="P1297">
        <v>5.75</v>
      </c>
      <c r="Q1297">
        <v>2.63</v>
      </c>
      <c r="R1297" t="s">
        <v>143</v>
      </c>
      <c r="S1297" t="s">
        <v>39</v>
      </c>
      <c r="T1297" t="s">
        <v>30</v>
      </c>
      <c r="U1297" t="str">
        <f t="shared" si="60"/>
        <v>Normal</v>
      </c>
      <c r="V1297" t="str">
        <f t="shared" si="61"/>
        <v>Normal</v>
      </c>
      <c r="W1297" t="str">
        <f t="shared" si="62"/>
        <v>Normal</v>
      </c>
    </row>
    <row r="1298" spans="1:23" x14ac:dyDescent="0.3">
      <c r="A1298">
        <v>11015</v>
      </c>
      <c r="B1298" s="2">
        <v>45988</v>
      </c>
      <c r="C1298" t="s">
        <v>20</v>
      </c>
      <c r="D1298" t="s">
        <v>59</v>
      </c>
      <c r="E1298" t="s">
        <v>40</v>
      </c>
      <c r="F1298" t="s">
        <v>23</v>
      </c>
      <c r="G1298" t="s">
        <v>134</v>
      </c>
      <c r="H1298" t="s">
        <v>265</v>
      </c>
      <c r="I1298" t="s">
        <v>185</v>
      </c>
      <c r="J1298">
        <v>629</v>
      </c>
      <c r="K1298">
        <v>7</v>
      </c>
      <c r="L1298" t="s">
        <v>37</v>
      </c>
      <c r="M1298">
        <v>20</v>
      </c>
      <c r="N1298">
        <v>46.2</v>
      </c>
      <c r="O1298">
        <v>63.4</v>
      </c>
      <c r="P1298">
        <v>5.79</v>
      </c>
      <c r="Q1298">
        <v>3.1</v>
      </c>
      <c r="R1298" t="s">
        <v>58</v>
      </c>
      <c r="S1298" t="s">
        <v>39</v>
      </c>
      <c r="T1298" t="s">
        <v>30</v>
      </c>
      <c r="U1298" t="str">
        <f t="shared" si="60"/>
        <v>Normal</v>
      </c>
      <c r="V1298" t="str">
        <f t="shared" si="61"/>
        <v>Normal</v>
      </c>
      <c r="W1298" t="str">
        <f t="shared" si="62"/>
        <v>Normal</v>
      </c>
    </row>
    <row r="1299" spans="1:23" x14ac:dyDescent="0.3">
      <c r="A1299">
        <v>11183</v>
      </c>
      <c r="B1299" s="2">
        <v>45779</v>
      </c>
      <c r="C1299" t="s">
        <v>20</v>
      </c>
      <c r="D1299" t="s">
        <v>64</v>
      </c>
      <c r="E1299" t="s">
        <v>107</v>
      </c>
      <c r="F1299" t="s">
        <v>23</v>
      </c>
      <c r="G1299" t="s">
        <v>24</v>
      </c>
      <c r="H1299" t="s">
        <v>96</v>
      </c>
      <c r="I1299" t="s">
        <v>166</v>
      </c>
      <c r="J1299">
        <v>1533</v>
      </c>
      <c r="K1299">
        <v>14</v>
      </c>
      <c r="L1299" t="s">
        <v>45</v>
      </c>
      <c r="M1299">
        <v>52</v>
      </c>
      <c r="N1299">
        <v>32.6</v>
      </c>
      <c r="O1299">
        <v>63.3</v>
      </c>
      <c r="P1299">
        <v>4.41</v>
      </c>
      <c r="Q1299">
        <v>3.13</v>
      </c>
      <c r="R1299" t="s">
        <v>227</v>
      </c>
      <c r="S1299" t="s">
        <v>47</v>
      </c>
      <c r="T1299" t="s">
        <v>30</v>
      </c>
      <c r="U1299" t="str">
        <f t="shared" si="60"/>
        <v>Normal</v>
      </c>
      <c r="V1299" t="str">
        <f t="shared" si="61"/>
        <v>Normal</v>
      </c>
      <c r="W1299" t="str">
        <f t="shared" si="62"/>
        <v>Normal</v>
      </c>
    </row>
    <row r="1300" spans="1:23" x14ac:dyDescent="0.3">
      <c r="A1300">
        <v>10920</v>
      </c>
      <c r="B1300" s="2">
        <v>45982</v>
      </c>
      <c r="C1300" t="s">
        <v>31</v>
      </c>
      <c r="D1300" t="s">
        <v>21</v>
      </c>
      <c r="E1300" t="s">
        <v>33</v>
      </c>
      <c r="F1300" t="s">
        <v>41</v>
      </c>
      <c r="G1300" t="s">
        <v>34</v>
      </c>
      <c r="H1300" t="s">
        <v>265</v>
      </c>
      <c r="I1300" t="s">
        <v>306</v>
      </c>
      <c r="J1300">
        <v>1398</v>
      </c>
      <c r="K1300">
        <v>19</v>
      </c>
      <c r="L1300" t="s">
        <v>68</v>
      </c>
      <c r="M1300">
        <v>175</v>
      </c>
      <c r="N1300">
        <v>36.200000000000003</v>
      </c>
      <c r="O1300">
        <v>63.3</v>
      </c>
      <c r="P1300">
        <v>4.29</v>
      </c>
      <c r="Q1300">
        <v>3.25</v>
      </c>
      <c r="R1300" t="s">
        <v>105</v>
      </c>
      <c r="S1300" t="s">
        <v>47</v>
      </c>
      <c r="T1300" t="s">
        <v>30</v>
      </c>
      <c r="U1300" t="str">
        <f t="shared" si="60"/>
        <v>Normal</v>
      </c>
      <c r="V1300" t="str">
        <f t="shared" si="61"/>
        <v>Normal</v>
      </c>
      <c r="W1300" t="str">
        <f t="shared" si="62"/>
        <v>Normal</v>
      </c>
    </row>
    <row r="1301" spans="1:23" x14ac:dyDescent="0.3">
      <c r="A1301">
        <v>10654</v>
      </c>
      <c r="B1301" s="2">
        <v>45880</v>
      </c>
      <c r="C1301" t="s">
        <v>20</v>
      </c>
      <c r="D1301" t="s">
        <v>59</v>
      </c>
      <c r="E1301" t="s">
        <v>40</v>
      </c>
      <c r="F1301" t="s">
        <v>23</v>
      </c>
      <c r="G1301" t="s">
        <v>54</v>
      </c>
      <c r="H1301" t="s">
        <v>169</v>
      </c>
      <c r="I1301" t="s">
        <v>294</v>
      </c>
      <c r="J1301">
        <v>687</v>
      </c>
      <c r="K1301">
        <v>6</v>
      </c>
      <c r="L1301" t="s">
        <v>27</v>
      </c>
      <c r="M1301">
        <v>153</v>
      </c>
      <c r="N1301">
        <v>49.7</v>
      </c>
      <c r="O1301">
        <v>63.3</v>
      </c>
      <c r="P1301">
        <v>4.04</v>
      </c>
      <c r="Q1301">
        <v>0.84</v>
      </c>
      <c r="R1301" t="s">
        <v>245</v>
      </c>
      <c r="S1301" t="s">
        <v>39</v>
      </c>
      <c r="T1301" t="s">
        <v>30</v>
      </c>
      <c r="U1301" t="str">
        <f t="shared" si="60"/>
        <v>Normal</v>
      </c>
      <c r="V1301" t="str">
        <f t="shared" si="61"/>
        <v>Normal</v>
      </c>
      <c r="W1301" t="str">
        <f t="shared" si="62"/>
        <v>Normal</v>
      </c>
    </row>
    <row r="1302" spans="1:23" x14ac:dyDescent="0.3">
      <c r="A1302">
        <v>10201</v>
      </c>
      <c r="B1302" s="2">
        <v>45769</v>
      </c>
      <c r="C1302" t="s">
        <v>49</v>
      </c>
      <c r="D1302" t="s">
        <v>32</v>
      </c>
      <c r="E1302" t="s">
        <v>22</v>
      </c>
      <c r="F1302" t="s">
        <v>41</v>
      </c>
      <c r="G1302" t="s">
        <v>60</v>
      </c>
      <c r="H1302" t="s">
        <v>43</v>
      </c>
      <c r="I1302" t="s">
        <v>170</v>
      </c>
      <c r="J1302">
        <v>545</v>
      </c>
      <c r="K1302">
        <v>2</v>
      </c>
      <c r="L1302" t="s">
        <v>71</v>
      </c>
      <c r="M1302">
        <v>13</v>
      </c>
      <c r="N1302">
        <v>38.200000000000003</v>
      </c>
      <c r="O1302">
        <v>63.3</v>
      </c>
      <c r="P1302">
        <v>5.37</v>
      </c>
      <c r="Q1302">
        <v>2.82</v>
      </c>
      <c r="R1302" t="s">
        <v>245</v>
      </c>
      <c r="S1302" t="s">
        <v>39</v>
      </c>
      <c r="T1302" t="s">
        <v>30</v>
      </c>
      <c r="U1302" t="str">
        <f t="shared" si="60"/>
        <v>Normal</v>
      </c>
      <c r="V1302" t="str">
        <f t="shared" si="61"/>
        <v>Normal</v>
      </c>
      <c r="W1302" t="str">
        <f t="shared" si="62"/>
        <v>Normal</v>
      </c>
    </row>
    <row r="1303" spans="1:23" x14ac:dyDescent="0.3">
      <c r="A1303">
        <v>11297</v>
      </c>
      <c r="B1303" s="2">
        <v>45758</v>
      </c>
      <c r="C1303" t="s">
        <v>49</v>
      </c>
      <c r="D1303" t="s">
        <v>59</v>
      </c>
      <c r="E1303" t="s">
        <v>40</v>
      </c>
      <c r="F1303" t="s">
        <v>41</v>
      </c>
      <c r="G1303" t="s">
        <v>134</v>
      </c>
      <c r="H1303" t="s">
        <v>35</v>
      </c>
      <c r="I1303" t="s">
        <v>160</v>
      </c>
      <c r="J1303">
        <v>752</v>
      </c>
      <c r="K1303">
        <v>4</v>
      </c>
      <c r="L1303" t="s">
        <v>71</v>
      </c>
      <c r="M1303">
        <v>39</v>
      </c>
      <c r="N1303">
        <v>53.5</v>
      </c>
      <c r="O1303">
        <v>63.2</v>
      </c>
      <c r="P1303">
        <v>5.58</v>
      </c>
      <c r="Q1303">
        <v>3.39</v>
      </c>
      <c r="R1303" t="s">
        <v>128</v>
      </c>
      <c r="S1303" t="s">
        <v>39</v>
      </c>
      <c r="T1303" t="s">
        <v>30</v>
      </c>
      <c r="U1303" t="str">
        <f t="shared" si="60"/>
        <v>Normal</v>
      </c>
      <c r="V1303" t="str">
        <f t="shared" si="61"/>
        <v>Normal</v>
      </c>
      <c r="W1303" t="str">
        <f t="shared" si="62"/>
        <v>Normal</v>
      </c>
    </row>
    <row r="1304" spans="1:23" x14ac:dyDescent="0.3">
      <c r="A1304">
        <v>10689</v>
      </c>
      <c r="B1304" s="2">
        <v>45875</v>
      </c>
      <c r="C1304" t="s">
        <v>31</v>
      </c>
      <c r="D1304" t="s">
        <v>64</v>
      </c>
      <c r="E1304" t="s">
        <v>40</v>
      </c>
      <c r="F1304" t="s">
        <v>41</v>
      </c>
      <c r="G1304" t="s">
        <v>95</v>
      </c>
      <c r="H1304" t="s">
        <v>265</v>
      </c>
      <c r="I1304" t="s">
        <v>340</v>
      </c>
      <c r="J1304">
        <v>690</v>
      </c>
      <c r="K1304">
        <v>5</v>
      </c>
      <c r="L1304" t="s">
        <v>71</v>
      </c>
      <c r="M1304">
        <v>156</v>
      </c>
      <c r="N1304">
        <v>34.1</v>
      </c>
      <c r="O1304">
        <v>63.2</v>
      </c>
      <c r="P1304">
        <v>4.9800000000000004</v>
      </c>
      <c r="Q1304">
        <v>0.79</v>
      </c>
      <c r="R1304" t="s">
        <v>133</v>
      </c>
      <c r="S1304" t="s">
        <v>29</v>
      </c>
      <c r="T1304" t="s">
        <v>30</v>
      </c>
      <c r="U1304" t="str">
        <f t="shared" si="60"/>
        <v>Normal</v>
      </c>
      <c r="V1304" t="str">
        <f t="shared" si="61"/>
        <v>Normal</v>
      </c>
      <c r="W1304" t="str">
        <f t="shared" si="62"/>
        <v>Normal</v>
      </c>
    </row>
    <row r="1305" spans="1:23" x14ac:dyDescent="0.3">
      <c r="A1305">
        <v>10831</v>
      </c>
      <c r="B1305" s="2">
        <v>45813</v>
      </c>
      <c r="C1305" t="s">
        <v>20</v>
      </c>
      <c r="D1305" t="s">
        <v>21</v>
      </c>
      <c r="E1305" t="s">
        <v>107</v>
      </c>
      <c r="F1305" t="s">
        <v>23</v>
      </c>
      <c r="G1305" t="s">
        <v>74</v>
      </c>
      <c r="H1305" t="s">
        <v>35</v>
      </c>
      <c r="I1305" t="s">
        <v>316</v>
      </c>
      <c r="J1305">
        <v>1428</v>
      </c>
      <c r="K1305">
        <v>57</v>
      </c>
      <c r="L1305" t="s">
        <v>37</v>
      </c>
      <c r="M1305">
        <v>66</v>
      </c>
      <c r="N1305">
        <v>42.2</v>
      </c>
      <c r="O1305">
        <v>63.2</v>
      </c>
      <c r="P1305">
        <v>5.98</v>
      </c>
      <c r="Q1305">
        <v>4.4000000000000004</v>
      </c>
      <c r="R1305" t="s">
        <v>189</v>
      </c>
      <c r="S1305" t="s">
        <v>73</v>
      </c>
      <c r="T1305" t="s">
        <v>48</v>
      </c>
      <c r="U1305" t="str">
        <f t="shared" si="60"/>
        <v>Normal</v>
      </c>
      <c r="V1305" t="str">
        <f t="shared" si="61"/>
        <v>Normal</v>
      </c>
      <c r="W1305" t="str">
        <f t="shared" si="62"/>
        <v>Normal</v>
      </c>
    </row>
    <row r="1306" spans="1:23" x14ac:dyDescent="0.3">
      <c r="A1306">
        <v>10942</v>
      </c>
      <c r="B1306" s="2">
        <v>45837</v>
      </c>
      <c r="C1306" t="s">
        <v>49</v>
      </c>
      <c r="D1306" t="s">
        <v>21</v>
      </c>
      <c r="E1306" t="s">
        <v>22</v>
      </c>
      <c r="F1306" t="s">
        <v>23</v>
      </c>
      <c r="G1306" t="s">
        <v>50</v>
      </c>
      <c r="H1306" t="s">
        <v>51</v>
      </c>
      <c r="I1306" t="s">
        <v>52</v>
      </c>
      <c r="J1306">
        <v>874</v>
      </c>
      <c r="K1306">
        <v>10</v>
      </c>
      <c r="L1306" t="s">
        <v>37</v>
      </c>
      <c r="M1306">
        <v>158</v>
      </c>
      <c r="N1306">
        <v>13.5</v>
      </c>
      <c r="O1306">
        <v>63.1</v>
      </c>
      <c r="P1306">
        <v>3.78</v>
      </c>
      <c r="Q1306">
        <v>4.0599999999999996</v>
      </c>
      <c r="R1306" t="s">
        <v>53</v>
      </c>
      <c r="S1306" t="s">
        <v>29</v>
      </c>
      <c r="T1306" t="s">
        <v>30</v>
      </c>
      <c r="U1306" t="str">
        <f t="shared" si="60"/>
        <v>Normal</v>
      </c>
      <c r="V1306" t="str">
        <f t="shared" si="61"/>
        <v>Normal</v>
      </c>
      <c r="W1306" t="str">
        <f t="shared" si="62"/>
        <v>Normal</v>
      </c>
    </row>
    <row r="1307" spans="1:23" x14ac:dyDescent="0.3">
      <c r="A1307">
        <v>11128</v>
      </c>
      <c r="B1307" s="2">
        <v>45689</v>
      </c>
      <c r="C1307" t="s">
        <v>49</v>
      </c>
      <c r="D1307" t="s">
        <v>32</v>
      </c>
      <c r="E1307" t="s">
        <v>107</v>
      </c>
      <c r="F1307" t="s">
        <v>81</v>
      </c>
      <c r="G1307" t="s">
        <v>54</v>
      </c>
      <c r="H1307" t="s">
        <v>93</v>
      </c>
      <c r="I1307" t="s">
        <v>203</v>
      </c>
      <c r="J1307">
        <v>849</v>
      </c>
      <c r="K1307">
        <v>8</v>
      </c>
      <c r="L1307" t="s">
        <v>57</v>
      </c>
      <c r="M1307">
        <v>76</v>
      </c>
      <c r="N1307">
        <v>46.7</v>
      </c>
      <c r="O1307">
        <v>63.1</v>
      </c>
      <c r="P1307">
        <v>5.78</v>
      </c>
      <c r="Q1307">
        <v>1.07</v>
      </c>
      <c r="R1307" t="s">
        <v>159</v>
      </c>
      <c r="S1307" t="s">
        <v>73</v>
      </c>
      <c r="T1307" t="s">
        <v>30</v>
      </c>
      <c r="U1307" t="str">
        <f t="shared" si="60"/>
        <v>Normal</v>
      </c>
      <c r="V1307" t="str">
        <f t="shared" si="61"/>
        <v>Normal</v>
      </c>
      <c r="W1307" t="str">
        <f t="shared" si="62"/>
        <v>Normal</v>
      </c>
    </row>
    <row r="1308" spans="1:23" x14ac:dyDescent="0.3">
      <c r="A1308">
        <v>10864</v>
      </c>
      <c r="B1308" s="2">
        <v>45987</v>
      </c>
      <c r="C1308" t="s">
        <v>31</v>
      </c>
      <c r="D1308" t="s">
        <v>32</v>
      </c>
      <c r="E1308" t="s">
        <v>107</v>
      </c>
      <c r="F1308" t="s">
        <v>23</v>
      </c>
      <c r="G1308" t="s">
        <v>50</v>
      </c>
      <c r="H1308" t="s">
        <v>141</v>
      </c>
      <c r="I1308" t="s">
        <v>210</v>
      </c>
      <c r="J1308">
        <v>622</v>
      </c>
      <c r="K1308">
        <v>5</v>
      </c>
      <c r="L1308" t="s">
        <v>57</v>
      </c>
      <c r="M1308">
        <v>143</v>
      </c>
      <c r="N1308">
        <v>33.9</v>
      </c>
      <c r="O1308">
        <v>63.1</v>
      </c>
      <c r="P1308">
        <v>5.49</v>
      </c>
      <c r="Q1308">
        <v>4.5599999999999996</v>
      </c>
      <c r="R1308" t="s">
        <v>105</v>
      </c>
      <c r="S1308" t="s">
        <v>39</v>
      </c>
      <c r="T1308" t="s">
        <v>30</v>
      </c>
      <c r="U1308" t="str">
        <f t="shared" si="60"/>
        <v>Normal</v>
      </c>
      <c r="V1308" t="str">
        <f t="shared" si="61"/>
        <v>Normal</v>
      </c>
      <c r="W1308" t="str">
        <f t="shared" si="62"/>
        <v>Normal</v>
      </c>
    </row>
    <row r="1309" spans="1:23" x14ac:dyDescent="0.3">
      <c r="A1309">
        <v>10206</v>
      </c>
      <c r="B1309" s="2">
        <v>45903</v>
      </c>
      <c r="C1309" t="s">
        <v>49</v>
      </c>
      <c r="D1309" t="s">
        <v>32</v>
      </c>
      <c r="E1309" t="s">
        <v>22</v>
      </c>
      <c r="F1309" t="s">
        <v>41</v>
      </c>
      <c r="G1309" t="s">
        <v>42</v>
      </c>
      <c r="H1309" t="s">
        <v>148</v>
      </c>
      <c r="I1309" t="s">
        <v>203</v>
      </c>
      <c r="J1309">
        <v>1148</v>
      </c>
      <c r="K1309">
        <v>11</v>
      </c>
      <c r="L1309" t="s">
        <v>37</v>
      </c>
      <c r="M1309">
        <v>86</v>
      </c>
      <c r="N1309">
        <v>37.799999999999997</v>
      </c>
      <c r="O1309">
        <v>63.1</v>
      </c>
      <c r="P1309">
        <v>7.13</v>
      </c>
      <c r="Q1309">
        <v>3.04</v>
      </c>
      <c r="R1309" t="s">
        <v>53</v>
      </c>
      <c r="S1309" t="s">
        <v>47</v>
      </c>
      <c r="T1309" t="s">
        <v>30</v>
      </c>
      <c r="U1309" t="str">
        <f t="shared" si="60"/>
        <v>Normal</v>
      </c>
      <c r="V1309" t="str">
        <f t="shared" si="61"/>
        <v>Normal</v>
      </c>
      <c r="W1309" t="str">
        <f t="shared" si="62"/>
        <v>Normal</v>
      </c>
    </row>
    <row r="1310" spans="1:23" x14ac:dyDescent="0.3">
      <c r="A1310">
        <v>10050</v>
      </c>
      <c r="B1310" s="2">
        <v>45819</v>
      </c>
      <c r="C1310" t="s">
        <v>20</v>
      </c>
      <c r="D1310" t="s">
        <v>32</v>
      </c>
      <c r="E1310" t="s">
        <v>40</v>
      </c>
      <c r="F1310" t="s">
        <v>23</v>
      </c>
      <c r="G1310" t="s">
        <v>42</v>
      </c>
      <c r="H1310" t="s">
        <v>116</v>
      </c>
      <c r="I1310" t="s">
        <v>187</v>
      </c>
      <c r="J1310">
        <v>1396</v>
      </c>
      <c r="K1310">
        <v>27</v>
      </c>
      <c r="L1310" t="s">
        <v>37</v>
      </c>
      <c r="M1310">
        <v>12</v>
      </c>
      <c r="N1310">
        <v>47.1</v>
      </c>
      <c r="O1310">
        <v>63</v>
      </c>
      <c r="P1310">
        <v>4.78</v>
      </c>
      <c r="Q1310">
        <v>3.34</v>
      </c>
      <c r="R1310" t="s">
        <v>111</v>
      </c>
      <c r="S1310" t="s">
        <v>47</v>
      </c>
      <c r="T1310" t="s">
        <v>30</v>
      </c>
      <c r="U1310" t="str">
        <f t="shared" si="60"/>
        <v>Normal</v>
      </c>
      <c r="V1310" t="str">
        <f t="shared" si="61"/>
        <v>Normal</v>
      </c>
      <c r="W1310" t="str">
        <f t="shared" si="62"/>
        <v>Normal</v>
      </c>
    </row>
    <row r="1311" spans="1:23" x14ac:dyDescent="0.3">
      <c r="A1311">
        <v>11027</v>
      </c>
      <c r="B1311" s="2">
        <v>45980</v>
      </c>
      <c r="C1311" t="s">
        <v>31</v>
      </c>
      <c r="D1311" t="s">
        <v>32</v>
      </c>
      <c r="E1311" t="s">
        <v>107</v>
      </c>
      <c r="F1311" t="s">
        <v>41</v>
      </c>
      <c r="G1311" t="s">
        <v>95</v>
      </c>
      <c r="H1311" t="s">
        <v>114</v>
      </c>
      <c r="I1311" t="s">
        <v>376</v>
      </c>
      <c r="J1311">
        <v>1003</v>
      </c>
      <c r="K1311">
        <v>10</v>
      </c>
      <c r="L1311" t="s">
        <v>57</v>
      </c>
      <c r="M1311">
        <v>114</v>
      </c>
      <c r="N1311">
        <v>42.2</v>
      </c>
      <c r="O1311">
        <v>63</v>
      </c>
      <c r="P1311">
        <v>5.05</v>
      </c>
      <c r="Q1311">
        <v>1.91</v>
      </c>
      <c r="R1311" t="s">
        <v>130</v>
      </c>
      <c r="S1311" t="s">
        <v>39</v>
      </c>
      <c r="T1311" t="s">
        <v>30</v>
      </c>
      <c r="U1311" t="str">
        <f t="shared" si="60"/>
        <v>Normal</v>
      </c>
      <c r="V1311" t="str">
        <f t="shared" si="61"/>
        <v>Normal</v>
      </c>
      <c r="W1311" t="str">
        <f t="shared" si="62"/>
        <v>Normal</v>
      </c>
    </row>
    <row r="1312" spans="1:23" x14ac:dyDescent="0.3">
      <c r="A1312">
        <v>11016</v>
      </c>
      <c r="B1312" s="2">
        <v>45684</v>
      </c>
      <c r="C1312" t="s">
        <v>20</v>
      </c>
      <c r="D1312" t="s">
        <v>64</v>
      </c>
      <c r="E1312" t="s">
        <v>22</v>
      </c>
      <c r="F1312" t="s">
        <v>23</v>
      </c>
      <c r="G1312" t="s">
        <v>54</v>
      </c>
      <c r="H1312" t="s">
        <v>85</v>
      </c>
      <c r="I1312" t="s">
        <v>67</v>
      </c>
      <c r="J1312">
        <v>1156</v>
      </c>
      <c r="K1312">
        <v>15</v>
      </c>
      <c r="L1312" t="s">
        <v>27</v>
      </c>
      <c r="M1312">
        <v>138</v>
      </c>
      <c r="N1312">
        <v>40.200000000000003</v>
      </c>
      <c r="O1312">
        <v>63</v>
      </c>
      <c r="P1312">
        <v>5</v>
      </c>
      <c r="Q1312">
        <v>3.55</v>
      </c>
      <c r="R1312" t="s">
        <v>143</v>
      </c>
      <c r="S1312" t="s">
        <v>73</v>
      </c>
      <c r="T1312" t="s">
        <v>30</v>
      </c>
      <c r="U1312" t="str">
        <f t="shared" si="60"/>
        <v>Normal</v>
      </c>
      <c r="V1312" t="str">
        <f t="shared" si="61"/>
        <v>Normal</v>
      </c>
      <c r="W1312" t="str">
        <f t="shared" si="62"/>
        <v>Normal</v>
      </c>
    </row>
    <row r="1313" spans="1:23" x14ac:dyDescent="0.3">
      <c r="A1313">
        <v>11322</v>
      </c>
      <c r="B1313" s="2">
        <v>46013</v>
      </c>
      <c r="C1313" t="s">
        <v>31</v>
      </c>
      <c r="D1313" t="s">
        <v>64</v>
      </c>
      <c r="E1313" t="s">
        <v>33</v>
      </c>
      <c r="F1313" t="s">
        <v>81</v>
      </c>
      <c r="G1313" t="s">
        <v>60</v>
      </c>
      <c r="H1313" t="s">
        <v>265</v>
      </c>
      <c r="I1313" t="s">
        <v>340</v>
      </c>
      <c r="J1313">
        <v>1265</v>
      </c>
      <c r="K1313">
        <v>9</v>
      </c>
      <c r="L1313" t="s">
        <v>37</v>
      </c>
      <c r="M1313">
        <v>109</v>
      </c>
      <c r="N1313">
        <v>46.3</v>
      </c>
      <c r="O1313">
        <v>62.9</v>
      </c>
      <c r="P1313">
        <v>3.94</v>
      </c>
      <c r="Q1313">
        <v>2.87</v>
      </c>
      <c r="R1313" t="s">
        <v>153</v>
      </c>
      <c r="S1313" t="s">
        <v>39</v>
      </c>
      <c r="T1313" t="s">
        <v>30</v>
      </c>
      <c r="U1313" t="str">
        <f t="shared" si="60"/>
        <v>Normal</v>
      </c>
      <c r="V1313" t="str">
        <f t="shared" si="61"/>
        <v>Normal</v>
      </c>
      <c r="W1313" t="str">
        <f t="shared" si="62"/>
        <v>Normal</v>
      </c>
    </row>
    <row r="1314" spans="1:23" x14ac:dyDescent="0.3">
      <c r="A1314">
        <v>10187</v>
      </c>
      <c r="B1314" s="2">
        <v>45719</v>
      </c>
      <c r="C1314" t="s">
        <v>31</v>
      </c>
      <c r="D1314" t="s">
        <v>21</v>
      </c>
      <c r="E1314" t="s">
        <v>107</v>
      </c>
      <c r="F1314" t="s">
        <v>23</v>
      </c>
      <c r="G1314" t="s">
        <v>113</v>
      </c>
      <c r="H1314" t="s">
        <v>177</v>
      </c>
      <c r="I1314" t="s">
        <v>233</v>
      </c>
      <c r="J1314">
        <v>670</v>
      </c>
      <c r="K1314">
        <v>6</v>
      </c>
      <c r="L1314" t="s">
        <v>71</v>
      </c>
      <c r="M1314">
        <v>162</v>
      </c>
      <c r="N1314">
        <v>46.6</v>
      </c>
      <c r="O1314">
        <v>62.9</v>
      </c>
      <c r="P1314">
        <v>5.04</v>
      </c>
      <c r="Q1314">
        <v>2.79</v>
      </c>
      <c r="R1314" t="s">
        <v>147</v>
      </c>
      <c r="S1314" t="s">
        <v>73</v>
      </c>
      <c r="T1314" t="s">
        <v>30</v>
      </c>
      <c r="U1314" t="str">
        <f t="shared" si="60"/>
        <v>Normal</v>
      </c>
      <c r="V1314" t="str">
        <f t="shared" si="61"/>
        <v>Normal</v>
      </c>
      <c r="W1314" t="str">
        <f t="shared" si="62"/>
        <v>Normal</v>
      </c>
    </row>
    <row r="1315" spans="1:23" x14ac:dyDescent="0.3">
      <c r="A1315">
        <v>11239</v>
      </c>
      <c r="B1315" s="2">
        <v>45971</v>
      </c>
      <c r="C1315" t="s">
        <v>20</v>
      </c>
      <c r="D1315" t="s">
        <v>32</v>
      </c>
      <c r="E1315" t="s">
        <v>33</v>
      </c>
      <c r="F1315" t="s">
        <v>23</v>
      </c>
      <c r="G1315" t="s">
        <v>50</v>
      </c>
      <c r="H1315" t="s">
        <v>96</v>
      </c>
      <c r="I1315" t="s">
        <v>194</v>
      </c>
      <c r="J1315">
        <v>506</v>
      </c>
      <c r="K1315">
        <v>6</v>
      </c>
      <c r="L1315" t="s">
        <v>424</v>
      </c>
      <c r="M1315">
        <v>93</v>
      </c>
      <c r="N1315">
        <v>56.8</v>
      </c>
      <c r="O1315">
        <v>62.9</v>
      </c>
      <c r="P1315">
        <v>3.44</v>
      </c>
      <c r="Q1315">
        <v>2.17</v>
      </c>
      <c r="R1315" t="s">
        <v>222</v>
      </c>
      <c r="S1315" t="s">
        <v>47</v>
      </c>
      <c r="T1315" t="s">
        <v>30</v>
      </c>
      <c r="U1315" t="str">
        <f t="shared" si="60"/>
        <v>Normal</v>
      </c>
      <c r="V1315" t="str">
        <f t="shared" si="61"/>
        <v>Normal</v>
      </c>
      <c r="W1315" t="str">
        <f t="shared" si="62"/>
        <v>Normal</v>
      </c>
    </row>
    <row r="1316" spans="1:23" x14ac:dyDescent="0.3">
      <c r="A1316">
        <v>11393</v>
      </c>
      <c r="B1316" s="2">
        <v>45699</v>
      </c>
      <c r="C1316" t="s">
        <v>49</v>
      </c>
      <c r="D1316" t="s">
        <v>32</v>
      </c>
      <c r="E1316" t="s">
        <v>33</v>
      </c>
      <c r="F1316" t="s">
        <v>81</v>
      </c>
      <c r="G1316" t="s">
        <v>50</v>
      </c>
      <c r="H1316" t="s">
        <v>196</v>
      </c>
      <c r="I1316" t="s">
        <v>264</v>
      </c>
      <c r="J1316">
        <v>1433</v>
      </c>
      <c r="K1316">
        <v>11</v>
      </c>
      <c r="L1316" t="s">
        <v>37</v>
      </c>
      <c r="M1316">
        <v>15</v>
      </c>
      <c r="N1316">
        <v>51.4</v>
      </c>
      <c r="O1316">
        <v>62.8</v>
      </c>
      <c r="P1316">
        <v>5.31</v>
      </c>
      <c r="Q1316">
        <v>2.0499999999999998</v>
      </c>
      <c r="R1316" t="s">
        <v>179</v>
      </c>
      <c r="S1316" t="s">
        <v>39</v>
      </c>
      <c r="T1316" t="s">
        <v>30</v>
      </c>
      <c r="U1316" t="str">
        <f t="shared" si="60"/>
        <v>Normal</v>
      </c>
      <c r="V1316" t="str">
        <f t="shared" si="61"/>
        <v>Normal</v>
      </c>
      <c r="W1316" t="str">
        <f t="shared" si="62"/>
        <v>Normal</v>
      </c>
    </row>
    <row r="1317" spans="1:23" x14ac:dyDescent="0.3">
      <c r="A1317">
        <v>10164</v>
      </c>
      <c r="B1317" s="2">
        <v>45742</v>
      </c>
      <c r="C1317" t="s">
        <v>20</v>
      </c>
      <c r="D1317" t="s">
        <v>21</v>
      </c>
      <c r="E1317" t="s">
        <v>40</v>
      </c>
      <c r="F1317" t="s">
        <v>81</v>
      </c>
      <c r="G1317" t="s">
        <v>74</v>
      </c>
      <c r="H1317" t="s">
        <v>66</v>
      </c>
      <c r="I1317" t="s">
        <v>142</v>
      </c>
      <c r="J1317">
        <v>1149</v>
      </c>
      <c r="K1317">
        <v>10</v>
      </c>
      <c r="L1317" t="s">
        <v>57</v>
      </c>
      <c r="M1317">
        <v>80</v>
      </c>
      <c r="N1317">
        <v>46.8</v>
      </c>
      <c r="O1317">
        <v>62.8</v>
      </c>
      <c r="P1317">
        <v>5.73</v>
      </c>
      <c r="Q1317">
        <v>3.31</v>
      </c>
      <c r="R1317" t="s">
        <v>174</v>
      </c>
      <c r="S1317" t="s">
        <v>29</v>
      </c>
      <c r="T1317" t="s">
        <v>30</v>
      </c>
      <c r="U1317" t="str">
        <f t="shared" si="60"/>
        <v>Normal</v>
      </c>
      <c r="V1317" t="str">
        <f t="shared" si="61"/>
        <v>Normal</v>
      </c>
      <c r="W1317" t="str">
        <f t="shared" si="62"/>
        <v>Normal</v>
      </c>
    </row>
    <row r="1318" spans="1:23" x14ac:dyDescent="0.3">
      <c r="A1318">
        <v>10625</v>
      </c>
      <c r="B1318" s="2">
        <v>45932</v>
      </c>
      <c r="C1318" t="s">
        <v>31</v>
      </c>
      <c r="D1318" t="s">
        <v>64</v>
      </c>
      <c r="E1318" t="s">
        <v>40</v>
      </c>
      <c r="F1318" t="s">
        <v>41</v>
      </c>
      <c r="G1318" t="s">
        <v>42</v>
      </c>
      <c r="H1318" t="s">
        <v>90</v>
      </c>
      <c r="I1318" t="s">
        <v>142</v>
      </c>
      <c r="J1318">
        <v>471</v>
      </c>
      <c r="K1318">
        <v>17</v>
      </c>
      <c r="L1318" t="s">
        <v>37</v>
      </c>
      <c r="M1318">
        <v>168</v>
      </c>
      <c r="N1318">
        <v>36.299999999999997</v>
      </c>
      <c r="O1318">
        <v>62.8</v>
      </c>
      <c r="P1318">
        <v>5.6</v>
      </c>
      <c r="Q1318">
        <v>3.5</v>
      </c>
      <c r="R1318" t="s">
        <v>222</v>
      </c>
      <c r="S1318" t="s">
        <v>29</v>
      </c>
      <c r="T1318" t="s">
        <v>48</v>
      </c>
      <c r="U1318" t="str">
        <f t="shared" si="60"/>
        <v>Normal</v>
      </c>
      <c r="V1318" t="str">
        <f t="shared" si="61"/>
        <v>Normal</v>
      </c>
      <c r="W1318" t="str">
        <f t="shared" si="62"/>
        <v>Normal</v>
      </c>
    </row>
    <row r="1319" spans="1:23" x14ac:dyDescent="0.3">
      <c r="A1319">
        <v>10703</v>
      </c>
      <c r="B1319" s="2">
        <v>45757</v>
      </c>
      <c r="C1319" t="s">
        <v>31</v>
      </c>
      <c r="D1319" t="s">
        <v>64</v>
      </c>
      <c r="E1319" t="s">
        <v>33</v>
      </c>
      <c r="F1319" t="s">
        <v>81</v>
      </c>
      <c r="G1319" t="s">
        <v>50</v>
      </c>
      <c r="H1319" t="s">
        <v>55</v>
      </c>
      <c r="I1319" t="s">
        <v>365</v>
      </c>
      <c r="J1319">
        <v>1144</v>
      </c>
      <c r="K1319">
        <v>11</v>
      </c>
      <c r="L1319" t="s">
        <v>27</v>
      </c>
      <c r="M1319">
        <v>179</v>
      </c>
      <c r="N1319">
        <v>36.799999999999997</v>
      </c>
      <c r="O1319">
        <v>62.8</v>
      </c>
      <c r="P1319">
        <v>5.0999999999999996</v>
      </c>
      <c r="Q1319">
        <v>3.17</v>
      </c>
      <c r="R1319" t="s">
        <v>140</v>
      </c>
      <c r="S1319" t="s">
        <v>47</v>
      </c>
      <c r="T1319" t="s">
        <v>30</v>
      </c>
      <c r="U1319" t="str">
        <f t="shared" si="60"/>
        <v>Normal</v>
      </c>
      <c r="V1319" t="str">
        <f t="shared" si="61"/>
        <v>Normal</v>
      </c>
      <c r="W1319" t="str">
        <f t="shared" si="62"/>
        <v>Normal</v>
      </c>
    </row>
    <row r="1320" spans="1:23" x14ac:dyDescent="0.3">
      <c r="A1320">
        <v>11125</v>
      </c>
      <c r="B1320" s="2">
        <v>45744</v>
      </c>
      <c r="C1320" t="s">
        <v>49</v>
      </c>
      <c r="D1320" t="s">
        <v>59</v>
      </c>
      <c r="E1320" t="s">
        <v>22</v>
      </c>
      <c r="F1320" t="s">
        <v>41</v>
      </c>
      <c r="G1320" t="s">
        <v>95</v>
      </c>
      <c r="H1320" t="s">
        <v>177</v>
      </c>
      <c r="I1320" t="s">
        <v>231</v>
      </c>
      <c r="J1320">
        <v>1321</v>
      </c>
      <c r="K1320">
        <v>26</v>
      </c>
      <c r="L1320" t="s">
        <v>27</v>
      </c>
      <c r="M1320">
        <v>96</v>
      </c>
      <c r="N1320">
        <v>47</v>
      </c>
      <c r="O1320">
        <v>62.7</v>
      </c>
      <c r="P1320">
        <v>3.66</v>
      </c>
      <c r="Q1320">
        <v>2.91</v>
      </c>
      <c r="R1320" t="s">
        <v>232</v>
      </c>
      <c r="S1320" t="s">
        <v>73</v>
      </c>
      <c r="T1320" t="s">
        <v>30</v>
      </c>
      <c r="U1320" t="str">
        <f t="shared" si="60"/>
        <v>Normal</v>
      </c>
      <c r="V1320" t="str">
        <f t="shared" si="61"/>
        <v>Normal</v>
      </c>
      <c r="W1320" t="str">
        <f t="shared" si="62"/>
        <v>Normal</v>
      </c>
    </row>
    <row r="1321" spans="1:23" x14ac:dyDescent="0.3">
      <c r="A1321">
        <v>10141</v>
      </c>
      <c r="B1321" s="2">
        <v>45873</v>
      </c>
      <c r="C1321" t="s">
        <v>31</v>
      </c>
      <c r="D1321" t="s">
        <v>32</v>
      </c>
      <c r="E1321" t="s">
        <v>40</v>
      </c>
      <c r="F1321" t="s">
        <v>41</v>
      </c>
      <c r="G1321" t="s">
        <v>24</v>
      </c>
      <c r="H1321" t="s">
        <v>138</v>
      </c>
      <c r="I1321" t="s">
        <v>268</v>
      </c>
      <c r="J1321">
        <v>1269</v>
      </c>
      <c r="K1321">
        <v>17</v>
      </c>
      <c r="L1321" t="s">
        <v>45</v>
      </c>
      <c r="M1321">
        <v>86</v>
      </c>
      <c r="N1321">
        <v>56.8</v>
      </c>
      <c r="O1321">
        <v>62.7</v>
      </c>
      <c r="P1321">
        <v>6.22</v>
      </c>
      <c r="Q1321">
        <v>3.22</v>
      </c>
      <c r="R1321" t="s">
        <v>130</v>
      </c>
      <c r="S1321" t="s">
        <v>47</v>
      </c>
      <c r="T1321" t="s">
        <v>30</v>
      </c>
      <c r="U1321" t="str">
        <f t="shared" si="60"/>
        <v>Normal</v>
      </c>
      <c r="V1321" t="str">
        <f t="shared" si="61"/>
        <v>Normal</v>
      </c>
      <c r="W1321" t="str">
        <f t="shared" si="62"/>
        <v>Normal</v>
      </c>
    </row>
    <row r="1322" spans="1:23" x14ac:dyDescent="0.3">
      <c r="A1322">
        <v>10878</v>
      </c>
      <c r="B1322" s="2">
        <v>45842</v>
      </c>
      <c r="C1322" t="s">
        <v>49</v>
      </c>
      <c r="D1322" t="s">
        <v>64</v>
      </c>
      <c r="E1322" t="s">
        <v>40</v>
      </c>
      <c r="F1322" t="s">
        <v>41</v>
      </c>
      <c r="G1322" t="s">
        <v>54</v>
      </c>
      <c r="H1322" t="s">
        <v>120</v>
      </c>
      <c r="I1322" t="s">
        <v>356</v>
      </c>
      <c r="J1322">
        <v>1164</v>
      </c>
      <c r="K1322">
        <v>7</v>
      </c>
      <c r="L1322" t="s">
        <v>68</v>
      </c>
      <c r="M1322">
        <v>106</v>
      </c>
      <c r="N1322">
        <v>39.700000000000003</v>
      </c>
      <c r="O1322">
        <v>62.7</v>
      </c>
      <c r="P1322">
        <v>4.32</v>
      </c>
      <c r="Q1322">
        <v>3.47</v>
      </c>
      <c r="R1322" t="s">
        <v>240</v>
      </c>
      <c r="S1322" t="s">
        <v>39</v>
      </c>
      <c r="T1322" t="s">
        <v>30</v>
      </c>
      <c r="U1322" t="str">
        <f t="shared" si="60"/>
        <v>Normal</v>
      </c>
      <c r="V1322" t="str">
        <f t="shared" si="61"/>
        <v>Normal</v>
      </c>
      <c r="W1322" t="str">
        <f t="shared" si="62"/>
        <v>Normal</v>
      </c>
    </row>
    <row r="1323" spans="1:23" x14ac:dyDescent="0.3">
      <c r="A1323">
        <v>10203</v>
      </c>
      <c r="B1323" s="2">
        <v>45734</v>
      </c>
      <c r="C1323" t="s">
        <v>20</v>
      </c>
      <c r="D1323" t="s">
        <v>21</v>
      </c>
      <c r="E1323" t="s">
        <v>33</v>
      </c>
      <c r="F1323" t="s">
        <v>81</v>
      </c>
      <c r="G1323" t="s">
        <v>74</v>
      </c>
      <c r="H1323" t="s">
        <v>190</v>
      </c>
      <c r="I1323" t="s">
        <v>308</v>
      </c>
      <c r="J1323">
        <v>636</v>
      </c>
      <c r="K1323">
        <v>33</v>
      </c>
      <c r="L1323" t="s">
        <v>27</v>
      </c>
      <c r="M1323">
        <v>76</v>
      </c>
      <c r="N1323">
        <v>52.3</v>
      </c>
      <c r="O1323">
        <v>62.7</v>
      </c>
      <c r="P1323">
        <v>5.37</v>
      </c>
      <c r="Q1323">
        <v>1.59</v>
      </c>
      <c r="R1323" t="s">
        <v>72</v>
      </c>
      <c r="S1323" t="s">
        <v>73</v>
      </c>
      <c r="T1323" t="s">
        <v>48</v>
      </c>
      <c r="U1323" t="str">
        <f t="shared" si="60"/>
        <v>Normal</v>
      </c>
      <c r="V1323" t="str">
        <f t="shared" si="61"/>
        <v>Normal</v>
      </c>
      <c r="W1323" t="str">
        <f t="shared" si="62"/>
        <v>Normal</v>
      </c>
    </row>
    <row r="1324" spans="1:23" x14ac:dyDescent="0.3">
      <c r="A1324">
        <v>11021</v>
      </c>
      <c r="B1324" s="2">
        <v>45948</v>
      </c>
      <c r="C1324" t="s">
        <v>20</v>
      </c>
      <c r="D1324" t="s">
        <v>64</v>
      </c>
      <c r="E1324" t="s">
        <v>40</v>
      </c>
      <c r="F1324" t="s">
        <v>23</v>
      </c>
      <c r="G1324" t="s">
        <v>134</v>
      </c>
      <c r="H1324" t="s">
        <v>96</v>
      </c>
      <c r="I1324" t="s">
        <v>361</v>
      </c>
      <c r="J1324">
        <v>1167</v>
      </c>
      <c r="K1324">
        <v>13</v>
      </c>
      <c r="L1324" t="s">
        <v>68</v>
      </c>
      <c r="M1324">
        <v>77</v>
      </c>
      <c r="N1324">
        <v>52.6</v>
      </c>
      <c r="O1324">
        <v>62.7</v>
      </c>
      <c r="P1324">
        <v>5.83</v>
      </c>
      <c r="Q1324">
        <v>2.41</v>
      </c>
      <c r="R1324" t="s">
        <v>140</v>
      </c>
      <c r="S1324" t="s">
        <v>47</v>
      </c>
      <c r="T1324" t="s">
        <v>30</v>
      </c>
      <c r="U1324" t="str">
        <f t="shared" si="60"/>
        <v>Normal</v>
      </c>
      <c r="V1324" t="str">
        <f t="shared" si="61"/>
        <v>Normal</v>
      </c>
      <c r="W1324" t="str">
        <f t="shared" si="62"/>
        <v>Normal</v>
      </c>
    </row>
    <row r="1325" spans="1:23" x14ac:dyDescent="0.3">
      <c r="A1325">
        <v>10593</v>
      </c>
      <c r="B1325" s="2">
        <v>45969</v>
      </c>
      <c r="C1325" t="s">
        <v>49</v>
      </c>
      <c r="D1325" t="s">
        <v>32</v>
      </c>
      <c r="E1325" t="s">
        <v>107</v>
      </c>
      <c r="F1325" t="s">
        <v>41</v>
      </c>
      <c r="G1325" t="s">
        <v>54</v>
      </c>
      <c r="H1325" t="s">
        <v>192</v>
      </c>
      <c r="I1325" t="s">
        <v>256</v>
      </c>
      <c r="J1325">
        <v>993</v>
      </c>
      <c r="K1325">
        <v>10</v>
      </c>
      <c r="L1325" t="s">
        <v>27</v>
      </c>
      <c r="M1325">
        <v>88</v>
      </c>
      <c r="N1325">
        <v>38.9</v>
      </c>
      <c r="O1325">
        <v>62.7</v>
      </c>
      <c r="P1325">
        <v>4.99</v>
      </c>
      <c r="Q1325">
        <v>5.01</v>
      </c>
      <c r="R1325" t="s">
        <v>133</v>
      </c>
      <c r="S1325" t="s">
        <v>73</v>
      </c>
      <c r="T1325" t="s">
        <v>30</v>
      </c>
      <c r="U1325" t="str">
        <f t="shared" si="60"/>
        <v>Normal</v>
      </c>
      <c r="V1325" t="str">
        <f t="shared" si="61"/>
        <v>Normal</v>
      </c>
      <c r="W1325" t="str">
        <f t="shared" si="62"/>
        <v>Normal</v>
      </c>
    </row>
    <row r="1326" spans="1:23" x14ac:dyDescent="0.3">
      <c r="A1326">
        <v>11065</v>
      </c>
      <c r="B1326" s="2">
        <v>45793</v>
      </c>
      <c r="C1326" t="s">
        <v>31</v>
      </c>
      <c r="D1326" t="s">
        <v>21</v>
      </c>
      <c r="E1326" t="s">
        <v>33</v>
      </c>
      <c r="F1326" t="s">
        <v>41</v>
      </c>
      <c r="G1326" t="s">
        <v>54</v>
      </c>
      <c r="H1326" t="s">
        <v>25</v>
      </c>
      <c r="I1326" t="s">
        <v>374</v>
      </c>
      <c r="J1326">
        <v>809</v>
      </c>
      <c r="K1326">
        <v>4</v>
      </c>
      <c r="L1326" t="s">
        <v>57</v>
      </c>
      <c r="M1326">
        <v>6</v>
      </c>
      <c r="N1326">
        <v>52.4</v>
      </c>
      <c r="O1326">
        <v>62.7</v>
      </c>
      <c r="P1326">
        <v>5.93</v>
      </c>
      <c r="Q1326">
        <v>3.22</v>
      </c>
      <c r="R1326" t="s">
        <v>147</v>
      </c>
      <c r="S1326" t="s">
        <v>39</v>
      </c>
      <c r="T1326" t="s">
        <v>30</v>
      </c>
      <c r="U1326" t="str">
        <f t="shared" si="60"/>
        <v>Normal</v>
      </c>
      <c r="V1326" t="str">
        <f t="shared" si="61"/>
        <v>Normal</v>
      </c>
      <c r="W1326" t="str">
        <f t="shared" si="62"/>
        <v>Normal</v>
      </c>
    </row>
    <row r="1327" spans="1:23" x14ac:dyDescent="0.3">
      <c r="A1327">
        <v>10995</v>
      </c>
      <c r="B1327" s="2">
        <v>45864</v>
      </c>
      <c r="C1327" t="s">
        <v>31</v>
      </c>
      <c r="D1327" t="s">
        <v>32</v>
      </c>
      <c r="E1327" t="s">
        <v>40</v>
      </c>
      <c r="F1327" t="s">
        <v>81</v>
      </c>
      <c r="G1327" t="s">
        <v>60</v>
      </c>
      <c r="H1327" t="s">
        <v>82</v>
      </c>
      <c r="I1327" t="s">
        <v>285</v>
      </c>
      <c r="J1327">
        <v>1206</v>
      </c>
      <c r="K1327">
        <v>9</v>
      </c>
      <c r="L1327" t="s">
        <v>45</v>
      </c>
      <c r="M1327">
        <v>40</v>
      </c>
      <c r="N1327">
        <v>33</v>
      </c>
      <c r="O1327">
        <v>62.6</v>
      </c>
      <c r="P1327">
        <v>5.68</v>
      </c>
      <c r="Q1327">
        <v>1.25</v>
      </c>
      <c r="R1327" t="s">
        <v>72</v>
      </c>
      <c r="S1327" t="s">
        <v>47</v>
      </c>
      <c r="T1327" t="s">
        <v>30</v>
      </c>
      <c r="U1327" t="str">
        <f t="shared" si="60"/>
        <v>Normal</v>
      </c>
      <c r="V1327" t="str">
        <f t="shared" si="61"/>
        <v>Normal</v>
      </c>
      <c r="W1327" t="str">
        <f t="shared" si="62"/>
        <v>Normal</v>
      </c>
    </row>
    <row r="1328" spans="1:23" x14ac:dyDescent="0.3">
      <c r="A1328">
        <v>11209</v>
      </c>
      <c r="B1328" s="2">
        <v>45998</v>
      </c>
      <c r="C1328" t="s">
        <v>20</v>
      </c>
      <c r="D1328" t="s">
        <v>21</v>
      </c>
      <c r="E1328" t="s">
        <v>22</v>
      </c>
      <c r="F1328" t="s">
        <v>23</v>
      </c>
      <c r="G1328" t="s">
        <v>134</v>
      </c>
      <c r="H1328" t="s">
        <v>123</v>
      </c>
      <c r="I1328" t="s">
        <v>272</v>
      </c>
      <c r="J1328">
        <v>506</v>
      </c>
      <c r="K1328">
        <v>9</v>
      </c>
      <c r="L1328" t="s">
        <v>27</v>
      </c>
      <c r="M1328">
        <v>142</v>
      </c>
      <c r="N1328">
        <v>46</v>
      </c>
      <c r="O1328">
        <v>62.6</v>
      </c>
      <c r="P1328">
        <v>6.19</v>
      </c>
      <c r="Q1328">
        <v>3.34</v>
      </c>
      <c r="R1328" t="s">
        <v>72</v>
      </c>
      <c r="S1328" t="s">
        <v>47</v>
      </c>
      <c r="T1328" t="s">
        <v>30</v>
      </c>
      <c r="U1328" t="str">
        <f t="shared" si="60"/>
        <v>Normal</v>
      </c>
      <c r="V1328" t="str">
        <f t="shared" si="61"/>
        <v>Normal</v>
      </c>
      <c r="W1328" t="str">
        <f t="shared" si="62"/>
        <v>Normal</v>
      </c>
    </row>
    <row r="1329" spans="1:23" x14ac:dyDescent="0.3">
      <c r="A1329">
        <v>10658</v>
      </c>
      <c r="B1329" s="2">
        <v>45931</v>
      </c>
      <c r="C1329" t="s">
        <v>20</v>
      </c>
      <c r="D1329" t="s">
        <v>32</v>
      </c>
      <c r="E1329" t="s">
        <v>107</v>
      </c>
      <c r="F1329" t="s">
        <v>23</v>
      </c>
      <c r="G1329" t="s">
        <v>34</v>
      </c>
      <c r="H1329" t="s">
        <v>148</v>
      </c>
      <c r="I1329" t="s">
        <v>347</v>
      </c>
      <c r="J1329">
        <v>1067</v>
      </c>
      <c r="K1329">
        <v>6</v>
      </c>
      <c r="L1329" t="s">
        <v>27</v>
      </c>
      <c r="M1329">
        <v>81</v>
      </c>
      <c r="N1329">
        <v>34.9</v>
      </c>
      <c r="O1329">
        <v>62.6</v>
      </c>
      <c r="P1329">
        <v>3.75</v>
      </c>
      <c r="Q1329">
        <v>2.16</v>
      </c>
      <c r="R1329" t="s">
        <v>155</v>
      </c>
      <c r="S1329" t="s">
        <v>47</v>
      </c>
      <c r="T1329" t="s">
        <v>30</v>
      </c>
      <c r="U1329" t="str">
        <f t="shared" si="60"/>
        <v>Normal</v>
      </c>
      <c r="V1329" t="str">
        <f t="shared" si="61"/>
        <v>Normal</v>
      </c>
      <c r="W1329" t="str">
        <f t="shared" si="62"/>
        <v>Normal</v>
      </c>
    </row>
    <row r="1330" spans="1:23" x14ac:dyDescent="0.3">
      <c r="A1330">
        <v>11136</v>
      </c>
      <c r="B1330" s="2">
        <v>45727</v>
      </c>
      <c r="C1330" t="s">
        <v>31</v>
      </c>
      <c r="D1330" t="s">
        <v>21</v>
      </c>
      <c r="E1330" t="s">
        <v>107</v>
      </c>
      <c r="F1330" t="s">
        <v>41</v>
      </c>
      <c r="G1330" t="s">
        <v>54</v>
      </c>
      <c r="H1330" t="s">
        <v>51</v>
      </c>
      <c r="I1330" t="s">
        <v>370</v>
      </c>
      <c r="J1330">
        <v>763</v>
      </c>
      <c r="K1330">
        <v>14</v>
      </c>
      <c r="L1330" t="s">
        <v>57</v>
      </c>
      <c r="M1330">
        <v>87</v>
      </c>
      <c r="N1330">
        <v>39.1</v>
      </c>
      <c r="O1330">
        <v>62.6</v>
      </c>
      <c r="P1330">
        <v>5.7</v>
      </c>
      <c r="Q1330">
        <v>2.27</v>
      </c>
      <c r="R1330" t="s">
        <v>179</v>
      </c>
      <c r="S1330" t="s">
        <v>39</v>
      </c>
      <c r="T1330" t="s">
        <v>30</v>
      </c>
      <c r="U1330" t="str">
        <f t="shared" si="60"/>
        <v>Normal</v>
      </c>
      <c r="V1330" t="str">
        <f t="shared" si="61"/>
        <v>Normal</v>
      </c>
      <c r="W1330" t="str">
        <f t="shared" si="62"/>
        <v>Normal</v>
      </c>
    </row>
    <row r="1331" spans="1:23" x14ac:dyDescent="0.3">
      <c r="A1331">
        <v>10345</v>
      </c>
      <c r="B1331" s="2">
        <v>45682</v>
      </c>
      <c r="C1331" t="s">
        <v>31</v>
      </c>
      <c r="D1331" t="s">
        <v>21</v>
      </c>
      <c r="E1331" t="s">
        <v>107</v>
      </c>
      <c r="F1331" t="s">
        <v>41</v>
      </c>
      <c r="G1331" t="s">
        <v>42</v>
      </c>
      <c r="H1331" t="s">
        <v>193</v>
      </c>
      <c r="I1331" t="s">
        <v>210</v>
      </c>
      <c r="J1331">
        <v>681</v>
      </c>
      <c r="K1331">
        <v>3</v>
      </c>
      <c r="L1331" t="s">
        <v>71</v>
      </c>
      <c r="M1331">
        <v>141</v>
      </c>
      <c r="N1331">
        <v>48.1</v>
      </c>
      <c r="O1331">
        <v>62.5</v>
      </c>
      <c r="P1331">
        <v>5.67</v>
      </c>
      <c r="Q1331">
        <v>3.48</v>
      </c>
      <c r="R1331" t="s">
        <v>77</v>
      </c>
      <c r="S1331" t="s">
        <v>29</v>
      </c>
      <c r="T1331" t="s">
        <v>30</v>
      </c>
      <c r="U1331" t="str">
        <f t="shared" si="60"/>
        <v>Normal</v>
      </c>
      <c r="V1331" t="str">
        <f t="shared" si="61"/>
        <v>Normal</v>
      </c>
      <c r="W1331" t="str">
        <f t="shared" si="62"/>
        <v>Normal</v>
      </c>
    </row>
    <row r="1332" spans="1:23" x14ac:dyDescent="0.3">
      <c r="A1332">
        <v>10616</v>
      </c>
      <c r="B1332" s="2">
        <v>45843</v>
      </c>
      <c r="C1332" t="s">
        <v>20</v>
      </c>
      <c r="D1332" t="s">
        <v>64</v>
      </c>
      <c r="E1332" t="s">
        <v>22</v>
      </c>
      <c r="F1332" t="s">
        <v>81</v>
      </c>
      <c r="G1332" t="s">
        <v>95</v>
      </c>
      <c r="H1332" t="s">
        <v>287</v>
      </c>
      <c r="I1332" t="s">
        <v>214</v>
      </c>
      <c r="J1332">
        <v>1281</v>
      </c>
      <c r="K1332">
        <v>32</v>
      </c>
      <c r="L1332" t="s">
        <v>71</v>
      </c>
      <c r="M1332">
        <v>13</v>
      </c>
      <c r="N1332">
        <v>44.5</v>
      </c>
      <c r="O1332">
        <v>62.4</v>
      </c>
      <c r="P1332">
        <v>5.6</v>
      </c>
      <c r="Q1332">
        <v>3.52</v>
      </c>
      <c r="R1332" t="s">
        <v>186</v>
      </c>
      <c r="S1332" t="s">
        <v>39</v>
      </c>
      <c r="T1332" t="s">
        <v>30</v>
      </c>
      <c r="U1332" t="str">
        <f t="shared" si="60"/>
        <v>Normal</v>
      </c>
      <c r="V1332" t="str">
        <f t="shared" si="61"/>
        <v>Normal</v>
      </c>
      <c r="W1332" t="str">
        <f t="shared" si="62"/>
        <v>Normal</v>
      </c>
    </row>
    <row r="1333" spans="1:23" x14ac:dyDescent="0.3">
      <c r="A1333">
        <v>11182</v>
      </c>
      <c r="B1333" s="2">
        <v>45728</v>
      </c>
      <c r="C1333" t="s">
        <v>49</v>
      </c>
      <c r="D1333" t="s">
        <v>64</v>
      </c>
      <c r="E1333" t="s">
        <v>40</v>
      </c>
      <c r="F1333" t="s">
        <v>41</v>
      </c>
      <c r="G1333" t="s">
        <v>24</v>
      </c>
      <c r="H1333" t="s">
        <v>43</v>
      </c>
      <c r="I1333" t="s">
        <v>325</v>
      </c>
      <c r="J1333">
        <v>1096</v>
      </c>
      <c r="K1333">
        <v>2</v>
      </c>
      <c r="L1333" t="s">
        <v>27</v>
      </c>
      <c r="M1333">
        <v>172</v>
      </c>
      <c r="N1333">
        <v>32.299999999999997</v>
      </c>
      <c r="O1333">
        <v>62.3</v>
      </c>
      <c r="P1333">
        <v>5.44</v>
      </c>
      <c r="Q1333">
        <v>1.79</v>
      </c>
      <c r="R1333" t="s">
        <v>137</v>
      </c>
      <c r="S1333" t="s">
        <v>424</v>
      </c>
      <c r="T1333" t="s">
        <v>30</v>
      </c>
      <c r="U1333" t="str">
        <f t="shared" si="60"/>
        <v>Normal</v>
      </c>
      <c r="V1333" t="str">
        <f t="shared" si="61"/>
        <v>Normal</v>
      </c>
      <c r="W1333" t="str">
        <f t="shared" si="62"/>
        <v>Normal</v>
      </c>
    </row>
    <row r="1334" spans="1:23" x14ac:dyDescent="0.3">
      <c r="A1334">
        <v>10814</v>
      </c>
      <c r="B1334" s="2">
        <v>45775</v>
      </c>
      <c r="C1334" t="s">
        <v>20</v>
      </c>
      <c r="D1334" t="s">
        <v>21</v>
      </c>
      <c r="E1334" t="s">
        <v>40</v>
      </c>
      <c r="F1334" t="s">
        <v>23</v>
      </c>
      <c r="G1334" t="s">
        <v>24</v>
      </c>
      <c r="H1334" t="s">
        <v>196</v>
      </c>
      <c r="I1334" t="s">
        <v>110</v>
      </c>
      <c r="J1334">
        <v>1309</v>
      </c>
      <c r="K1334">
        <v>11</v>
      </c>
      <c r="L1334" t="s">
        <v>57</v>
      </c>
      <c r="M1334">
        <v>120</v>
      </c>
      <c r="N1334">
        <v>30.2</v>
      </c>
      <c r="O1334">
        <v>62.3</v>
      </c>
      <c r="P1334">
        <v>5.05</v>
      </c>
      <c r="Q1334">
        <v>4.2</v>
      </c>
      <c r="R1334" t="s">
        <v>105</v>
      </c>
      <c r="S1334" t="s">
        <v>39</v>
      </c>
      <c r="T1334" t="s">
        <v>30</v>
      </c>
      <c r="U1334" t="str">
        <f t="shared" si="60"/>
        <v>Normal</v>
      </c>
      <c r="V1334" t="str">
        <f t="shared" si="61"/>
        <v>Normal</v>
      </c>
      <c r="W1334" t="str">
        <f t="shared" si="62"/>
        <v>Normal</v>
      </c>
    </row>
    <row r="1335" spans="1:23" x14ac:dyDescent="0.3">
      <c r="A1335">
        <v>10409</v>
      </c>
      <c r="B1335" s="2">
        <v>45713</v>
      </c>
      <c r="C1335" t="s">
        <v>31</v>
      </c>
      <c r="D1335" t="s">
        <v>59</v>
      </c>
      <c r="E1335" t="s">
        <v>107</v>
      </c>
      <c r="F1335" t="s">
        <v>81</v>
      </c>
      <c r="G1335" t="s">
        <v>24</v>
      </c>
      <c r="H1335" t="s">
        <v>351</v>
      </c>
      <c r="I1335" t="s">
        <v>361</v>
      </c>
      <c r="J1335">
        <v>1196</v>
      </c>
      <c r="K1335">
        <v>7</v>
      </c>
      <c r="L1335" t="s">
        <v>68</v>
      </c>
      <c r="M1335">
        <v>133</v>
      </c>
      <c r="N1335">
        <v>38.9</v>
      </c>
      <c r="O1335">
        <v>62.3</v>
      </c>
      <c r="P1335">
        <v>3.43</v>
      </c>
      <c r="Q1335">
        <v>2.5499999999999998</v>
      </c>
      <c r="R1335" t="s">
        <v>189</v>
      </c>
      <c r="S1335" t="s">
        <v>29</v>
      </c>
      <c r="T1335" t="s">
        <v>30</v>
      </c>
      <c r="U1335" t="str">
        <f t="shared" si="60"/>
        <v>Normal</v>
      </c>
      <c r="V1335" t="str">
        <f t="shared" si="61"/>
        <v>Normal</v>
      </c>
      <c r="W1335" t="str">
        <f t="shared" si="62"/>
        <v>Normal</v>
      </c>
    </row>
    <row r="1336" spans="1:23" x14ac:dyDescent="0.3">
      <c r="A1336">
        <v>11129</v>
      </c>
      <c r="B1336" s="2">
        <v>46000</v>
      </c>
      <c r="C1336" t="s">
        <v>49</v>
      </c>
      <c r="D1336" t="s">
        <v>32</v>
      </c>
      <c r="E1336" t="s">
        <v>40</v>
      </c>
      <c r="F1336" t="s">
        <v>41</v>
      </c>
      <c r="G1336" t="s">
        <v>60</v>
      </c>
      <c r="H1336" t="s">
        <v>172</v>
      </c>
      <c r="I1336" t="s">
        <v>56</v>
      </c>
      <c r="J1336">
        <v>648</v>
      </c>
      <c r="K1336">
        <v>8</v>
      </c>
      <c r="L1336" t="s">
        <v>27</v>
      </c>
      <c r="M1336">
        <v>88</v>
      </c>
      <c r="N1336">
        <v>54.3</v>
      </c>
      <c r="O1336">
        <v>62.3</v>
      </c>
      <c r="P1336">
        <v>3.79</v>
      </c>
      <c r="Q1336">
        <v>4.7</v>
      </c>
      <c r="R1336" t="s">
        <v>38</v>
      </c>
      <c r="S1336" t="s">
        <v>39</v>
      </c>
      <c r="T1336" t="s">
        <v>30</v>
      </c>
      <c r="U1336" t="str">
        <f t="shared" si="60"/>
        <v>Normal</v>
      </c>
      <c r="V1336" t="str">
        <f t="shared" si="61"/>
        <v>Normal</v>
      </c>
      <c r="W1336" t="str">
        <f t="shared" si="62"/>
        <v>Normal</v>
      </c>
    </row>
    <row r="1337" spans="1:23" x14ac:dyDescent="0.3">
      <c r="A1337">
        <v>11237</v>
      </c>
      <c r="B1337" s="2">
        <v>45788</v>
      </c>
      <c r="C1337" t="s">
        <v>20</v>
      </c>
      <c r="D1337" t="s">
        <v>21</v>
      </c>
      <c r="E1337" t="s">
        <v>107</v>
      </c>
      <c r="F1337" t="s">
        <v>41</v>
      </c>
      <c r="G1337" t="s">
        <v>109</v>
      </c>
      <c r="H1337" t="s">
        <v>138</v>
      </c>
      <c r="I1337" t="s">
        <v>160</v>
      </c>
      <c r="J1337">
        <v>1024</v>
      </c>
      <c r="K1337">
        <v>9</v>
      </c>
      <c r="L1337" t="s">
        <v>45</v>
      </c>
      <c r="M1337">
        <v>174</v>
      </c>
      <c r="N1337">
        <v>65.2</v>
      </c>
      <c r="O1337">
        <v>62.3</v>
      </c>
      <c r="P1337">
        <v>5.54</v>
      </c>
      <c r="Q1337">
        <v>4.45</v>
      </c>
      <c r="R1337" t="s">
        <v>229</v>
      </c>
      <c r="S1337" t="s">
        <v>39</v>
      </c>
      <c r="T1337" t="s">
        <v>30</v>
      </c>
      <c r="U1337" t="str">
        <f t="shared" si="60"/>
        <v>Normal</v>
      </c>
      <c r="V1337" t="str">
        <f t="shared" si="61"/>
        <v>Normal</v>
      </c>
      <c r="W1337" t="str">
        <f t="shared" si="62"/>
        <v>Normal</v>
      </c>
    </row>
    <row r="1338" spans="1:23" x14ac:dyDescent="0.3">
      <c r="A1338">
        <v>10123</v>
      </c>
      <c r="B1338" s="2">
        <v>45858</v>
      </c>
      <c r="C1338" t="s">
        <v>20</v>
      </c>
      <c r="D1338" t="s">
        <v>21</v>
      </c>
      <c r="E1338" t="s">
        <v>40</v>
      </c>
      <c r="F1338" t="s">
        <v>23</v>
      </c>
      <c r="G1338" t="s">
        <v>95</v>
      </c>
      <c r="H1338" t="s">
        <v>190</v>
      </c>
      <c r="I1338" t="s">
        <v>218</v>
      </c>
      <c r="J1338">
        <v>1342</v>
      </c>
      <c r="K1338">
        <v>14</v>
      </c>
      <c r="L1338" t="s">
        <v>424</v>
      </c>
      <c r="M1338">
        <v>157</v>
      </c>
      <c r="N1338">
        <v>37.799999999999997</v>
      </c>
      <c r="O1338">
        <v>62.3</v>
      </c>
      <c r="P1338">
        <v>6.37</v>
      </c>
      <c r="Q1338">
        <v>2.23</v>
      </c>
      <c r="R1338" t="s">
        <v>77</v>
      </c>
      <c r="S1338" t="s">
        <v>47</v>
      </c>
      <c r="T1338" t="s">
        <v>30</v>
      </c>
      <c r="U1338" t="str">
        <f t="shared" si="60"/>
        <v>Normal</v>
      </c>
      <c r="V1338" t="str">
        <f t="shared" si="61"/>
        <v>Normal</v>
      </c>
      <c r="W1338" t="str">
        <f t="shared" si="62"/>
        <v>Normal</v>
      </c>
    </row>
    <row r="1339" spans="1:23" x14ac:dyDescent="0.3">
      <c r="A1339">
        <v>11135</v>
      </c>
      <c r="B1339" s="2">
        <v>45856</v>
      </c>
      <c r="C1339" t="s">
        <v>31</v>
      </c>
      <c r="D1339" t="s">
        <v>64</v>
      </c>
      <c r="E1339" t="s">
        <v>22</v>
      </c>
      <c r="F1339" t="s">
        <v>23</v>
      </c>
      <c r="G1339" t="s">
        <v>54</v>
      </c>
      <c r="H1339" t="s">
        <v>114</v>
      </c>
      <c r="I1339" t="s">
        <v>378</v>
      </c>
      <c r="J1339">
        <v>1250</v>
      </c>
      <c r="K1339">
        <v>19</v>
      </c>
      <c r="L1339" t="s">
        <v>68</v>
      </c>
      <c r="M1339">
        <v>15</v>
      </c>
      <c r="N1339">
        <v>36.9</v>
      </c>
      <c r="O1339">
        <v>62.2</v>
      </c>
      <c r="P1339">
        <v>4.8600000000000003</v>
      </c>
      <c r="Q1339">
        <v>3.98</v>
      </c>
      <c r="R1339" t="s">
        <v>183</v>
      </c>
      <c r="S1339" t="s">
        <v>39</v>
      </c>
      <c r="T1339" t="s">
        <v>30</v>
      </c>
      <c r="U1339" t="str">
        <f t="shared" si="60"/>
        <v>Normal</v>
      </c>
      <c r="V1339" t="str">
        <f t="shared" si="61"/>
        <v>Normal</v>
      </c>
      <c r="W1339" t="str">
        <f t="shared" si="62"/>
        <v>Normal</v>
      </c>
    </row>
    <row r="1340" spans="1:23" x14ac:dyDescent="0.3">
      <c r="A1340">
        <v>10129</v>
      </c>
      <c r="B1340" s="2">
        <v>45875</v>
      </c>
      <c r="C1340" t="s">
        <v>31</v>
      </c>
      <c r="D1340" t="s">
        <v>21</v>
      </c>
      <c r="E1340" t="s">
        <v>40</v>
      </c>
      <c r="F1340" t="s">
        <v>23</v>
      </c>
      <c r="G1340" t="s">
        <v>89</v>
      </c>
      <c r="H1340" t="s">
        <v>148</v>
      </c>
      <c r="I1340" t="s">
        <v>237</v>
      </c>
      <c r="J1340">
        <v>1560</v>
      </c>
      <c r="K1340">
        <v>11</v>
      </c>
      <c r="L1340" t="s">
        <v>57</v>
      </c>
      <c r="M1340">
        <v>103</v>
      </c>
      <c r="N1340">
        <v>45.2</v>
      </c>
      <c r="O1340">
        <v>62.1</v>
      </c>
      <c r="P1340">
        <v>4.4800000000000004</v>
      </c>
      <c r="Q1340">
        <v>2.06</v>
      </c>
      <c r="R1340" t="s">
        <v>143</v>
      </c>
      <c r="S1340" t="s">
        <v>73</v>
      </c>
      <c r="T1340" t="s">
        <v>30</v>
      </c>
      <c r="U1340" t="str">
        <f t="shared" si="60"/>
        <v>Normal</v>
      </c>
      <c r="V1340" t="str">
        <f t="shared" si="61"/>
        <v>Normal</v>
      </c>
      <c r="W1340" t="str">
        <f t="shared" si="62"/>
        <v>Normal</v>
      </c>
    </row>
    <row r="1341" spans="1:23" x14ac:dyDescent="0.3">
      <c r="A1341">
        <v>11106</v>
      </c>
      <c r="B1341" s="2">
        <v>45669</v>
      </c>
      <c r="C1341" t="s">
        <v>31</v>
      </c>
      <c r="D1341" t="s">
        <v>64</v>
      </c>
      <c r="E1341" t="s">
        <v>107</v>
      </c>
      <c r="F1341" t="s">
        <v>23</v>
      </c>
      <c r="G1341" t="s">
        <v>42</v>
      </c>
      <c r="H1341" t="s">
        <v>82</v>
      </c>
      <c r="I1341" t="s">
        <v>257</v>
      </c>
      <c r="J1341">
        <v>1208</v>
      </c>
      <c r="K1341">
        <v>3</v>
      </c>
      <c r="L1341" t="s">
        <v>45</v>
      </c>
      <c r="M1341">
        <v>151</v>
      </c>
      <c r="N1341">
        <v>49.5</v>
      </c>
      <c r="O1341">
        <v>62.1</v>
      </c>
      <c r="P1341">
        <v>3.38</v>
      </c>
      <c r="Q1341">
        <v>3.73</v>
      </c>
      <c r="R1341" t="s">
        <v>216</v>
      </c>
      <c r="S1341" t="s">
        <v>47</v>
      </c>
      <c r="T1341" t="s">
        <v>30</v>
      </c>
      <c r="U1341" t="str">
        <f t="shared" si="60"/>
        <v>Normal</v>
      </c>
      <c r="V1341" t="str">
        <f t="shared" si="61"/>
        <v>Normal</v>
      </c>
      <c r="W1341" t="str">
        <f t="shared" si="62"/>
        <v>Normal</v>
      </c>
    </row>
    <row r="1342" spans="1:23" x14ac:dyDescent="0.3">
      <c r="A1342">
        <v>11405</v>
      </c>
      <c r="B1342" s="2">
        <v>45668</v>
      </c>
      <c r="C1342" t="s">
        <v>20</v>
      </c>
      <c r="D1342" t="s">
        <v>59</v>
      </c>
      <c r="E1342" t="s">
        <v>33</v>
      </c>
      <c r="F1342" t="s">
        <v>23</v>
      </c>
      <c r="G1342" t="s">
        <v>54</v>
      </c>
      <c r="H1342" t="s">
        <v>196</v>
      </c>
      <c r="I1342" t="s">
        <v>261</v>
      </c>
      <c r="J1342">
        <v>631</v>
      </c>
      <c r="K1342">
        <v>24</v>
      </c>
      <c r="L1342" t="s">
        <v>27</v>
      </c>
      <c r="M1342">
        <v>66</v>
      </c>
      <c r="N1342">
        <v>35.200000000000003</v>
      </c>
      <c r="O1342">
        <v>62.1</v>
      </c>
      <c r="P1342">
        <v>4.93</v>
      </c>
      <c r="Q1342">
        <v>3.08</v>
      </c>
      <c r="R1342" t="s">
        <v>186</v>
      </c>
      <c r="S1342" t="s">
        <v>39</v>
      </c>
      <c r="T1342" t="s">
        <v>48</v>
      </c>
      <c r="U1342" t="str">
        <f t="shared" si="60"/>
        <v>Normal</v>
      </c>
      <c r="V1342" t="str">
        <f t="shared" si="61"/>
        <v>Normal</v>
      </c>
      <c r="W1342" t="str">
        <f t="shared" si="62"/>
        <v>Normal</v>
      </c>
    </row>
    <row r="1343" spans="1:23" x14ac:dyDescent="0.3">
      <c r="A1343">
        <v>10969</v>
      </c>
      <c r="B1343" s="2">
        <v>45871</v>
      </c>
      <c r="C1343" t="s">
        <v>49</v>
      </c>
      <c r="D1343" t="s">
        <v>59</v>
      </c>
      <c r="E1343" t="s">
        <v>107</v>
      </c>
      <c r="F1343" t="s">
        <v>23</v>
      </c>
      <c r="G1343" t="s">
        <v>42</v>
      </c>
      <c r="H1343" t="s">
        <v>177</v>
      </c>
      <c r="I1343" t="s">
        <v>323</v>
      </c>
      <c r="J1343">
        <v>543</v>
      </c>
      <c r="K1343">
        <v>48</v>
      </c>
      <c r="L1343" t="s">
        <v>37</v>
      </c>
      <c r="M1343">
        <v>135</v>
      </c>
      <c r="N1343">
        <v>46.1</v>
      </c>
      <c r="O1343">
        <v>62</v>
      </c>
      <c r="P1343">
        <v>4.91</v>
      </c>
      <c r="Q1343">
        <v>0.19</v>
      </c>
      <c r="R1343" t="s">
        <v>122</v>
      </c>
      <c r="S1343" t="s">
        <v>47</v>
      </c>
      <c r="T1343" t="s">
        <v>48</v>
      </c>
      <c r="U1343" t="str">
        <f t="shared" si="60"/>
        <v>Normal</v>
      </c>
      <c r="V1343" t="str">
        <f t="shared" si="61"/>
        <v>Normal</v>
      </c>
      <c r="W1343" t="str">
        <f t="shared" si="62"/>
        <v>Normal</v>
      </c>
    </row>
    <row r="1344" spans="1:23" x14ac:dyDescent="0.3">
      <c r="A1344">
        <v>11052</v>
      </c>
      <c r="B1344" s="2">
        <v>45908</v>
      </c>
      <c r="C1344" t="s">
        <v>49</v>
      </c>
      <c r="D1344" t="s">
        <v>21</v>
      </c>
      <c r="E1344" t="s">
        <v>33</v>
      </c>
      <c r="F1344" t="s">
        <v>81</v>
      </c>
      <c r="G1344" t="s">
        <v>24</v>
      </c>
      <c r="H1344" t="s">
        <v>424</v>
      </c>
      <c r="I1344" t="s">
        <v>352</v>
      </c>
      <c r="J1344">
        <v>1320</v>
      </c>
      <c r="K1344">
        <v>40</v>
      </c>
      <c r="L1344" t="s">
        <v>68</v>
      </c>
      <c r="M1344">
        <v>40</v>
      </c>
      <c r="N1344">
        <v>50.4</v>
      </c>
      <c r="O1344">
        <v>62</v>
      </c>
      <c r="P1344">
        <v>4.34</v>
      </c>
      <c r="Q1344">
        <v>2.3199999999999998</v>
      </c>
      <c r="R1344" t="s">
        <v>240</v>
      </c>
      <c r="S1344" t="s">
        <v>29</v>
      </c>
      <c r="T1344" t="s">
        <v>48</v>
      </c>
      <c r="U1344" t="str">
        <f t="shared" si="60"/>
        <v>Normal</v>
      </c>
      <c r="V1344" t="str">
        <f t="shared" si="61"/>
        <v>Normal</v>
      </c>
      <c r="W1344" t="str">
        <f t="shared" si="62"/>
        <v>Normal</v>
      </c>
    </row>
    <row r="1345" spans="1:23" x14ac:dyDescent="0.3">
      <c r="A1345">
        <v>11030</v>
      </c>
      <c r="B1345" s="2">
        <v>45970</v>
      </c>
      <c r="C1345" t="s">
        <v>20</v>
      </c>
      <c r="D1345" t="s">
        <v>21</v>
      </c>
      <c r="E1345" t="s">
        <v>107</v>
      </c>
      <c r="F1345" t="s">
        <v>41</v>
      </c>
      <c r="G1345" t="s">
        <v>74</v>
      </c>
      <c r="H1345" t="s">
        <v>51</v>
      </c>
      <c r="I1345" t="s">
        <v>372</v>
      </c>
      <c r="J1345">
        <v>921</v>
      </c>
      <c r="K1345">
        <v>6</v>
      </c>
      <c r="L1345" t="s">
        <v>45</v>
      </c>
      <c r="M1345">
        <v>21</v>
      </c>
      <c r="N1345">
        <v>38.5</v>
      </c>
      <c r="O1345">
        <v>61.9</v>
      </c>
      <c r="P1345">
        <v>6.97</v>
      </c>
      <c r="Q1345">
        <v>3.75</v>
      </c>
      <c r="R1345" t="s">
        <v>119</v>
      </c>
      <c r="S1345" t="s">
        <v>47</v>
      </c>
      <c r="T1345" t="s">
        <v>30</v>
      </c>
      <c r="U1345" t="str">
        <f t="shared" si="60"/>
        <v>Normal</v>
      </c>
      <c r="V1345" t="str">
        <f t="shared" si="61"/>
        <v>Normal</v>
      </c>
      <c r="W1345" t="str">
        <f t="shared" si="62"/>
        <v>Normal</v>
      </c>
    </row>
    <row r="1346" spans="1:23" x14ac:dyDescent="0.3">
      <c r="A1346">
        <v>10767</v>
      </c>
      <c r="B1346" s="2">
        <v>45988</v>
      </c>
      <c r="C1346" t="s">
        <v>20</v>
      </c>
      <c r="D1346" t="s">
        <v>21</v>
      </c>
      <c r="E1346" t="s">
        <v>33</v>
      </c>
      <c r="F1346" t="s">
        <v>81</v>
      </c>
      <c r="G1346" t="s">
        <v>42</v>
      </c>
      <c r="H1346" t="s">
        <v>196</v>
      </c>
      <c r="I1346" t="s">
        <v>303</v>
      </c>
      <c r="J1346">
        <v>1007</v>
      </c>
      <c r="K1346">
        <v>31</v>
      </c>
      <c r="L1346" t="s">
        <v>37</v>
      </c>
      <c r="M1346">
        <v>54</v>
      </c>
      <c r="N1346">
        <v>44</v>
      </c>
      <c r="O1346">
        <v>61.9</v>
      </c>
      <c r="P1346">
        <v>5.16</v>
      </c>
      <c r="Q1346">
        <v>4.4000000000000004</v>
      </c>
      <c r="R1346" t="s">
        <v>72</v>
      </c>
      <c r="S1346" t="s">
        <v>73</v>
      </c>
      <c r="T1346" t="s">
        <v>48</v>
      </c>
      <c r="U1346" t="str">
        <f t="shared" ref="U1346:U1409" si="63">IF(OR(O1346&lt;20,O1346&gt;100),"Investigate","Normal")</f>
        <v>Normal</v>
      </c>
      <c r="V1346" t="str">
        <f t="shared" ref="V1346:V1409" si="64">IF(OR(P1346&lt;2,P1346&gt;10),"Investigate","Normal")</f>
        <v>Normal</v>
      </c>
      <c r="W1346" t="str">
        <f t="shared" ref="W1346:W1409" si="65">IF(Q1346&gt;10,"Investigate","Normal")</f>
        <v>Normal</v>
      </c>
    </row>
    <row r="1347" spans="1:23" x14ac:dyDescent="0.3">
      <c r="A1347">
        <v>10463</v>
      </c>
      <c r="B1347" s="2">
        <v>45728</v>
      </c>
      <c r="C1347" t="s">
        <v>20</v>
      </c>
      <c r="D1347" t="s">
        <v>64</v>
      </c>
      <c r="E1347" t="s">
        <v>22</v>
      </c>
      <c r="F1347" t="s">
        <v>23</v>
      </c>
      <c r="G1347" t="s">
        <v>109</v>
      </c>
      <c r="H1347" t="s">
        <v>131</v>
      </c>
      <c r="I1347" t="s">
        <v>231</v>
      </c>
      <c r="J1347">
        <v>508</v>
      </c>
      <c r="K1347">
        <v>2</v>
      </c>
      <c r="L1347" t="s">
        <v>27</v>
      </c>
      <c r="M1347">
        <v>136</v>
      </c>
      <c r="N1347">
        <v>50.3</v>
      </c>
      <c r="O1347">
        <v>61.8</v>
      </c>
      <c r="P1347">
        <v>4.92</v>
      </c>
      <c r="Q1347">
        <v>4.67</v>
      </c>
      <c r="R1347" t="s">
        <v>122</v>
      </c>
      <c r="S1347" t="s">
        <v>73</v>
      </c>
      <c r="T1347" t="s">
        <v>30</v>
      </c>
      <c r="U1347" t="str">
        <f t="shared" si="63"/>
        <v>Normal</v>
      </c>
      <c r="V1347" t="str">
        <f t="shared" si="64"/>
        <v>Normal</v>
      </c>
      <c r="W1347" t="str">
        <f t="shared" si="65"/>
        <v>Normal</v>
      </c>
    </row>
    <row r="1348" spans="1:23" x14ac:dyDescent="0.3">
      <c r="A1348">
        <v>11064</v>
      </c>
      <c r="B1348" s="2">
        <v>45707</v>
      </c>
      <c r="C1348" t="s">
        <v>49</v>
      </c>
      <c r="D1348" t="s">
        <v>32</v>
      </c>
      <c r="E1348" t="s">
        <v>22</v>
      </c>
      <c r="F1348" t="s">
        <v>41</v>
      </c>
      <c r="G1348" t="s">
        <v>113</v>
      </c>
      <c r="H1348" t="s">
        <v>205</v>
      </c>
      <c r="I1348" t="s">
        <v>67</v>
      </c>
      <c r="J1348">
        <v>1054</v>
      </c>
      <c r="K1348">
        <v>12</v>
      </c>
      <c r="L1348" t="s">
        <v>37</v>
      </c>
      <c r="M1348">
        <v>25</v>
      </c>
      <c r="N1348">
        <v>39.4</v>
      </c>
      <c r="O1348">
        <v>61.8</v>
      </c>
      <c r="P1348">
        <v>5.35</v>
      </c>
      <c r="Q1348">
        <v>1.19</v>
      </c>
      <c r="R1348" t="s">
        <v>164</v>
      </c>
      <c r="S1348" t="s">
        <v>73</v>
      </c>
      <c r="T1348" t="s">
        <v>30</v>
      </c>
      <c r="U1348" t="str">
        <f t="shared" si="63"/>
        <v>Normal</v>
      </c>
      <c r="V1348" t="str">
        <f t="shared" si="64"/>
        <v>Normal</v>
      </c>
      <c r="W1348" t="str">
        <f t="shared" si="65"/>
        <v>Normal</v>
      </c>
    </row>
    <row r="1349" spans="1:23" x14ac:dyDescent="0.3">
      <c r="A1349">
        <v>11025</v>
      </c>
      <c r="B1349" s="2">
        <v>45819</v>
      </c>
      <c r="C1349" t="s">
        <v>31</v>
      </c>
      <c r="D1349" t="s">
        <v>21</v>
      </c>
      <c r="E1349" t="s">
        <v>22</v>
      </c>
      <c r="F1349" t="s">
        <v>23</v>
      </c>
      <c r="G1349" t="s">
        <v>50</v>
      </c>
      <c r="H1349" t="s">
        <v>196</v>
      </c>
      <c r="I1349" t="s">
        <v>273</v>
      </c>
      <c r="J1349">
        <v>600</v>
      </c>
      <c r="K1349">
        <v>7</v>
      </c>
      <c r="L1349" t="s">
        <v>68</v>
      </c>
      <c r="M1349">
        <v>6</v>
      </c>
      <c r="N1349">
        <v>48.8</v>
      </c>
      <c r="O1349">
        <v>61.8</v>
      </c>
      <c r="P1349">
        <v>5.31</v>
      </c>
      <c r="Q1349">
        <v>1.81</v>
      </c>
      <c r="R1349" t="s">
        <v>242</v>
      </c>
      <c r="S1349" t="s">
        <v>39</v>
      </c>
      <c r="T1349" t="s">
        <v>30</v>
      </c>
      <c r="U1349" t="str">
        <f t="shared" si="63"/>
        <v>Normal</v>
      </c>
      <c r="V1349" t="str">
        <f t="shared" si="64"/>
        <v>Normal</v>
      </c>
      <c r="W1349" t="str">
        <f t="shared" si="65"/>
        <v>Normal</v>
      </c>
    </row>
    <row r="1350" spans="1:23" x14ac:dyDescent="0.3">
      <c r="A1350">
        <v>10195</v>
      </c>
      <c r="B1350" s="2">
        <v>45860</v>
      </c>
      <c r="C1350" t="s">
        <v>31</v>
      </c>
      <c r="D1350" t="s">
        <v>64</v>
      </c>
      <c r="E1350" t="s">
        <v>33</v>
      </c>
      <c r="F1350" t="s">
        <v>23</v>
      </c>
      <c r="G1350" t="s">
        <v>74</v>
      </c>
      <c r="H1350" t="s">
        <v>88</v>
      </c>
      <c r="I1350" t="s">
        <v>83</v>
      </c>
      <c r="J1350">
        <v>1229</v>
      </c>
      <c r="K1350">
        <v>45</v>
      </c>
      <c r="L1350" t="s">
        <v>57</v>
      </c>
      <c r="M1350">
        <v>79</v>
      </c>
      <c r="N1350">
        <v>42</v>
      </c>
      <c r="O1350">
        <v>61.8</v>
      </c>
      <c r="P1350">
        <v>6.09</v>
      </c>
      <c r="Q1350">
        <v>3.99</v>
      </c>
      <c r="R1350" t="s">
        <v>232</v>
      </c>
      <c r="S1350" t="s">
        <v>29</v>
      </c>
      <c r="T1350" t="s">
        <v>48</v>
      </c>
      <c r="U1350" t="str">
        <f t="shared" si="63"/>
        <v>Normal</v>
      </c>
      <c r="V1350" t="str">
        <f t="shared" si="64"/>
        <v>Normal</v>
      </c>
      <c r="W1350" t="str">
        <f t="shared" si="65"/>
        <v>Normal</v>
      </c>
    </row>
    <row r="1351" spans="1:23" x14ac:dyDescent="0.3">
      <c r="A1351">
        <v>11062</v>
      </c>
      <c r="B1351" s="2">
        <v>45964</v>
      </c>
      <c r="C1351" t="s">
        <v>31</v>
      </c>
      <c r="D1351" t="s">
        <v>32</v>
      </c>
      <c r="E1351" t="s">
        <v>33</v>
      </c>
      <c r="F1351" t="s">
        <v>23</v>
      </c>
      <c r="G1351" t="s">
        <v>113</v>
      </c>
      <c r="H1351" t="s">
        <v>126</v>
      </c>
      <c r="I1351" t="s">
        <v>313</v>
      </c>
      <c r="J1351">
        <v>1199</v>
      </c>
      <c r="K1351">
        <v>13</v>
      </c>
      <c r="L1351" t="s">
        <v>57</v>
      </c>
      <c r="M1351">
        <v>42</v>
      </c>
      <c r="N1351">
        <v>36.799999999999997</v>
      </c>
      <c r="O1351">
        <v>61.8</v>
      </c>
      <c r="P1351">
        <v>5.17</v>
      </c>
      <c r="Q1351">
        <v>4.6900000000000004</v>
      </c>
      <c r="R1351" t="s">
        <v>46</v>
      </c>
      <c r="S1351" t="s">
        <v>73</v>
      </c>
      <c r="T1351" t="s">
        <v>30</v>
      </c>
      <c r="U1351" t="str">
        <f t="shared" si="63"/>
        <v>Normal</v>
      </c>
      <c r="V1351" t="str">
        <f t="shared" si="64"/>
        <v>Normal</v>
      </c>
      <c r="W1351" t="str">
        <f t="shared" si="65"/>
        <v>Normal</v>
      </c>
    </row>
    <row r="1352" spans="1:23" x14ac:dyDescent="0.3">
      <c r="A1352">
        <v>11082</v>
      </c>
      <c r="B1352" s="2">
        <v>45993</v>
      </c>
      <c r="C1352" t="s">
        <v>49</v>
      </c>
      <c r="D1352" t="s">
        <v>64</v>
      </c>
      <c r="E1352" t="s">
        <v>40</v>
      </c>
      <c r="F1352" t="s">
        <v>41</v>
      </c>
      <c r="G1352" t="s">
        <v>42</v>
      </c>
      <c r="H1352" t="s">
        <v>85</v>
      </c>
      <c r="I1352" t="s">
        <v>337</v>
      </c>
      <c r="J1352">
        <v>1348</v>
      </c>
      <c r="K1352">
        <v>11</v>
      </c>
      <c r="L1352" t="s">
        <v>57</v>
      </c>
      <c r="M1352">
        <v>143</v>
      </c>
      <c r="N1352">
        <v>44</v>
      </c>
      <c r="O1352">
        <v>61.8</v>
      </c>
      <c r="P1352">
        <v>4.46</v>
      </c>
      <c r="Q1352">
        <v>0.78</v>
      </c>
      <c r="R1352" t="s">
        <v>133</v>
      </c>
      <c r="S1352" t="s">
        <v>424</v>
      </c>
      <c r="T1352" t="s">
        <v>30</v>
      </c>
      <c r="U1352" t="str">
        <f t="shared" si="63"/>
        <v>Normal</v>
      </c>
      <c r="V1352" t="str">
        <f t="shared" si="64"/>
        <v>Normal</v>
      </c>
      <c r="W1352" t="str">
        <f t="shared" si="65"/>
        <v>Normal</v>
      </c>
    </row>
    <row r="1353" spans="1:23" x14ac:dyDescent="0.3">
      <c r="A1353">
        <v>10529</v>
      </c>
      <c r="B1353" s="2">
        <v>45926</v>
      </c>
      <c r="C1353" t="s">
        <v>31</v>
      </c>
      <c r="D1353" t="s">
        <v>59</v>
      </c>
      <c r="E1353" t="s">
        <v>107</v>
      </c>
      <c r="F1353" t="s">
        <v>23</v>
      </c>
      <c r="G1353" t="s">
        <v>74</v>
      </c>
      <c r="H1353" t="s">
        <v>90</v>
      </c>
      <c r="I1353" t="s">
        <v>52</v>
      </c>
      <c r="J1353">
        <v>759</v>
      </c>
      <c r="K1353">
        <v>8</v>
      </c>
      <c r="L1353" t="s">
        <v>27</v>
      </c>
      <c r="M1353">
        <v>137</v>
      </c>
      <c r="N1353">
        <v>45.6</v>
      </c>
      <c r="O1353">
        <v>61.7</v>
      </c>
      <c r="P1353">
        <v>5.98</v>
      </c>
      <c r="Q1353">
        <v>5.0599999999999996</v>
      </c>
      <c r="R1353" t="s">
        <v>164</v>
      </c>
      <c r="S1353" t="s">
        <v>29</v>
      </c>
      <c r="T1353" t="s">
        <v>30</v>
      </c>
      <c r="U1353" t="str">
        <f t="shared" si="63"/>
        <v>Normal</v>
      </c>
      <c r="V1353" t="str">
        <f t="shared" si="64"/>
        <v>Normal</v>
      </c>
      <c r="W1353" t="str">
        <f t="shared" si="65"/>
        <v>Normal</v>
      </c>
    </row>
    <row r="1354" spans="1:23" x14ac:dyDescent="0.3">
      <c r="A1354">
        <v>10623</v>
      </c>
      <c r="B1354" s="2">
        <v>45946</v>
      </c>
      <c r="C1354" t="s">
        <v>31</v>
      </c>
      <c r="D1354" t="s">
        <v>64</v>
      </c>
      <c r="E1354" t="s">
        <v>107</v>
      </c>
      <c r="F1354" t="s">
        <v>41</v>
      </c>
      <c r="G1354" t="s">
        <v>134</v>
      </c>
      <c r="H1354" t="s">
        <v>169</v>
      </c>
      <c r="I1354" t="s">
        <v>364</v>
      </c>
      <c r="J1354">
        <v>656</v>
      </c>
      <c r="K1354">
        <v>20</v>
      </c>
      <c r="L1354" t="s">
        <v>71</v>
      </c>
      <c r="M1354">
        <v>100</v>
      </c>
      <c r="N1354">
        <v>52</v>
      </c>
      <c r="O1354">
        <v>61.7</v>
      </c>
      <c r="P1354">
        <v>6.29</v>
      </c>
      <c r="Q1354">
        <v>4.2699999999999996</v>
      </c>
      <c r="R1354" t="s">
        <v>28</v>
      </c>
      <c r="S1354" t="s">
        <v>29</v>
      </c>
      <c r="T1354" t="s">
        <v>48</v>
      </c>
      <c r="U1354" t="str">
        <f t="shared" si="63"/>
        <v>Normal</v>
      </c>
      <c r="V1354" t="str">
        <f t="shared" si="64"/>
        <v>Normal</v>
      </c>
      <c r="W1354" t="str">
        <f t="shared" si="65"/>
        <v>Normal</v>
      </c>
    </row>
    <row r="1355" spans="1:23" x14ac:dyDescent="0.3">
      <c r="A1355">
        <v>11146</v>
      </c>
      <c r="B1355" s="2">
        <v>45768</v>
      </c>
      <c r="C1355" t="s">
        <v>49</v>
      </c>
      <c r="D1355" t="s">
        <v>59</v>
      </c>
      <c r="E1355" t="s">
        <v>107</v>
      </c>
      <c r="F1355" t="s">
        <v>81</v>
      </c>
      <c r="G1355" t="s">
        <v>24</v>
      </c>
      <c r="H1355" t="s">
        <v>144</v>
      </c>
      <c r="I1355" t="s">
        <v>327</v>
      </c>
      <c r="J1355">
        <v>1489</v>
      </c>
      <c r="K1355">
        <v>19</v>
      </c>
      <c r="L1355" t="s">
        <v>45</v>
      </c>
      <c r="M1355">
        <v>7</v>
      </c>
      <c r="N1355">
        <v>50.3</v>
      </c>
      <c r="O1355">
        <v>61.7</v>
      </c>
      <c r="P1355">
        <v>5.86</v>
      </c>
      <c r="Q1355">
        <v>1.76</v>
      </c>
      <c r="R1355" t="s">
        <v>84</v>
      </c>
      <c r="S1355" t="s">
        <v>47</v>
      </c>
      <c r="T1355" t="s">
        <v>30</v>
      </c>
      <c r="U1355" t="str">
        <f t="shared" si="63"/>
        <v>Normal</v>
      </c>
      <c r="V1355" t="str">
        <f t="shared" si="64"/>
        <v>Normal</v>
      </c>
      <c r="W1355" t="str">
        <f t="shared" si="65"/>
        <v>Normal</v>
      </c>
    </row>
    <row r="1356" spans="1:23" x14ac:dyDescent="0.3">
      <c r="A1356">
        <v>11341</v>
      </c>
      <c r="B1356" s="2">
        <v>45771</v>
      </c>
      <c r="C1356" t="s">
        <v>20</v>
      </c>
      <c r="D1356" t="s">
        <v>64</v>
      </c>
      <c r="E1356" t="s">
        <v>40</v>
      </c>
      <c r="F1356" t="s">
        <v>41</v>
      </c>
      <c r="G1356" t="s">
        <v>50</v>
      </c>
      <c r="H1356" t="s">
        <v>51</v>
      </c>
      <c r="I1356" t="s">
        <v>357</v>
      </c>
      <c r="J1356">
        <v>1024</v>
      </c>
      <c r="K1356">
        <v>11</v>
      </c>
      <c r="L1356" t="s">
        <v>27</v>
      </c>
      <c r="M1356">
        <v>95</v>
      </c>
      <c r="N1356">
        <v>38.5</v>
      </c>
      <c r="O1356">
        <v>61.7</v>
      </c>
      <c r="P1356">
        <v>6.5</v>
      </c>
      <c r="Q1356">
        <v>4.0199999999999996</v>
      </c>
      <c r="R1356" t="s">
        <v>167</v>
      </c>
      <c r="S1356" t="s">
        <v>29</v>
      </c>
      <c r="T1356" t="s">
        <v>30</v>
      </c>
      <c r="U1356" t="str">
        <f t="shared" si="63"/>
        <v>Normal</v>
      </c>
      <c r="V1356" t="str">
        <f t="shared" si="64"/>
        <v>Normal</v>
      </c>
      <c r="W1356" t="str">
        <f t="shared" si="65"/>
        <v>Normal</v>
      </c>
    </row>
    <row r="1357" spans="1:23" x14ac:dyDescent="0.3">
      <c r="A1357">
        <v>10884</v>
      </c>
      <c r="B1357" s="2">
        <v>45816</v>
      </c>
      <c r="C1357" t="s">
        <v>20</v>
      </c>
      <c r="D1357" t="s">
        <v>32</v>
      </c>
      <c r="E1357" t="s">
        <v>22</v>
      </c>
      <c r="F1357" t="s">
        <v>81</v>
      </c>
      <c r="G1357" t="s">
        <v>95</v>
      </c>
      <c r="H1357" t="s">
        <v>141</v>
      </c>
      <c r="I1357" t="s">
        <v>269</v>
      </c>
      <c r="J1357">
        <v>1568</v>
      </c>
      <c r="K1357">
        <v>22</v>
      </c>
      <c r="L1357" t="s">
        <v>57</v>
      </c>
      <c r="M1357">
        <v>61</v>
      </c>
      <c r="N1357">
        <v>54.7</v>
      </c>
      <c r="O1357">
        <v>61.7</v>
      </c>
      <c r="P1357">
        <v>5.4</v>
      </c>
      <c r="Q1357">
        <v>2.9</v>
      </c>
      <c r="R1357" t="s">
        <v>232</v>
      </c>
      <c r="S1357" t="s">
        <v>39</v>
      </c>
      <c r="T1357" t="s">
        <v>30</v>
      </c>
      <c r="U1357" t="str">
        <f t="shared" si="63"/>
        <v>Normal</v>
      </c>
      <c r="V1357" t="str">
        <f t="shared" si="64"/>
        <v>Normal</v>
      </c>
      <c r="W1357" t="str">
        <f t="shared" si="65"/>
        <v>Normal</v>
      </c>
    </row>
    <row r="1358" spans="1:23" x14ac:dyDescent="0.3">
      <c r="A1358">
        <v>11395</v>
      </c>
      <c r="B1358" s="2">
        <v>45736</v>
      </c>
      <c r="C1358" t="s">
        <v>49</v>
      </c>
      <c r="D1358" t="s">
        <v>21</v>
      </c>
      <c r="E1358" t="s">
        <v>33</v>
      </c>
      <c r="F1358" t="s">
        <v>23</v>
      </c>
      <c r="G1358" t="s">
        <v>24</v>
      </c>
      <c r="H1358" t="s">
        <v>35</v>
      </c>
      <c r="I1358" t="s">
        <v>166</v>
      </c>
      <c r="J1358">
        <v>543</v>
      </c>
      <c r="K1358">
        <v>7</v>
      </c>
      <c r="L1358" t="s">
        <v>57</v>
      </c>
      <c r="M1358">
        <v>125</v>
      </c>
      <c r="N1358">
        <v>47.9</v>
      </c>
      <c r="O1358">
        <v>61.6</v>
      </c>
      <c r="P1358">
        <v>4.2699999999999996</v>
      </c>
      <c r="Q1358">
        <v>1.21</v>
      </c>
      <c r="R1358" t="s">
        <v>63</v>
      </c>
      <c r="S1358" t="s">
        <v>47</v>
      </c>
      <c r="T1358" t="s">
        <v>30</v>
      </c>
      <c r="U1358" t="str">
        <f t="shared" si="63"/>
        <v>Normal</v>
      </c>
      <c r="V1358" t="str">
        <f t="shared" si="64"/>
        <v>Normal</v>
      </c>
      <c r="W1358" t="str">
        <f t="shared" si="65"/>
        <v>Normal</v>
      </c>
    </row>
    <row r="1359" spans="1:23" x14ac:dyDescent="0.3">
      <c r="A1359">
        <v>10875</v>
      </c>
      <c r="B1359" s="2">
        <v>45954</v>
      </c>
      <c r="C1359" t="s">
        <v>49</v>
      </c>
      <c r="D1359" t="s">
        <v>64</v>
      </c>
      <c r="E1359" t="s">
        <v>22</v>
      </c>
      <c r="F1359" t="s">
        <v>41</v>
      </c>
      <c r="G1359" t="s">
        <v>74</v>
      </c>
      <c r="H1359" t="s">
        <v>78</v>
      </c>
      <c r="I1359" t="s">
        <v>316</v>
      </c>
      <c r="J1359">
        <v>781</v>
      </c>
      <c r="K1359">
        <v>25</v>
      </c>
      <c r="L1359" t="s">
        <v>37</v>
      </c>
      <c r="M1359">
        <v>101</v>
      </c>
      <c r="N1359">
        <v>38.799999999999997</v>
      </c>
      <c r="O1359">
        <v>61.6</v>
      </c>
      <c r="P1359">
        <v>6.1</v>
      </c>
      <c r="Q1359">
        <v>4.5599999999999996</v>
      </c>
      <c r="R1359" t="s">
        <v>229</v>
      </c>
      <c r="S1359" t="s">
        <v>73</v>
      </c>
      <c r="T1359" t="s">
        <v>48</v>
      </c>
      <c r="U1359" t="str">
        <f t="shared" si="63"/>
        <v>Normal</v>
      </c>
      <c r="V1359" t="str">
        <f t="shared" si="64"/>
        <v>Normal</v>
      </c>
      <c r="W1359" t="str">
        <f t="shared" si="65"/>
        <v>Normal</v>
      </c>
    </row>
    <row r="1360" spans="1:23" x14ac:dyDescent="0.3">
      <c r="A1360">
        <v>10853</v>
      </c>
      <c r="B1360" s="2">
        <v>46016</v>
      </c>
      <c r="C1360" t="s">
        <v>31</v>
      </c>
      <c r="D1360" t="s">
        <v>32</v>
      </c>
      <c r="E1360" t="s">
        <v>22</v>
      </c>
      <c r="F1360" t="s">
        <v>41</v>
      </c>
      <c r="G1360" t="s">
        <v>24</v>
      </c>
      <c r="H1360" t="s">
        <v>126</v>
      </c>
      <c r="I1360" t="s">
        <v>366</v>
      </c>
      <c r="J1360">
        <v>1345</v>
      </c>
      <c r="K1360">
        <v>9</v>
      </c>
      <c r="L1360" t="s">
        <v>37</v>
      </c>
      <c r="M1360">
        <v>89</v>
      </c>
      <c r="N1360">
        <v>43.3</v>
      </c>
      <c r="O1360">
        <v>61.6</v>
      </c>
      <c r="P1360">
        <v>5.74</v>
      </c>
      <c r="Q1360">
        <v>2.39</v>
      </c>
      <c r="R1360" t="s">
        <v>103</v>
      </c>
      <c r="S1360" t="s">
        <v>73</v>
      </c>
      <c r="T1360" t="s">
        <v>30</v>
      </c>
      <c r="U1360" t="str">
        <f t="shared" si="63"/>
        <v>Normal</v>
      </c>
      <c r="V1360" t="str">
        <f t="shared" si="64"/>
        <v>Normal</v>
      </c>
      <c r="W1360" t="str">
        <f t="shared" si="65"/>
        <v>Normal</v>
      </c>
    </row>
    <row r="1361" spans="1:23" x14ac:dyDescent="0.3">
      <c r="A1361">
        <v>10111</v>
      </c>
      <c r="B1361" s="2">
        <v>45795</v>
      </c>
      <c r="C1361" t="s">
        <v>49</v>
      </c>
      <c r="D1361" t="s">
        <v>32</v>
      </c>
      <c r="E1361" t="s">
        <v>22</v>
      </c>
      <c r="F1361" t="s">
        <v>41</v>
      </c>
      <c r="G1361" t="s">
        <v>74</v>
      </c>
      <c r="H1361" t="s">
        <v>90</v>
      </c>
      <c r="I1361" t="s">
        <v>256</v>
      </c>
      <c r="J1361">
        <v>573</v>
      </c>
      <c r="K1361">
        <v>4</v>
      </c>
      <c r="L1361" t="s">
        <v>27</v>
      </c>
      <c r="M1361">
        <v>85</v>
      </c>
      <c r="N1361">
        <v>37.9</v>
      </c>
      <c r="O1361">
        <v>61.6</v>
      </c>
      <c r="P1361">
        <v>4.08</v>
      </c>
      <c r="Q1361">
        <v>0.28999999999999998</v>
      </c>
      <c r="R1361" t="s">
        <v>105</v>
      </c>
      <c r="S1361" t="s">
        <v>29</v>
      </c>
      <c r="T1361" t="s">
        <v>30</v>
      </c>
      <c r="U1361" t="str">
        <f t="shared" si="63"/>
        <v>Normal</v>
      </c>
      <c r="V1361" t="str">
        <f t="shared" si="64"/>
        <v>Normal</v>
      </c>
      <c r="W1361" t="str">
        <f t="shared" si="65"/>
        <v>Normal</v>
      </c>
    </row>
    <row r="1362" spans="1:23" x14ac:dyDescent="0.3">
      <c r="A1362">
        <v>10385</v>
      </c>
      <c r="B1362" s="2">
        <v>45796</v>
      </c>
      <c r="C1362" t="s">
        <v>20</v>
      </c>
      <c r="D1362" t="s">
        <v>32</v>
      </c>
      <c r="E1362" t="s">
        <v>107</v>
      </c>
      <c r="F1362" t="s">
        <v>41</v>
      </c>
      <c r="G1362" t="s">
        <v>42</v>
      </c>
      <c r="H1362" t="s">
        <v>138</v>
      </c>
      <c r="I1362" t="s">
        <v>221</v>
      </c>
      <c r="J1362">
        <v>502</v>
      </c>
      <c r="K1362">
        <v>3</v>
      </c>
      <c r="L1362" t="s">
        <v>57</v>
      </c>
      <c r="M1362">
        <v>102</v>
      </c>
      <c r="N1362">
        <v>39.5</v>
      </c>
      <c r="O1362">
        <v>61.6</v>
      </c>
      <c r="P1362">
        <v>6.94</v>
      </c>
      <c r="Q1362">
        <v>1.56</v>
      </c>
      <c r="R1362" t="s">
        <v>216</v>
      </c>
      <c r="S1362" t="s">
        <v>424</v>
      </c>
      <c r="T1362" t="s">
        <v>30</v>
      </c>
      <c r="U1362" t="str">
        <f t="shared" si="63"/>
        <v>Normal</v>
      </c>
      <c r="V1362" t="str">
        <f t="shared" si="64"/>
        <v>Normal</v>
      </c>
      <c r="W1362" t="str">
        <f t="shared" si="65"/>
        <v>Normal</v>
      </c>
    </row>
    <row r="1363" spans="1:23" x14ac:dyDescent="0.3">
      <c r="A1363">
        <v>10655</v>
      </c>
      <c r="B1363" s="2">
        <v>45741</v>
      </c>
      <c r="C1363" t="s">
        <v>20</v>
      </c>
      <c r="D1363" t="s">
        <v>64</v>
      </c>
      <c r="E1363" t="s">
        <v>40</v>
      </c>
      <c r="F1363" t="s">
        <v>41</v>
      </c>
      <c r="G1363" t="s">
        <v>60</v>
      </c>
      <c r="H1363" t="s">
        <v>169</v>
      </c>
      <c r="I1363" t="s">
        <v>347</v>
      </c>
      <c r="J1363">
        <v>1315</v>
      </c>
      <c r="K1363">
        <v>9</v>
      </c>
      <c r="L1363" t="s">
        <v>57</v>
      </c>
      <c r="M1363">
        <v>141</v>
      </c>
      <c r="N1363">
        <v>50.2</v>
      </c>
      <c r="O1363">
        <v>61.5</v>
      </c>
      <c r="P1363">
        <v>5.63</v>
      </c>
      <c r="Q1363">
        <v>0.96</v>
      </c>
      <c r="R1363" t="s">
        <v>28</v>
      </c>
      <c r="S1363" t="s">
        <v>47</v>
      </c>
      <c r="T1363" t="s">
        <v>30</v>
      </c>
      <c r="U1363" t="str">
        <f t="shared" si="63"/>
        <v>Normal</v>
      </c>
      <c r="V1363" t="str">
        <f t="shared" si="64"/>
        <v>Normal</v>
      </c>
      <c r="W1363" t="str">
        <f t="shared" si="65"/>
        <v>Normal</v>
      </c>
    </row>
    <row r="1364" spans="1:23" x14ac:dyDescent="0.3">
      <c r="A1364">
        <v>11454</v>
      </c>
      <c r="B1364" s="2">
        <v>45889</v>
      </c>
      <c r="C1364" t="s">
        <v>31</v>
      </c>
      <c r="D1364" t="s">
        <v>21</v>
      </c>
      <c r="E1364" t="s">
        <v>33</v>
      </c>
      <c r="F1364" t="s">
        <v>81</v>
      </c>
      <c r="G1364" t="s">
        <v>50</v>
      </c>
      <c r="H1364" t="s">
        <v>82</v>
      </c>
      <c r="I1364" t="s">
        <v>218</v>
      </c>
      <c r="J1364">
        <v>695</v>
      </c>
      <c r="K1364">
        <v>45</v>
      </c>
      <c r="L1364" t="s">
        <v>68</v>
      </c>
      <c r="M1364">
        <v>69</v>
      </c>
      <c r="N1364">
        <v>34</v>
      </c>
      <c r="O1364">
        <v>61.5</v>
      </c>
      <c r="P1364">
        <v>4.47</v>
      </c>
      <c r="Q1364">
        <v>3.18</v>
      </c>
      <c r="R1364" t="s">
        <v>267</v>
      </c>
      <c r="S1364" t="s">
        <v>73</v>
      </c>
      <c r="T1364" t="s">
        <v>48</v>
      </c>
      <c r="U1364" t="str">
        <f t="shared" si="63"/>
        <v>Normal</v>
      </c>
      <c r="V1364" t="str">
        <f t="shared" si="64"/>
        <v>Normal</v>
      </c>
      <c r="W1364" t="str">
        <f t="shared" si="65"/>
        <v>Normal</v>
      </c>
    </row>
    <row r="1365" spans="1:23" x14ac:dyDescent="0.3">
      <c r="A1365">
        <v>10265</v>
      </c>
      <c r="B1365" s="2">
        <v>46011</v>
      </c>
      <c r="C1365" t="s">
        <v>20</v>
      </c>
      <c r="D1365" t="s">
        <v>21</v>
      </c>
      <c r="E1365" t="s">
        <v>107</v>
      </c>
      <c r="F1365" t="s">
        <v>23</v>
      </c>
      <c r="G1365" t="s">
        <v>89</v>
      </c>
      <c r="H1365" t="s">
        <v>196</v>
      </c>
      <c r="I1365" t="s">
        <v>266</v>
      </c>
      <c r="J1365">
        <v>1011</v>
      </c>
      <c r="K1365">
        <v>22</v>
      </c>
      <c r="L1365" t="s">
        <v>45</v>
      </c>
      <c r="M1365">
        <v>38</v>
      </c>
      <c r="N1365">
        <v>31.9</v>
      </c>
      <c r="O1365">
        <v>61.5</v>
      </c>
      <c r="P1365">
        <v>5.42</v>
      </c>
      <c r="Q1365">
        <v>0.45</v>
      </c>
      <c r="R1365" t="s">
        <v>267</v>
      </c>
      <c r="S1365" t="s">
        <v>73</v>
      </c>
      <c r="T1365" t="s">
        <v>30</v>
      </c>
      <c r="U1365" t="str">
        <f t="shared" si="63"/>
        <v>Normal</v>
      </c>
      <c r="V1365" t="str">
        <f t="shared" si="64"/>
        <v>Normal</v>
      </c>
      <c r="W1365" t="str">
        <f t="shared" si="65"/>
        <v>Normal</v>
      </c>
    </row>
    <row r="1366" spans="1:23" x14ac:dyDescent="0.3">
      <c r="A1366">
        <v>11413</v>
      </c>
      <c r="B1366" s="2">
        <v>45722</v>
      </c>
      <c r="C1366" t="s">
        <v>20</v>
      </c>
      <c r="D1366" t="s">
        <v>59</v>
      </c>
      <c r="E1366" t="s">
        <v>40</v>
      </c>
      <c r="F1366" t="s">
        <v>41</v>
      </c>
      <c r="G1366" t="s">
        <v>89</v>
      </c>
      <c r="H1366" t="s">
        <v>138</v>
      </c>
      <c r="I1366" t="s">
        <v>282</v>
      </c>
      <c r="J1366">
        <v>1156</v>
      </c>
      <c r="K1366">
        <v>9</v>
      </c>
      <c r="L1366" t="s">
        <v>45</v>
      </c>
      <c r="M1366">
        <v>150</v>
      </c>
      <c r="N1366">
        <v>54</v>
      </c>
      <c r="O1366">
        <v>61.5</v>
      </c>
      <c r="P1366">
        <v>5.09</v>
      </c>
      <c r="Q1366">
        <v>4.3099999999999996</v>
      </c>
      <c r="R1366" t="s">
        <v>80</v>
      </c>
      <c r="S1366" t="s">
        <v>47</v>
      </c>
      <c r="T1366" t="s">
        <v>30</v>
      </c>
      <c r="U1366" t="str">
        <f t="shared" si="63"/>
        <v>Normal</v>
      </c>
      <c r="V1366" t="str">
        <f t="shared" si="64"/>
        <v>Normal</v>
      </c>
      <c r="W1366" t="str">
        <f t="shared" si="65"/>
        <v>Normal</v>
      </c>
    </row>
    <row r="1367" spans="1:23" x14ac:dyDescent="0.3">
      <c r="A1367">
        <v>11305</v>
      </c>
      <c r="B1367" s="2">
        <v>45989</v>
      </c>
      <c r="C1367" t="s">
        <v>49</v>
      </c>
      <c r="D1367" t="s">
        <v>64</v>
      </c>
      <c r="E1367" t="s">
        <v>22</v>
      </c>
      <c r="F1367" t="s">
        <v>41</v>
      </c>
      <c r="G1367" t="s">
        <v>54</v>
      </c>
      <c r="H1367" t="s">
        <v>69</v>
      </c>
      <c r="I1367" t="s">
        <v>115</v>
      </c>
      <c r="J1367">
        <v>1422</v>
      </c>
      <c r="K1367">
        <v>21</v>
      </c>
      <c r="L1367" t="s">
        <v>68</v>
      </c>
      <c r="M1367">
        <v>13</v>
      </c>
      <c r="N1367">
        <v>41.5</v>
      </c>
      <c r="O1367">
        <v>61.4</v>
      </c>
      <c r="P1367">
        <v>4.9800000000000004</v>
      </c>
      <c r="Q1367">
        <v>3.49</v>
      </c>
      <c r="R1367" t="s">
        <v>184</v>
      </c>
      <c r="S1367" t="s">
        <v>29</v>
      </c>
      <c r="T1367" t="s">
        <v>30</v>
      </c>
      <c r="U1367" t="str">
        <f t="shared" si="63"/>
        <v>Normal</v>
      </c>
      <c r="V1367" t="str">
        <f t="shared" si="64"/>
        <v>Normal</v>
      </c>
      <c r="W1367" t="str">
        <f t="shared" si="65"/>
        <v>Normal</v>
      </c>
    </row>
    <row r="1368" spans="1:23" x14ac:dyDescent="0.3">
      <c r="A1368">
        <v>11466</v>
      </c>
      <c r="B1368" s="2">
        <v>45918</v>
      </c>
      <c r="C1368" t="s">
        <v>31</v>
      </c>
      <c r="D1368" t="s">
        <v>32</v>
      </c>
      <c r="E1368" t="s">
        <v>33</v>
      </c>
      <c r="F1368" t="s">
        <v>23</v>
      </c>
      <c r="G1368" t="s">
        <v>50</v>
      </c>
      <c r="H1368" t="s">
        <v>138</v>
      </c>
      <c r="I1368" t="s">
        <v>373</v>
      </c>
      <c r="J1368">
        <v>647</v>
      </c>
      <c r="K1368">
        <v>21</v>
      </c>
      <c r="L1368" t="s">
        <v>71</v>
      </c>
      <c r="M1368">
        <v>73</v>
      </c>
      <c r="N1368">
        <v>48.5</v>
      </c>
      <c r="O1368">
        <v>61.4</v>
      </c>
      <c r="P1368">
        <v>5.85</v>
      </c>
      <c r="Q1368">
        <v>0.57999999999999996</v>
      </c>
      <c r="R1368" t="s">
        <v>87</v>
      </c>
      <c r="S1368" t="s">
        <v>47</v>
      </c>
      <c r="T1368" t="s">
        <v>48</v>
      </c>
      <c r="U1368" t="str">
        <f t="shared" si="63"/>
        <v>Normal</v>
      </c>
      <c r="V1368" t="str">
        <f t="shared" si="64"/>
        <v>Normal</v>
      </c>
      <c r="W1368" t="str">
        <f t="shared" si="65"/>
        <v>Normal</v>
      </c>
    </row>
    <row r="1369" spans="1:23" x14ac:dyDescent="0.3">
      <c r="A1369">
        <v>10858</v>
      </c>
      <c r="B1369" s="2">
        <v>45837</v>
      </c>
      <c r="C1369" t="s">
        <v>49</v>
      </c>
      <c r="D1369" t="s">
        <v>64</v>
      </c>
      <c r="E1369" t="s">
        <v>22</v>
      </c>
      <c r="F1369" t="s">
        <v>23</v>
      </c>
      <c r="G1369" t="s">
        <v>113</v>
      </c>
      <c r="H1369" t="s">
        <v>200</v>
      </c>
      <c r="I1369" t="s">
        <v>260</v>
      </c>
      <c r="J1369">
        <v>887</v>
      </c>
      <c r="K1369">
        <v>29</v>
      </c>
      <c r="L1369" t="s">
        <v>27</v>
      </c>
      <c r="M1369">
        <v>104</v>
      </c>
      <c r="N1369">
        <v>38</v>
      </c>
      <c r="O1369">
        <v>61.4</v>
      </c>
      <c r="P1369">
        <v>4.72</v>
      </c>
      <c r="Q1369">
        <v>3.04</v>
      </c>
      <c r="R1369" t="s">
        <v>167</v>
      </c>
      <c r="S1369" t="s">
        <v>47</v>
      </c>
      <c r="T1369" t="s">
        <v>48</v>
      </c>
      <c r="U1369" t="str">
        <f t="shared" si="63"/>
        <v>Normal</v>
      </c>
      <c r="V1369" t="str">
        <f t="shared" si="64"/>
        <v>Normal</v>
      </c>
      <c r="W1369" t="str">
        <f t="shared" si="65"/>
        <v>Normal</v>
      </c>
    </row>
    <row r="1370" spans="1:23" x14ac:dyDescent="0.3">
      <c r="A1370">
        <v>11491</v>
      </c>
      <c r="B1370" s="2">
        <v>45740</v>
      </c>
      <c r="C1370" t="s">
        <v>20</v>
      </c>
      <c r="D1370" t="s">
        <v>64</v>
      </c>
      <c r="E1370" t="s">
        <v>22</v>
      </c>
      <c r="F1370" t="s">
        <v>41</v>
      </c>
      <c r="G1370" t="s">
        <v>109</v>
      </c>
      <c r="H1370" t="s">
        <v>141</v>
      </c>
      <c r="I1370" t="s">
        <v>293</v>
      </c>
      <c r="J1370">
        <v>1118</v>
      </c>
      <c r="K1370">
        <v>13</v>
      </c>
      <c r="L1370" t="s">
        <v>57</v>
      </c>
      <c r="M1370">
        <v>92</v>
      </c>
      <c r="N1370">
        <v>40.9</v>
      </c>
      <c r="O1370">
        <v>61.3</v>
      </c>
      <c r="P1370">
        <v>5.89</v>
      </c>
      <c r="Q1370">
        <v>3.15</v>
      </c>
      <c r="R1370" t="s">
        <v>105</v>
      </c>
      <c r="S1370" t="s">
        <v>73</v>
      </c>
      <c r="T1370" t="s">
        <v>30</v>
      </c>
      <c r="U1370" t="str">
        <f t="shared" si="63"/>
        <v>Normal</v>
      </c>
      <c r="V1370" t="str">
        <f t="shared" si="64"/>
        <v>Normal</v>
      </c>
      <c r="W1370" t="str">
        <f t="shared" si="65"/>
        <v>Normal</v>
      </c>
    </row>
    <row r="1371" spans="1:23" x14ac:dyDescent="0.3">
      <c r="A1371">
        <v>11035</v>
      </c>
      <c r="B1371" s="2">
        <v>45817</v>
      </c>
      <c r="C1371" t="s">
        <v>49</v>
      </c>
      <c r="D1371" t="s">
        <v>64</v>
      </c>
      <c r="E1371" t="s">
        <v>22</v>
      </c>
      <c r="F1371" t="s">
        <v>41</v>
      </c>
      <c r="G1371" t="s">
        <v>134</v>
      </c>
      <c r="H1371" t="s">
        <v>177</v>
      </c>
      <c r="I1371" t="s">
        <v>333</v>
      </c>
      <c r="J1371">
        <v>1341</v>
      </c>
      <c r="K1371">
        <v>51</v>
      </c>
      <c r="L1371" t="s">
        <v>57</v>
      </c>
      <c r="M1371">
        <v>144</v>
      </c>
      <c r="N1371">
        <v>38.4</v>
      </c>
      <c r="O1371">
        <v>61.3</v>
      </c>
      <c r="P1371">
        <v>3.85</v>
      </c>
      <c r="Q1371">
        <v>4.25</v>
      </c>
      <c r="R1371" t="s">
        <v>72</v>
      </c>
      <c r="S1371" t="s">
        <v>73</v>
      </c>
      <c r="T1371" t="s">
        <v>48</v>
      </c>
      <c r="U1371" t="str">
        <f t="shared" si="63"/>
        <v>Normal</v>
      </c>
      <c r="V1371" t="str">
        <f t="shared" si="64"/>
        <v>Normal</v>
      </c>
      <c r="W1371" t="str">
        <f t="shared" si="65"/>
        <v>Normal</v>
      </c>
    </row>
    <row r="1372" spans="1:23" x14ac:dyDescent="0.3">
      <c r="A1372">
        <v>11457</v>
      </c>
      <c r="B1372" s="2">
        <v>45833</v>
      </c>
      <c r="C1372" t="s">
        <v>31</v>
      </c>
      <c r="D1372" t="s">
        <v>21</v>
      </c>
      <c r="E1372" t="s">
        <v>22</v>
      </c>
      <c r="F1372" t="s">
        <v>23</v>
      </c>
      <c r="G1372" t="s">
        <v>54</v>
      </c>
      <c r="H1372" t="s">
        <v>35</v>
      </c>
      <c r="I1372" t="s">
        <v>206</v>
      </c>
      <c r="J1372">
        <v>1521</v>
      </c>
      <c r="K1372">
        <v>4</v>
      </c>
      <c r="L1372" t="s">
        <v>68</v>
      </c>
      <c r="M1372">
        <v>72</v>
      </c>
      <c r="N1372">
        <v>53</v>
      </c>
      <c r="O1372">
        <v>61.3</v>
      </c>
      <c r="P1372">
        <v>4.75</v>
      </c>
      <c r="Q1372">
        <v>2.92</v>
      </c>
      <c r="R1372" t="s">
        <v>143</v>
      </c>
      <c r="S1372" t="s">
        <v>29</v>
      </c>
      <c r="T1372" t="s">
        <v>30</v>
      </c>
      <c r="U1372" t="str">
        <f t="shared" si="63"/>
        <v>Normal</v>
      </c>
      <c r="V1372" t="str">
        <f t="shared" si="64"/>
        <v>Normal</v>
      </c>
      <c r="W1372" t="str">
        <f t="shared" si="65"/>
        <v>Normal</v>
      </c>
    </row>
    <row r="1373" spans="1:23" x14ac:dyDescent="0.3">
      <c r="A1373">
        <v>10361</v>
      </c>
      <c r="B1373" s="2">
        <v>45695</v>
      </c>
      <c r="C1373" t="s">
        <v>20</v>
      </c>
      <c r="D1373" t="s">
        <v>64</v>
      </c>
      <c r="E1373" t="s">
        <v>22</v>
      </c>
      <c r="F1373" t="s">
        <v>41</v>
      </c>
      <c r="G1373" t="s">
        <v>54</v>
      </c>
      <c r="H1373" t="s">
        <v>265</v>
      </c>
      <c r="I1373" t="s">
        <v>359</v>
      </c>
      <c r="J1373">
        <v>1084</v>
      </c>
      <c r="K1373">
        <v>13</v>
      </c>
      <c r="L1373" t="s">
        <v>57</v>
      </c>
      <c r="M1373">
        <v>83</v>
      </c>
      <c r="N1373">
        <v>39.700000000000003</v>
      </c>
      <c r="O1373">
        <v>61.3</v>
      </c>
      <c r="P1373">
        <v>5.79</v>
      </c>
      <c r="Q1373">
        <v>2.57</v>
      </c>
      <c r="R1373" t="s">
        <v>184</v>
      </c>
      <c r="S1373" t="s">
        <v>39</v>
      </c>
      <c r="T1373" t="s">
        <v>30</v>
      </c>
      <c r="U1373" t="str">
        <f t="shared" si="63"/>
        <v>Normal</v>
      </c>
      <c r="V1373" t="str">
        <f t="shared" si="64"/>
        <v>Normal</v>
      </c>
      <c r="W1373" t="str">
        <f t="shared" si="65"/>
        <v>Normal</v>
      </c>
    </row>
    <row r="1374" spans="1:23" x14ac:dyDescent="0.3">
      <c r="A1374">
        <v>11422</v>
      </c>
      <c r="B1374" s="2">
        <v>45745</v>
      </c>
      <c r="C1374" t="s">
        <v>20</v>
      </c>
      <c r="D1374" t="s">
        <v>21</v>
      </c>
      <c r="E1374" t="s">
        <v>40</v>
      </c>
      <c r="F1374" t="s">
        <v>81</v>
      </c>
      <c r="G1374" t="s">
        <v>113</v>
      </c>
      <c r="H1374" t="s">
        <v>35</v>
      </c>
      <c r="I1374" t="s">
        <v>304</v>
      </c>
      <c r="J1374">
        <v>1372</v>
      </c>
      <c r="K1374">
        <v>4</v>
      </c>
      <c r="L1374" t="s">
        <v>71</v>
      </c>
      <c r="M1374">
        <v>79</v>
      </c>
      <c r="N1374">
        <v>47.3</v>
      </c>
      <c r="O1374">
        <v>61.3</v>
      </c>
      <c r="P1374">
        <v>7.03</v>
      </c>
      <c r="Q1374">
        <v>3.7</v>
      </c>
      <c r="R1374" t="s">
        <v>222</v>
      </c>
      <c r="S1374" t="s">
        <v>47</v>
      </c>
      <c r="T1374" t="s">
        <v>30</v>
      </c>
      <c r="U1374" t="str">
        <f t="shared" si="63"/>
        <v>Normal</v>
      </c>
      <c r="V1374" t="str">
        <f t="shared" si="64"/>
        <v>Normal</v>
      </c>
      <c r="W1374" t="str">
        <f t="shared" si="65"/>
        <v>Normal</v>
      </c>
    </row>
    <row r="1375" spans="1:23" x14ac:dyDescent="0.3">
      <c r="A1375">
        <v>10688</v>
      </c>
      <c r="B1375" s="2">
        <v>45732</v>
      </c>
      <c r="C1375" t="s">
        <v>31</v>
      </c>
      <c r="D1375" t="s">
        <v>21</v>
      </c>
      <c r="E1375" t="s">
        <v>40</v>
      </c>
      <c r="F1375" t="s">
        <v>23</v>
      </c>
      <c r="G1375" t="s">
        <v>95</v>
      </c>
      <c r="H1375" t="s">
        <v>120</v>
      </c>
      <c r="I1375" t="s">
        <v>110</v>
      </c>
      <c r="J1375">
        <v>1366</v>
      </c>
      <c r="K1375">
        <v>22</v>
      </c>
      <c r="L1375" t="s">
        <v>45</v>
      </c>
      <c r="M1375">
        <v>171</v>
      </c>
      <c r="N1375">
        <v>45.2</v>
      </c>
      <c r="O1375">
        <v>61.3</v>
      </c>
      <c r="P1375">
        <v>4.67</v>
      </c>
      <c r="Q1375">
        <v>4.0599999999999996</v>
      </c>
      <c r="R1375" t="s">
        <v>243</v>
      </c>
      <c r="S1375" t="s">
        <v>39</v>
      </c>
      <c r="T1375" t="s">
        <v>30</v>
      </c>
      <c r="U1375" t="str">
        <f t="shared" si="63"/>
        <v>Normal</v>
      </c>
      <c r="V1375" t="str">
        <f t="shared" si="64"/>
        <v>Normal</v>
      </c>
      <c r="W1375" t="str">
        <f t="shared" si="65"/>
        <v>Normal</v>
      </c>
    </row>
    <row r="1376" spans="1:23" x14ac:dyDescent="0.3">
      <c r="A1376">
        <v>10318</v>
      </c>
      <c r="B1376" s="2">
        <v>45889</v>
      </c>
      <c r="C1376" t="s">
        <v>20</v>
      </c>
      <c r="D1376" t="s">
        <v>21</v>
      </c>
      <c r="E1376" t="s">
        <v>33</v>
      </c>
      <c r="F1376" t="s">
        <v>23</v>
      </c>
      <c r="G1376" t="s">
        <v>74</v>
      </c>
      <c r="H1376" t="s">
        <v>85</v>
      </c>
      <c r="I1376" t="s">
        <v>334</v>
      </c>
      <c r="J1376">
        <v>951</v>
      </c>
      <c r="K1376">
        <v>4</v>
      </c>
      <c r="L1376" t="s">
        <v>45</v>
      </c>
      <c r="M1376">
        <v>121</v>
      </c>
      <c r="N1376">
        <v>33.9</v>
      </c>
      <c r="O1376">
        <v>61.3</v>
      </c>
      <c r="P1376">
        <v>3.96</v>
      </c>
      <c r="Q1376">
        <v>3.53</v>
      </c>
      <c r="R1376" t="s">
        <v>103</v>
      </c>
      <c r="S1376" t="s">
        <v>73</v>
      </c>
      <c r="T1376" t="s">
        <v>30</v>
      </c>
      <c r="U1376" t="str">
        <f t="shared" si="63"/>
        <v>Normal</v>
      </c>
      <c r="V1376" t="str">
        <f t="shared" si="64"/>
        <v>Normal</v>
      </c>
      <c r="W1376" t="str">
        <f t="shared" si="65"/>
        <v>Normal</v>
      </c>
    </row>
    <row r="1377" spans="1:23" x14ac:dyDescent="0.3">
      <c r="A1377">
        <v>11153</v>
      </c>
      <c r="B1377" s="2">
        <v>45780</v>
      </c>
      <c r="C1377" t="s">
        <v>31</v>
      </c>
      <c r="D1377" t="s">
        <v>21</v>
      </c>
      <c r="E1377" t="s">
        <v>40</v>
      </c>
      <c r="F1377" t="s">
        <v>81</v>
      </c>
      <c r="G1377" t="s">
        <v>34</v>
      </c>
      <c r="H1377" t="s">
        <v>138</v>
      </c>
      <c r="I1377" t="s">
        <v>344</v>
      </c>
      <c r="J1377">
        <v>1364</v>
      </c>
      <c r="K1377">
        <v>47</v>
      </c>
      <c r="L1377" t="s">
        <v>57</v>
      </c>
      <c r="M1377">
        <v>33</v>
      </c>
      <c r="N1377">
        <v>35.299999999999997</v>
      </c>
      <c r="O1377">
        <v>61.2</v>
      </c>
      <c r="P1377">
        <v>4.51</v>
      </c>
      <c r="Q1377">
        <v>3.42</v>
      </c>
      <c r="R1377" t="s">
        <v>105</v>
      </c>
      <c r="S1377" t="s">
        <v>29</v>
      </c>
      <c r="T1377" t="s">
        <v>48</v>
      </c>
      <c r="U1377" t="str">
        <f t="shared" si="63"/>
        <v>Normal</v>
      </c>
      <c r="V1377" t="str">
        <f t="shared" si="64"/>
        <v>Normal</v>
      </c>
      <c r="W1377" t="str">
        <f t="shared" si="65"/>
        <v>Normal</v>
      </c>
    </row>
    <row r="1378" spans="1:23" x14ac:dyDescent="0.3">
      <c r="A1378">
        <v>10499</v>
      </c>
      <c r="B1378" s="2">
        <v>45770</v>
      </c>
      <c r="C1378" t="s">
        <v>20</v>
      </c>
      <c r="D1378" t="s">
        <v>59</v>
      </c>
      <c r="E1378" t="s">
        <v>22</v>
      </c>
      <c r="F1378" t="s">
        <v>23</v>
      </c>
      <c r="G1378" t="s">
        <v>54</v>
      </c>
      <c r="H1378" t="s">
        <v>165</v>
      </c>
      <c r="I1378" t="s">
        <v>118</v>
      </c>
      <c r="J1378">
        <v>1020</v>
      </c>
      <c r="K1378">
        <v>4</v>
      </c>
      <c r="L1378" t="s">
        <v>57</v>
      </c>
      <c r="M1378">
        <v>112</v>
      </c>
      <c r="N1378">
        <v>28.5</v>
      </c>
      <c r="O1378">
        <v>61.1</v>
      </c>
      <c r="P1378">
        <v>4.88</v>
      </c>
      <c r="Q1378">
        <v>1.46</v>
      </c>
      <c r="R1378" t="s">
        <v>140</v>
      </c>
      <c r="S1378" t="s">
        <v>39</v>
      </c>
      <c r="T1378" t="s">
        <v>30</v>
      </c>
      <c r="U1378" t="str">
        <f t="shared" si="63"/>
        <v>Normal</v>
      </c>
      <c r="V1378" t="str">
        <f t="shared" si="64"/>
        <v>Normal</v>
      </c>
      <c r="W1378" t="str">
        <f t="shared" si="65"/>
        <v>Normal</v>
      </c>
    </row>
    <row r="1379" spans="1:23" x14ac:dyDescent="0.3">
      <c r="A1379">
        <v>10509</v>
      </c>
      <c r="B1379" s="2">
        <v>45691</v>
      </c>
      <c r="C1379" t="s">
        <v>49</v>
      </c>
      <c r="D1379" t="s">
        <v>21</v>
      </c>
      <c r="E1379" t="s">
        <v>40</v>
      </c>
      <c r="F1379" t="s">
        <v>23</v>
      </c>
      <c r="G1379" t="s">
        <v>74</v>
      </c>
      <c r="H1379" t="s">
        <v>82</v>
      </c>
      <c r="I1379" t="s">
        <v>104</v>
      </c>
      <c r="J1379">
        <v>621</v>
      </c>
      <c r="K1379">
        <v>7</v>
      </c>
      <c r="L1379" t="s">
        <v>37</v>
      </c>
      <c r="M1379">
        <v>123</v>
      </c>
      <c r="N1379">
        <v>35.4</v>
      </c>
      <c r="O1379">
        <v>61.1</v>
      </c>
      <c r="P1379">
        <v>5.3</v>
      </c>
      <c r="Q1379">
        <v>3.09</v>
      </c>
      <c r="R1379" t="s">
        <v>243</v>
      </c>
      <c r="S1379" t="s">
        <v>39</v>
      </c>
      <c r="T1379" t="s">
        <v>30</v>
      </c>
      <c r="U1379" t="str">
        <f t="shared" si="63"/>
        <v>Normal</v>
      </c>
      <c r="V1379" t="str">
        <f t="shared" si="64"/>
        <v>Normal</v>
      </c>
      <c r="W1379" t="str">
        <f t="shared" si="65"/>
        <v>Normal</v>
      </c>
    </row>
    <row r="1380" spans="1:23" x14ac:dyDescent="0.3">
      <c r="A1380">
        <v>10739</v>
      </c>
      <c r="B1380" s="2">
        <v>45814</v>
      </c>
      <c r="C1380" t="s">
        <v>49</v>
      </c>
      <c r="D1380" t="s">
        <v>64</v>
      </c>
      <c r="E1380" t="s">
        <v>40</v>
      </c>
      <c r="F1380" t="s">
        <v>23</v>
      </c>
      <c r="G1380" t="s">
        <v>109</v>
      </c>
      <c r="H1380" t="s">
        <v>169</v>
      </c>
      <c r="I1380" t="s">
        <v>178</v>
      </c>
      <c r="J1380">
        <v>1579</v>
      </c>
      <c r="K1380">
        <v>17</v>
      </c>
      <c r="L1380" t="s">
        <v>45</v>
      </c>
      <c r="M1380">
        <v>66</v>
      </c>
      <c r="N1380">
        <v>42.1</v>
      </c>
      <c r="O1380">
        <v>61</v>
      </c>
      <c r="P1380">
        <v>4.8499999999999996</v>
      </c>
      <c r="Q1380">
        <v>3.44</v>
      </c>
      <c r="R1380" t="s">
        <v>46</v>
      </c>
      <c r="S1380" t="s">
        <v>47</v>
      </c>
      <c r="T1380" t="s">
        <v>30</v>
      </c>
      <c r="U1380" t="str">
        <f t="shared" si="63"/>
        <v>Normal</v>
      </c>
      <c r="V1380" t="str">
        <f t="shared" si="64"/>
        <v>Normal</v>
      </c>
      <c r="W1380" t="str">
        <f t="shared" si="65"/>
        <v>Normal</v>
      </c>
    </row>
    <row r="1381" spans="1:23" x14ac:dyDescent="0.3">
      <c r="A1381">
        <v>11132</v>
      </c>
      <c r="B1381" s="2">
        <v>45739</v>
      </c>
      <c r="C1381" t="s">
        <v>49</v>
      </c>
      <c r="D1381" t="s">
        <v>32</v>
      </c>
      <c r="E1381" t="s">
        <v>40</v>
      </c>
      <c r="F1381" t="s">
        <v>23</v>
      </c>
      <c r="G1381" t="s">
        <v>95</v>
      </c>
      <c r="H1381" t="s">
        <v>172</v>
      </c>
      <c r="I1381" t="s">
        <v>237</v>
      </c>
      <c r="J1381">
        <v>1414</v>
      </c>
      <c r="K1381">
        <v>17</v>
      </c>
      <c r="L1381" t="s">
        <v>57</v>
      </c>
      <c r="M1381">
        <v>157</v>
      </c>
      <c r="N1381">
        <v>37.700000000000003</v>
      </c>
      <c r="O1381">
        <v>60.9</v>
      </c>
      <c r="P1381">
        <v>6.35</v>
      </c>
      <c r="Q1381">
        <v>1.73</v>
      </c>
      <c r="R1381" t="s">
        <v>80</v>
      </c>
      <c r="S1381" t="s">
        <v>47</v>
      </c>
      <c r="T1381" t="s">
        <v>30</v>
      </c>
      <c r="U1381" t="str">
        <f t="shared" si="63"/>
        <v>Normal</v>
      </c>
      <c r="V1381" t="str">
        <f t="shared" si="64"/>
        <v>Normal</v>
      </c>
      <c r="W1381" t="str">
        <f t="shared" si="65"/>
        <v>Normal</v>
      </c>
    </row>
    <row r="1382" spans="1:23" x14ac:dyDescent="0.3">
      <c r="A1382">
        <v>10565</v>
      </c>
      <c r="B1382" s="2">
        <v>45926</v>
      </c>
      <c r="C1382" t="s">
        <v>49</v>
      </c>
      <c r="D1382" t="s">
        <v>32</v>
      </c>
      <c r="E1382" t="s">
        <v>40</v>
      </c>
      <c r="F1382" t="s">
        <v>81</v>
      </c>
      <c r="G1382" t="s">
        <v>109</v>
      </c>
      <c r="H1382" t="s">
        <v>213</v>
      </c>
      <c r="I1382" t="s">
        <v>334</v>
      </c>
      <c r="J1382">
        <v>632</v>
      </c>
      <c r="K1382">
        <v>6</v>
      </c>
      <c r="L1382" t="s">
        <v>57</v>
      </c>
      <c r="M1382">
        <v>136</v>
      </c>
      <c r="N1382">
        <v>40.1</v>
      </c>
      <c r="O1382">
        <v>60.9</v>
      </c>
      <c r="P1382">
        <v>6.28</v>
      </c>
      <c r="Q1382">
        <v>5.1100000000000003</v>
      </c>
      <c r="R1382" t="s">
        <v>122</v>
      </c>
      <c r="S1382" t="s">
        <v>47</v>
      </c>
      <c r="T1382" t="s">
        <v>30</v>
      </c>
      <c r="U1382" t="str">
        <f t="shared" si="63"/>
        <v>Normal</v>
      </c>
      <c r="V1382" t="str">
        <f t="shared" si="64"/>
        <v>Normal</v>
      </c>
      <c r="W1382" t="str">
        <f t="shared" si="65"/>
        <v>Normal</v>
      </c>
    </row>
    <row r="1383" spans="1:23" x14ac:dyDescent="0.3">
      <c r="A1383">
        <v>10916</v>
      </c>
      <c r="B1383" s="2">
        <v>45961</v>
      </c>
      <c r="C1383" t="s">
        <v>31</v>
      </c>
      <c r="D1383" t="s">
        <v>32</v>
      </c>
      <c r="E1383" t="s">
        <v>33</v>
      </c>
      <c r="F1383" t="s">
        <v>23</v>
      </c>
      <c r="G1383" t="s">
        <v>50</v>
      </c>
      <c r="H1383" t="s">
        <v>75</v>
      </c>
      <c r="I1383" t="s">
        <v>295</v>
      </c>
      <c r="J1383">
        <v>1237</v>
      </c>
      <c r="K1383">
        <v>2</v>
      </c>
      <c r="L1383" t="s">
        <v>37</v>
      </c>
      <c r="M1383">
        <v>68</v>
      </c>
      <c r="N1383">
        <v>42.1</v>
      </c>
      <c r="O1383">
        <v>60.8</v>
      </c>
      <c r="P1383">
        <v>6.51</v>
      </c>
      <c r="Q1383">
        <v>2.25</v>
      </c>
      <c r="R1383" t="s">
        <v>183</v>
      </c>
      <c r="S1383" t="s">
        <v>39</v>
      </c>
      <c r="T1383" t="s">
        <v>30</v>
      </c>
      <c r="U1383" t="str">
        <f t="shared" si="63"/>
        <v>Normal</v>
      </c>
      <c r="V1383" t="str">
        <f t="shared" si="64"/>
        <v>Normal</v>
      </c>
      <c r="W1383" t="str">
        <f t="shared" si="65"/>
        <v>Normal</v>
      </c>
    </row>
    <row r="1384" spans="1:23" x14ac:dyDescent="0.3">
      <c r="A1384">
        <v>10075</v>
      </c>
      <c r="B1384" s="2">
        <v>45868</v>
      </c>
      <c r="C1384" t="s">
        <v>49</v>
      </c>
      <c r="D1384" t="s">
        <v>64</v>
      </c>
      <c r="E1384" t="s">
        <v>107</v>
      </c>
      <c r="F1384" t="s">
        <v>41</v>
      </c>
      <c r="G1384" t="s">
        <v>113</v>
      </c>
      <c r="H1384" t="s">
        <v>263</v>
      </c>
      <c r="I1384" t="s">
        <v>295</v>
      </c>
      <c r="J1384">
        <v>1134</v>
      </c>
      <c r="K1384">
        <v>5</v>
      </c>
      <c r="L1384" t="s">
        <v>37</v>
      </c>
      <c r="M1384">
        <v>39</v>
      </c>
      <c r="N1384">
        <v>39.1</v>
      </c>
      <c r="O1384">
        <v>60.7</v>
      </c>
      <c r="P1384">
        <v>5.59</v>
      </c>
      <c r="Q1384">
        <v>2.34</v>
      </c>
      <c r="R1384" t="s">
        <v>240</v>
      </c>
      <c r="S1384" t="s">
        <v>29</v>
      </c>
      <c r="T1384" t="s">
        <v>30</v>
      </c>
      <c r="U1384" t="str">
        <f t="shared" si="63"/>
        <v>Normal</v>
      </c>
      <c r="V1384" t="str">
        <f t="shared" si="64"/>
        <v>Normal</v>
      </c>
      <c r="W1384" t="str">
        <f t="shared" si="65"/>
        <v>Normal</v>
      </c>
    </row>
    <row r="1385" spans="1:23" x14ac:dyDescent="0.3">
      <c r="A1385">
        <v>11382</v>
      </c>
      <c r="B1385" s="2">
        <v>45747</v>
      </c>
      <c r="C1385" t="s">
        <v>31</v>
      </c>
      <c r="D1385" t="s">
        <v>32</v>
      </c>
      <c r="E1385" t="s">
        <v>33</v>
      </c>
      <c r="F1385" t="s">
        <v>23</v>
      </c>
      <c r="G1385" t="s">
        <v>113</v>
      </c>
      <c r="H1385" t="s">
        <v>215</v>
      </c>
      <c r="I1385" t="s">
        <v>331</v>
      </c>
      <c r="J1385">
        <v>1071</v>
      </c>
      <c r="K1385">
        <v>5</v>
      </c>
      <c r="L1385" t="s">
        <v>71</v>
      </c>
      <c r="M1385">
        <v>135</v>
      </c>
      <c r="N1385">
        <v>46.7</v>
      </c>
      <c r="O1385">
        <v>60.7</v>
      </c>
      <c r="P1385">
        <v>5.87</v>
      </c>
      <c r="Q1385">
        <v>2.81</v>
      </c>
      <c r="R1385" t="s">
        <v>195</v>
      </c>
      <c r="S1385" t="s">
        <v>47</v>
      </c>
      <c r="T1385" t="s">
        <v>30</v>
      </c>
      <c r="U1385" t="str">
        <f t="shared" si="63"/>
        <v>Normal</v>
      </c>
      <c r="V1385" t="str">
        <f t="shared" si="64"/>
        <v>Normal</v>
      </c>
      <c r="W1385" t="str">
        <f t="shared" si="65"/>
        <v>Normal</v>
      </c>
    </row>
    <row r="1386" spans="1:23" x14ac:dyDescent="0.3">
      <c r="A1386">
        <v>10921</v>
      </c>
      <c r="B1386" s="2">
        <v>45831</v>
      </c>
      <c r="C1386" t="s">
        <v>49</v>
      </c>
      <c r="D1386" t="s">
        <v>64</v>
      </c>
      <c r="E1386" t="s">
        <v>107</v>
      </c>
      <c r="F1386" t="s">
        <v>41</v>
      </c>
      <c r="G1386" t="s">
        <v>113</v>
      </c>
      <c r="H1386" t="s">
        <v>66</v>
      </c>
      <c r="I1386" t="s">
        <v>294</v>
      </c>
      <c r="J1386">
        <v>1143</v>
      </c>
      <c r="K1386">
        <v>17</v>
      </c>
      <c r="L1386" t="s">
        <v>57</v>
      </c>
      <c r="M1386">
        <v>81</v>
      </c>
      <c r="N1386">
        <v>41.9</v>
      </c>
      <c r="O1386">
        <v>60.6</v>
      </c>
      <c r="P1386">
        <v>4.96</v>
      </c>
      <c r="Q1386">
        <v>3.53</v>
      </c>
      <c r="R1386" t="s">
        <v>143</v>
      </c>
      <c r="S1386" t="s">
        <v>29</v>
      </c>
      <c r="T1386" t="s">
        <v>30</v>
      </c>
      <c r="U1386" t="str">
        <f t="shared" si="63"/>
        <v>Normal</v>
      </c>
      <c r="V1386" t="str">
        <f t="shared" si="64"/>
        <v>Normal</v>
      </c>
      <c r="W1386" t="str">
        <f t="shared" si="65"/>
        <v>Normal</v>
      </c>
    </row>
    <row r="1387" spans="1:23" x14ac:dyDescent="0.3">
      <c r="A1387">
        <v>10294</v>
      </c>
      <c r="B1387" s="2">
        <v>45762</v>
      </c>
      <c r="C1387" t="s">
        <v>49</v>
      </c>
      <c r="D1387" t="s">
        <v>21</v>
      </c>
      <c r="E1387" t="s">
        <v>22</v>
      </c>
      <c r="F1387" t="s">
        <v>41</v>
      </c>
      <c r="G1387" t="s">
        <v>42</v>
      </c>
      <c r="H1387" t="s">
        <v>141</v>
      </c>
      <c r="I1387" t="s">
        <v>404</v>
      </c>
      <c r="J1387">
        <v>1022</v>
      </c>
      <c r="K1387">
        <v>13</v>
      </c>
      <c r="L1387" t="s">
        <v>37</v>
      </c>
      <c r="M1387">
        <v>174</v>
      </c>
      <c r="N1387">
        <v>35.799999999999997</v>
      </c>
      <c r="O1387">
        <v>60.6</v>
      </c>
      <c r="P1387">
        <v>4.57</v>
      </c>
      <c r="Q1387">
        <v>3.17</v>
      </c>
      <c r="R1387" t="s">
        <v>140</v>
      </c>
      <c r="S1387" t="s">
        <v>47</v>
      </c>
      <c r="T1387" t="s">
        <v>30</v>
      </c>
      <c r="U1387" t="str">
        <f t="shared" si="63"/>
        <v>Normal</v>
      </c>
      <c r="V1387" t="str">
        <f t="shared" si="64"/>
        <v>Normal</v>
      </c>
      <c r="W1387" t="str">
        <f t="shared" si="65"/>
        <v>Normal</v>
      </c>
    </row>
    <row r="1388" spans="1:23" x14ac:dyDescent="0.3">
      <c r="A1388">
        <v>11107</v>
      </c>
      <c r="B1388" s="2">
        <v>45675</v>
      </c>
      <c r="C1388" t="s">
        <v>31</v>
      </c>
      <c r="D1388" t="s">
        <v>64</v>
      </c>
      <c r="E1388" t="s">
        <v>107</v>
      </c>
      <c r="F1388" t="s">
        <v>41</v>
      </c>
      <c r="G1388" t="s">
        <v>34</v>
      </c>
      <c r="H1388" t="s">
        <v>116</v>
      </c>
      <c r="I1388" t="s">
        <v>378</v>
      </c>
      <c r="J1388">
        <v>984</v>
      </c>
      <c r="K1388">
        <v>13</v>
      </c>
      <c r="L1388" t="s">
        <v>68</v>
      </c>
      <c r="M1388">
        <v>166</v>
      </c>
      <c r="N1388">
        <v>43.4</v>
      </c>
      <c r="O1388">
        <v>60.5</v>
      </c>
      <c r="P1388">
        <v>5.16</v>
      </c>
      <c r="Q1388">
        <v>0.82</v>
      </c>
      <c r="R1388" t="s">
        <v>130</v>
      </c>
      <c r="S1388" t="s">
        <v>29</v>
      </c>
      <c r="T1388" t="s">
        <v>30</v>
      </c>
      <c r="U1388" t="str">
        <f t="shared" si="63"/>
        <v>Normal</v>
      </c>
      <c r="V1388" t="str">
        <f t="shared" si="64"/>
        <v>Normal</v>
      </c>
      <c r="W1388" t="str">
        <f t="shared" si="65"/>
        <v>Normal</v>
      </c>
    </row>
    <row r="1389" spans="1:23" x14ac:dyDescent="0.3">
      <c r="A1389">
        <v>11316</v>
      </c>
      <c r="B1389" s="2">
        <v>45667</v>
      </c>
      <c r="C1389" t="s">
        <v>49</v>
      </c>
      <c r="D1389" t="s">
        <v>32</v>
      </c>
      <c r="E1389" t="s">
        <v>40</v>
      </c>
      <c r="F1389" t="s">
        <v>41</v>
      </c>
      <c r="G1389" t="s">
        <v>134</v>
      </c>
      <c r="H1389" t="s">
        <v>35</v>
      </c>
      <c r="I1389" t="s">
        <v>257</v>
      </c>
      <c r="J1389">
        <v>1060</v>
      </c>
      <c r="K1389">
        <v>7</v>
      </c>
      <c r="L1389" t="s">
        <v>57</v>
      </c>
      <c r="M1389">
        <v>114</v>
      </c>
      <c r="N1389">
        <v>30.9</v>
      </c>
      <c r="O1389">
        <v>60.4</v>
      </c>
      <c r="P1389">
        <v>5.7</v>
      </c>
      <c r="Q1389">
        <v>4.22</v>
      </c>
      <c r="R1389" t="s">
        <v>128</v>
      </c>
      <c r="S1389" t="s">
        <v>73</v>
      </c>
      <c r="T1389" t="s">
        <v>30</v>
      </c>
      <c r="U1389" t="str">
        <f t="shared" si="63"/>
        <v>Normal</v>
      </c>
      <c r="V1389" t="str">
        <f t="shared" si="64"/>
        <v>Normal</v>
      </c>
      <c r="W1389" t="str">
        <f t="shared" si="65"/>
        <v>Normal</v>
      </c>
    </row>
    <row r="1390" spans="1:23" x14ac:dyDescent="0.3">
      <c r="A1390">
        <v>10832</v>
      </c>
      <c r="B1390" s="2">
        <v>45732</v>
      </c>
      <c r="C1390" t="s">
        <v>31</v>
      </c>
      <c r="D1390" t="s">
        <v>59</v>
      </c>
      <c r="E1390" t="s">
        <v>40</v>
      </c>
      <c r="F1390" t="s">
        <v>23</v>
      </c>
      <c r="G1390" t="s">
        <v>95</v>
      </c>
      <c r="H1390" t="s">
        <v>141</v>
      </c>
      <c r="I1390" t="s">
        <v>70</v>
      </c>
      <c r="J1390">
        <v>626</v>
      </c>
      <c r="K1390">
        <v>5</v>
      </c>
      <c r="L1390" t="s">
        <v>68</v>
      </c>
      <c r="M1390">
        <v>116</v>
      </c>
      <c r="N1390">
        <v>45</v>
      </c>
      <c r="O1390">
        <v>60.4</v>
      </c>
      <c r="P1390">
        <v>5.68</v>
      </c>
      <c r="Q1390">
        <v>3.49</v>
      </c>
      <c r="R1390" t="s">
        <v>87</v>
      </c>
      <c r="S1390" t="s">
        <v>47</v>
      </c>
      <c r="T1390" t="s">
        <v>30</v>
      </c>
      <c r="U1390" t="str">
        <f t="shared" si="63"/>
        <v>Normal</v>
      </c>
      <c r="V1390" t="str">
        <f t="shared" si="64"/>
        <v>Normal</v>
      </c>
      <c r="W1390" t="str">
        <f t="shared" si="65"/>
        <v>Normal</v>
      </c>
    </row>
    <row r="1391" spans="1:23" x14ac:dyDescent="0.3">
      <c r="A1391">
        <v>11320</v>
      </c>
      <c r="B1391" s="2">
        <v>45874</v>
      </c>
      <c r="C1391" t="s">
        <v>20</v>
      </c>
      <c r="D1391" t="s">
        <v>64</v>
      </c>
      <c r="E1391" t="s">
        <v>40</v>
      </c>
      <c r="F1391" t="s">
        <v>23</v>
      </c>
      <c r="G1391" t="s">
        <v>34</v>
      </c>
      <c r="H1391" t="s">
        <v>131</v>
      </c>
      <c r="I1391" t="s">
        <v>298</v>
      </c>
      <c r="J1391">
        <v>529</v>
      </c>
      <c r="K1391">
        <v>4</v>
      </c>
      <c r="L1391" t="s">
        <v>37</v>
      </c>
      <c r="M1391">
        <v>20</v>
      </c>
      <c r="N1391">
        <v>45.5</v>
      </c>
      <c r="O1391">
        <v>60.3</v>
      </c>
      <c r="P1391">
        <v>5.15</v>
      </c>
      <c r="Q1391">
        <v>3.83</v>
      </c>
      <c r="R1391" t="s">
        <v>63</v>
      </c>
      <c r="S1391" t="s">
        <v>39</v>
      </c>
      <c r="T1391" t="s">
        <v>30</v>
      </c>
      <c r="U1391" t="str">
        <f t="shared" si="63"/>
        <v>Normal</v>
      </c>
      <c r="V1391" t="str">
        <f t="shared" si="64"/>
        <v>Normal</v>
      </c>
      <c r="W1391" t="str">
        <f t="shared" si="65"/>
        <v>Normal</v>
      </c>
    </row>
    <row r="1392" spans="1:23" x14ac:dyDescent="0.3">
      <c r="A1392">
        <v>10007</v>
      </c>
      <c r="B1392" s="2">
        <v>45701</v>
      </c>
      <c r="C1392" t="s">
        <v>49</v>
      </c>
      <c r="D1392" t="s">
        <v>59</v>
      </c>
      <c r="E1392" t="s">
        <v>40</v>
      </c>
      <c r="F1392" t="s">
        <v>23</v>
      </c>
      <c r="G1392" t="s">
        <v>50</v>
      </c>
      <c r="H1392" t="s">
        <v>25</v>
      </c>
      <c r="I1392" t="s">
        <v>231</v>
      </c>
      <c r="J1392">
        <v>1027</v>
      </c>
      <c r="K1392">
        <v>10</v>
      </c>
      <c r="L1392" t="s">
        <v>68</v>
      </c>
      <c r="M1392">
        <v>133</v>
      </c>
      <c r="N1392">
        <v>39.299999999999997</v>
      </c>
      <c r="O1392">
        <v>60.3</v>
      </c>
      <c r="P1392">
        <v>5.44</v>
      </c>
      <c r="Q1392">
        <v>3.09</v>
      </c>
      <c r="R1392" t="s">
        <v>209</v>
      </c>
      <c r="S1392" t="s">
        <v>29</v>
      </c>
      <c r="T1392" t="s">
        <v>30</v>
      </c>
      <c r="U1392" t="str">
        <f t="shared" si="63"/>
        <v>Normal</v>
      </c>
      <c r="V1392" t="str">
        <f t="shared" si="64"/>
        <v>Normal</v>
      </c>
      <c r="W1392" t="str">
        <f t="shared" si="65"/>
        <v>Normal</v>
      </c>
    </row>
    <row r="1393" spans="1:23" x14ac:dyDescent="0.3">
      <c r="A1393">
        <v>10160</v>
      </c>
      <c r="B1393" s="2">
        <v>45935</v>
      </c>
      <c r="C1393" t="s">
        <v>20</v>
      </c>
      <c r="D1393" t="s">
        <v>32</v>
      </c>
      <c r="E1393" t="s">
        <v>22</v>
      </c>
      <c r="F1393" t="s">
        <v>23</v>
      </c>
      <c r="G1393" t="s">
        <v>54</v>
      </c>
      <c r="H1393" t="s">
        <v>196</v>
      </c>
      <c r="I1393" t="s">
        <v>198</v>
      </c>
      <c r="J1393">
        <v>620</v>
      </c>
      <c r="K1393">
        <v>2</v>
      </c>
      <c r="L1393" t="s">
        <v>71</v>
      </c>
      <c r="M1393">
        <v>14</v>
      </c>
      <c r="N1393">
        <v>66.5</v>
      </c>
      <c r="O1393">
        <v>60.3</v>
      </c>
      <c r="P1393">
        <v>7.01</v>
      </c>
      <c r="Q1393">
        <v>2.46</v>
      </c>
      <c r="R1393" t="s">
        <v>164</v>
      </c>
      <c r="S1393" t="s">
        <v>73</v>
      </c>
      <c r="T1393" t="s">
        <v>30</v>
      </c>
      <c r="U1393" t="str">
        <f t="shared" si="63"/>
        <v>Normal</v>
      </c>
      <c r="V1393" t="str">
        <f t="shared" si="64"/>
        <v>Normal</v>
      </c>
      <c r="W1393" t="str">
        <f t="shared" si="65"/>
        <v>Normal</v>
      </c>
    </row>
    <row r="1394" spans="1:23" x14ac:dyDescent="0.3">
      <c r="A1394">
        <v>10685</v>
      </c>
      <c r="B1394" s="2">
        <v>45995</v>
      </c>
      <c r="C1394" t="s">
        <v>20</v>
      </c>
      <c r="D1394" t="s">
        <v>59</v>
      </c>
      <c r="E1394" t="s">
        <v>107</v>
      </c>
      <c r="F1394" t="s">
        <v>81</v>
      </c>
      <c r="G1394" t="s">
        <v>134</v>
      </c>
      <c r="H1394" t="s">
        <v>35</v>
      </c>
      <c r="I1394" t="s">
        <v>86</v>
      </c>
      <c r="J1394">
        <v>571</v>
      </c>
      <c r="K1394">
        <v>6</v>
      </c>
      <c r="L1394" t="s">
        <v>45</v>
      </c>
      <c r="M1394">
        <v>93</v>
      </c>
      <c r="N1394">
        <v>47.1</v>
      </c>
      <c r="O1394">
        <v>60.3</v>
      </c>
      <c r="P1394">
        <v>5.09</v>
      </c>
      <c r="Q1394">
        <v>1.18</v>
      </c>
      <c r="R1394" t="s">
        <v>63</v>
      </c>
      <c r="S1394" t="s">
        <v>29</v>
      </c>
      <c r="T1394" t="s">
        <v>30</v>
      </c>
      <c r="U1394" t="str">
        <f t="shared" si="63"/>
        <v>Normal</v>
      </c>
      <c r="V1394" t="str">
        <f t="shared" si="64"/>
        <v>Normal</v>
      </c>
      <c r="W1394" t="str">
        <f t="shared" si="65"/>
        <v>Normal</v>
      </c>
    </row>
    <row r="1395" spans="1:23" x14ac:dyDescent="0.3">
      <c r="A1395">
        <v>10749</v>
      </c>
      <c r="B1395" s="2">
        <v>45918</v>
      </c>
      <c r="C1395" t="s">
        <v>31</v>
      </c>
      <c r="D1395" t="s">
        <v>59</v>
      </c>
      <c r="E1395" t="s">
        <v>107</v>
      </c>
      <c r="F1395" t="s">
        <v>41</v>
      </c>
      <c r="G1395" t="s">
        <v>42</v>
      </c>
      <c r="H1395" t="s">
        <v>287</v>
      </c>
      <c r="I1395" t="s">
        <v>332</v>
      </c>
      <c r="J1395">
        <v>1308</v>
      </c>
      <c r="K1395">
        <v>41</v>
      </c>
      <c r="L1395" t="s">
        <v>68</v>
      </c>
      <c r="M1395">
        <v>177</v>
      </c>
      <c r="N1395">
        <v>32.9</v>
      </c>
      <c r="O1395">
        <v>60.3</v>
      </c>
      <c r="P1395">
        <v>6.01</v>
      </c>
      <c r="Q1395">
        <v>1.1299999999999999</v>
      </c>
      <c r="R1395" t="s">
        <v>128</v>
      </c>
      <c r="S1395" t="s">
        <v>29</v>
      </c>
      <c r="T1395" t="s">
        <v>48</v>
      </c>
      <c r="U1395" t="str">
        <f t="shared" si="63"/>
        <v>Normal</v>
      </c>
      <c r="V1395" t="str">
        <f t="shared" si="64"/>
        <v>Normal</v>
      </c>
      <c r="W1395" t="str">
        <f t="shared" si="65"/>
        <v>Normal</v>
      </c>
    </row>
    <row r="1396" spans="1:23" x14ac:dyDescent="0.3">
      <c r="A1396">
        <v>10762</v>
      </c>
      <c r="B1396" s="2">
        <v>45735</v>
      </c>
      <c r="C1396" t="s">
        <v>49</v>
      </c>
      <c r="D1396" t="s">
        <v>59</v>
      </c>
      <c r="E1396" t="s">
        <v>22</v>
      </c>
      <c r="F1396" t="s">
        <v>23</v>
      </c>
      <c r="G1396" t="s">
        <v>24</v>
      </c>
      <c r="H1396" t="s">
        <v>161</v>
      </c>
      <c r="I1396" t="s">
        <v>378</v>
      </c>
      <c r="J1396">
        <v>807</v>
      </c>
      <c r="K1396">
        <v>9</v>
      </c>
      <c r="L1396" t="s">
        <v>37</v>
      </c>
      <c r="M1396">
        <v>42</v>
      </c>
      <c r="N1396">
        <v>39</v>
      </c>
      <c r="O1396">
        <v>60.2</v>
      </c>
      <c r="P1396">
        <v>3.37</v>
      </c>
      <c r="Q1396">
        <v>1.58</v>
      </c>
      <c r="R1396" t="s">
        <v>280</v>
      </c>
      <c r="S1396" t="s">
        <v>39</v>
      </c>
      <c r="T1396" t="s">
        <v>30</v>
      </c>
      <c r="U1396" t="str">
        <f t="shared" si="63"/>
        <v>Normal</v>
      </c>
      <c r="V1396" t="str">
        <f t="shared" si="64"/>
        <v>Normal</v>
      </c>
      <c r="W1396" t="str">
        <f t="shared" si="65"/>
        <v>Normal</v>
      </c>
    </row>
    <row r="1397" spans="1:23" x14ac:dyDescent="0.3">
      <c r="A1397">
        <v>11421</v>
      </c>
      <c r="B1397" s="2">
        <v>45936</v>
      </c>
      <c r="C1397" t="s">
        <v>31</v>
      </c>
      <c r="D1397" t="s">
        <v>32</v>
      </c>
      <c r="E1397" t="s">
        <v>40</v>
      </c>
      <c r="F1397" t="s">
        <v>23</v>
      </c>
      <c r="G1397" t="s">
        <v>74</v>
      </c>
      <c r="H1397" t="s">
        <v>43</v>
      </c>
      <c r="I1397" t="s">
        <v>201</v>
      </c>
      <c r="J1397">
        <v>1277</v>
      </c>
      <c r="K1397">
        <v>23</v>
      </c>
      <c r="L1397" t="s">
        <v>71</v>
      </c>
      <c r="M1397">
        <v>77</v>
      </c>
      <c r="N1397">
        <v>39.799999999999997</v>
      </c>
      <c r="O1397">
        <v>60.2</v>
      </c>
      <c r="P1397">
        <v>7.28</v>
      </c>
      <c r="Q1397">
        <v>1.66</v>
      </c>
      <c r="R1397" t="s">
        <v>128</v>
      </c>
      <c r="S1397" t="s">
        <v>47</v>
      </c>
      <c r="T1397" t="s">
        <v>30</v>
      </c>
      <c r="U1397" t="str">
        <f t="shared" si="63"/>
        <v>Normal</v>
      </c>
      <c r="V1397" t="str">
        <f t="shared" si="64"/>
        <v>Normal</v>
      </c>
      <c r="W1397" t="str">
        <f t="shared" si="65"/>
        <v>Normal</v>
      </c>
    </row>
    <row r="1398" spans="1:23" x14ac:dyDescent="0.3">
      <c r="A1398">
        <v>11041</v>
      </c>
      <c r="B1398" s="2">
        <v>45676</v>
      </c>
      <c r="C1398" t="s">
        <v>31</v>
      </c>
      <c r="D1398" t="s">
        <v>64</v>
      </c>
      <c r="E1398" t="s">
        <v>33</v>
      </c>
      <c r="F1398" t="s">
        <v>41</v>
      </c>
      <c r="G1398" t="s">
        <v>95</v>
      </c>
      <c r="H1398" t="s">
        <v>82</v>
      </c>
      <c r="I1398" t="s">
        <v>319</v>
      </c>
      <c r="J1398">
        <v>1186</v>
      </c>
      <c r="K1398">
        <v>7</v>
      </c>
      <c r="L1398" t="s">
        <v>71</v>
      </c>
      <c r="M1398">
        <v>46</v>
      </c>
      <c r="N1398">
        <v>40.299999999999997</v>
      </c>
      <c r="O1398">
        <v>60.1</v>
      </c>
      <c r="P1398">
        <v>6.18</v>
      </c>
      <c r="Q1398">
        <v>1.73</v>
      </c>
      <c r="R1398" t="s">
        <v>28</v>
      </c>
      <c r="S1398" t="s">
        <v>39</v>
      </c>
      <c r="T1398" t="s">
        <v>30</v>
      </c>
      <c r="U1398" t="str">
        <f t="shared" si="63"/>
        <v>Normal</v>
      </c>
      <c r="V1398" t="str">
        <f t="shared" si="64"/>
        <v>Normal</v>
      </c>
      <c r="W1398" t="str">
        <f t="shared" si="65"/>
        <v>Normal</v>
      </c>
    </row>
    <row r="1399" spans="1:23" x14ac:dyDescent="0.3">
      <c r="A1399">
        <v>10579</v>
      </c>
      <c r="B1399" s="2">
        <v>45765</v>
      </c>
      <c r="C1399" t="s">
        <v>20</v>
      </c>
      <c r="D1399" t="s">
        <v>32</v>
      </c>
      <c r="E1399" t="s">
        <v>22</v>
      </c>
      <c r="F1399" t="s">
        <v>23</v>
      </c>
      <c r="G1399" t="s">
        <v>74</v>
      </c>
      <c r="H1399" t="s">
        <v>35</v>
      </c>
      <c r="I1399" t="s">
        <v>349</v>
      </c>
      <c r="J1399">
        <v>458</v>
      </c>
      <c r="K1399">
        <v>9</v>
      </c>
      <c r="L1399" t="s">
        <v>37</v>
      </c>
      <c r="M1399">
        <v>84</v>
      </c>
      <c r="N1399">
        <v>38.5</v>
      </c>
      <c r="O1399">
        <v>60.1</v>
      </c>
      <c r="P1399">
        <v>5.16</v>
      </c>
      <c r="Q1399">
        <v>1.06</v>
      </c>
      <c r="R1399" t="s">
        <v>105</v>
      </c>
      <c r="S1399" t="s">
        <v>29</v>
      </c>
      <c r="T1399" t="s">
        <v>30</v>
      </c>
      <c r="U1399" t="str">
        <f t="shared" si="63"/>
        <v>Normal</v>
      </c>
      <c r="V1399" t="str">
        <f t="shared" si="64"/>
        <v>Normal</v>
      </c>
      <c r="W1399" t="str">
        <f t="shared" si="65"/>
        <v>Normal</v>
      </c>
    </row>
    <row r="1400" spans="1:23" x14ac:dyDescent="0.3">
      <c r="A1400">
        <v>11097</v>
      </c>
      <c r="B1400" s="2">
        <v>45740</v>
      </c>
      <c r="C1400" t="s">
        <v>31</v>
      </c>
      <c r="D1400" t="s">
        <v>32</v>
      </c>
      <c r="E1400" t="s">
        <v>107</v>
      </c>
      <c r="F1400" t="s">
        <v>23</v>
      </c>
      <c r="G1400" t="s">
        <v>60</v>
      </c>
      <c r="H1400" t="s">
        <v>78</v>
      </c>
      <c r="I1400" t="s">
        <v>366</v>
      </c>
      <c r="J1400">
        <v>744</v>
      </c>
      <c r="K1400">
        <v>4</v>
      </c>
      <c r="L1400" t="s">
        <v>71</v>
      </c>
      <c r="M1400">
        <v>142</v>
      </c>
      <c r="N1400">
        <v>39.299999999999997</v>
      </c>
      <c r="O1400">
        <v>60.1</v>
      </c>
      <c r="P1400">
        <v>4.6500000000000004</v>
      </c>
      <c r="Q1400">
        <v>3.25</v>
      </c>
      <c r="R1400" t="s">
        <v>267</v>
      </c>
      <c r="S1400" t="s">
        <v>73</v>
      </c>
      <c r="T1400" t="s">
        <v>30</v>
      </c>
      <c r="U1400" t="str">
        <f t="shared" si="63"/>
        <v>Normal</v>
      </c>
      <c r="V1400" t="str">
        <f t="shared" si="64"/>
        <v>Normal</v>
      </c>
      <c r="W1400" t="str">
        <f t="shared" si="65"/>
        <v>Normal</v>
      </c>
    </row>
    <row r="1401" spans="1:23" x14ac:dyDescent="0.3">
      <c r="A1401">
        <v>11275</v>
      </c>
      <c r="B1401" s="2">
        <v>45889</v>
      </c>
      <c r="C1401" t="s">
        <v>31</v>
      </c>
      <c r="D1401" t="s">
        <v>32</v>
      </c>
      <c r="E1401" t="s">
        <v>107</v>
      </c>
      <c r="F1401" t="s">
        <v>41</v>
      </c>
      <c r="G1401" t="s">
        <v>54</v>
      </c>
      <c r="H1401" t="s">
        <v>190</v>
      </c>
      <c r="I1401" t="s">
        <v>364</v>
      </c>
      <c r="J1401">
        <v>682</v>
      </c>
      <c r="K1401">
        <v>3</v>
      </c>
      <c r="L1401" t="s">
        <v>57</v>
      </c>
      <c r="M1401">
        <v>68</v>
      </c>
      <c r="N1401">
        <v>43.8</v>
      </c>
      <c r="O1401">
        <v>60.1</v>
      </c>
      <c r="P1401">
        <v>4.55</v>
      </c>
      <c r="Q1401">
        <v>1.87</v>
      </c>
      <c r="R1401" t="s">
        <v>245</v>
      </c>
      <c r="S1401" t="s">
        <v>47</v>
      </c>
      <c r="T1401" t="s">
        <v>30</v>
      </c>
      <c r="U1401" t="str">
        <f t="shared" si="63"/>
        <v>Normal</v>
      </c>
      <c r="V1401" t="str">
        <f t="shared" si="64"/>
        <v>Normal</v>
      </c>
      <c r="W1401" t="str">
        <f t="shared" si="65"/>
        <v>Normal</v>
      </c>
    </row>
    <row r="1402" spans="1:23" x14ac:dyDescent="0.3">
      <c r="A1402">
        <v>10191</v>
      </c>
      <c r="B1402" s="2">
        <v>45936</v>
      </c>
      <c r="C1402" t="s">
        <v>31</v>
      </c>
      <c r="D1402" t="s">
        <v>59</v>
      </c>
      <c r="E1402" t="s">
        <v>107</v>
      </c>
      <c r="F1402" t="s">
        <v>23</v>
      </c>
      <c r="G1402" t="s">
        <v>109</v>
      </c>
      <c r="H1402" t="s">
        <v>278</v>
      </c>
      <c r="I1402" t="s">
        <v>319</v>
      </c>
      <c r="J1402">
        <v>1372</v>
      </c>
      <c r="K1402">
        <v>30</v>
      </c>
      <c r="L1402" t="s">
        <v>68</v>
      </c>
      <c r="M1402">
        <v>32</v>
      </c>
      <c r="N1402">
        <v>40.700000000000003</v>
      </c>
      <c r="O1402">
        <v>60.1</v>
      </c>
      <c r="P1402">
        <v>4.75</v>
      </c>
      <c r="Q1402">
        <v>1.08</v>
      </c>
      <c r="R1402" t="s">
        <v>202</v>
      </c>
      <c r="S1402" t="s">
        <v>39</v>
      </c>
      <c r="T1402" t="s">
        <v>30</v>
      </c>
      <c r="U1402" t="str">
        <f t="shared" si="63"/>
        <v>Normal</v>
      </c>
      <c r="V1402" t="str">
        <f t="shared" si="64"/>
        <v>Normal</v>
      </c>
      <c r="W1402" t="str">
        <f t="shared" si="65"/>
        <v>Normal</v>
      </c>
    </row>
    <row r="1403" spans="1:23" x14ac:dyDescent="0.3">
      <c r="A1403">
        <v>10574</v>
      </c>
      <c r="B1403" s="2">
        <v>45921</v>
      </c>
      <c r="C1403" t="s">
        <v>49</v>
      </c>
      <c r="D1403" t="s">
        <v>64</v>
      </c>
      <c r="E1403" t="s">
        <v>22</v>
      </c>
      <c r="F1403" t="s">
        <v>41</v>
      </c>
      <c r="G1403" t="s">
        <v>89</v>
      </c>
      <c r="H1403" t="s">
        <v>138</v>
      </c>
      <c r="I1403" t="s">
        <v>301</v>
      </c>
      <c r="J1403">
        <v>990</v>
      </c>
      <c r="K1403">
        <v>83</v>
      </c>
      <c r="L1403" t="s">
        <v>27</v>
      </c>
      <c r="M1403">
        <v>112</v>
      </c>
      <c r="N1403">
        <v>31.8</v>
      </c>
      <c r="O1403">
        <v>60</v>
      </c>
      <c r="P1403">
        <v>6.61</v>
      </c>
      <c r="Q1403">
        <v>3.97</v>
      </c>
      <c r="R1403" t="s">
        <v>130</v>
      </c>
      <c r="S1403" t="s">
        <v>29</v>
      </c>
      <c r="T1403" t="s">
        <v>48</v>
      </c>
      <c r="U1403" t="str">
        <f t="shared" si="63"/>
        <v>Normal</v>
      </c>
      <c r="V1403" t="str">
        <f t="shared" si="64"/>
        <v>Normal</v>
      </c>
      <c r="W1403" t="str">
        <f t="shared" si="65"/>
        <v>Normal</v>
      </c>
    </row>
    <row r="1404" spans="1:23" x14ac:dyDescent="0.3">
      <c r="A1404">
        <v>10524</v>
      </c>
      <c r="B1404" s="2">
        <v>45748</v>
      </c>
      <c r="C1404" t="s">
        <v>49</v>
      </c>
      <c r="D1404" t="s">
        <v>21</v>
      </c>
      <c r="E1404" t="s">
        <v>33</v>
      </c>
      <c r="F1404" t="s">
        <v>81</v>
      </c>
      <c r="G1404" t="s">
        <v>95</v>
      </c>
      <c r="H1404" t="s">
        <v>287</v>
      </c>
      <c r="I1404" t="s">
        <v>110</v>
      </c>
      <c r="J1404">
        <v>684</v>
      </c>
      <c r="K1404">
        <v>17</v>
      </c>
      <c r="L1404" t="s">
        <v>37</v>
      </c>
      <c r="M1404">
        <v>85</v>
      </c>
      <c r="N1404">
        <v>33.799999999999997</v>
      </c>
      <c r="O1404">
        <v>59.9</v>
      </c>
      <c r="P1404">
        <v>5.25</v>
      </c>
      <c r="Q1404">
        <v>3.79</v>
      </c>
      <c r="R1404" t="s">
        <v>159</v>
      </c>
      <c r="S1404" t="s">
        <v>73</v>
      </c>
      <c r="T1404" t="s">
        <v>30</v>
      </c>
      <c r="U1404" t="str">
        <f t="shared" si="63"/>
        <v>Normal</v>
      </c>
      <c r="V1404" t="str">
        <f t="shared" si="64"/>
        <v>Normal</v>
      </c>
      <c r="W1404" t="str">
        <f t="shared" si="65"/>
        <v>Normal</v>
      </c>
    </row>
    <row r="1405" spans="1:23" x14ac:dyDescent="0.3">
      <c r="A1405">
        <v>10487</v>
      </c>
      <c r="B1405" s="2">
        <v>45921</v>
      </c>
      <c r="C1405" t="s">
        <v>49</v>
      </c>
      <c r="D1405" t="s">
        <v>59</v>
      </c>
      <c r="E1405" t="s">
        <v>40</v>
      </c>
      <c r="F1405" t="s">
        <v>41</v>
      </c>
      <c r="G1405" t="s">
        <v>50</v>
      </c>
      <c r="H1405" t="s">
        <v>78</v>
      </c>
      <c r="I1405" t="s">
        <v>226</v>
      </c>
      <c r="J1405">
        <v>1582</v>
      </c>
      <c r="K1405">
        <v>62</v>
      </c>
      <c r="L1405" t="s">
        <v>71</v>
      </c>
      <c r="M1405">
        <v>32</v>
      </c>
      <c r="N1405">
        <v>42.5</v>
      </c>
      <c r="O1405">
        <v>59.8</v>
      </c>
      <c r="P1405">
        <v>4.79</v>
      </c>
      <c r="Q1405">
        <v>2.86</v>
      </c>
      <c r="R1405" t="s">
        <v>227</v>
      </c>
      <c r="S1405" t="s">
        <v>39</v>
      </c>
      <c r="T1405" t="s">
        <v>48</v>
      </c>
      <c r="U1405" t="str">
        <f t="shared" si="63"/>
        <v>Normal</v>
      </c>
      <c r="V1405" t="str">
        <f t="shared" si="64"/>
        <v>Normal</v>
      </c>
      <c r="W1405" t="str">
        <f t="shared" si="65"/>
        <v>Normal</v>
      </c>
    </row>
    <row r="1406" spans="1:23" x14ac:dyDescent="0.3">
      <c r="A1406">
        <v>11141</v>
      </c>
      <c r="B1406" s="2">
        <v>45980</v>
      </c>
      <c r="C1406" t="s">
        <v>31</v>
      </c>
      <c r="D1406" t="s">
        <v>32</v>
      </c>
      <c r="E1406" t="s">
        <v>107</v>
      </c>
      <c r="F1406" t="s">
        <v>81</v>
      </c>
      <c r="G1406" t="s">
        <v>89</v>
      </c>
      <c r="H1406" t="s">
        <v>85</v>
      </c>
      <c r="I1406" t="s">
        <v>157</v>
      </c>
      <c r="J1406">
        <v>594</v>
      </c>
      <c r="K1406">
        <v>8</v>
      </c>
      <c r="L1406" t="s">
        <v>68</v>
      </c>
      <c r="M1406">
        <v>163</v>
      </c>
      <c r="N1406">
        <v>51.5</v>
      </c>
      <c r="O1406">
        <v>59.7</v>
      </c>
      <c r="P1406">
        <v>5.28</v>
      </c>
      <c r="Q1406">
        <v>0.14000000000000001</v>
      </c>
      <c r="R1406" t="s">
        <v>84</v>
      </c>
      <c r="S1406" t="s">
        <v>47</v>
      </c>
      <c r="T1406" t="s">
        <v>30</v>
      </c>
      <c r="U1406" t="str">
        <f t="shared" si="63"/>
        <v>Normal</v>
      </c>
      <c r="V1406" t="str">
        <f t="shared" si="64"/>
        <v>Normal</v>
      </c>
      <c r="W1406" t="str">
        <f t="shared" si="65"/>
        <v>Normal</v>
      </c>
    </row>
    <row r="1407" spans="1:23" x14ac:dyDescent="0.3">
      <c r="A1407">
        <v>10337</v>
      </c>
      <c r="B1407" s="2">
        <v>45742</v>
      </c>
      <c r="C1407" t="s">
        <v>31</v>
      </c>
      <c r="D1407" t="s">
        <v>64</v>
      </c>
      <c r="E1407" t="s">
        <v>40</v>
      </c>
      <c r="F1407" t="s">
        <v>41</v>
      </c>
      <c r="G1407" t="s">
        <v>42</v>
      </c>
      <c r="H1407" t="s">
        <v>180</v>
      </c>
      <c r="I1407" t="s">
        <v>294</v>
      </c>
      <c r="J1407">
        <v>680</v>
      </c>
      <c r="K1407">
        <v>14</v>
      </c>
      <c r="L1407" t="s">
        <v>45</v>
      </c>
      <c r="M1407">
        <v>165</v>
      </c>
      <c r="N1407">
        <v>37.200000000000003</v>
      </c>
      <c r="O1407">
        <v>59.7</v>
      </c>
      <c r="P1407">
        <v>5.22</v>
      </c>
      <c r="Q1407">
        <v>3.19</v>
      </c>
      <c r="R1407" t="s">
        <v>280</v>
      </c>
      <c r="S1407" t="s">
        <v>39</v>
      </c>
      <c r="T1407" t="s">
        <v>30</v>
      </c>
      <c r="U1407" t="str">
        <f t="shared" si="63"/>
        <v>Normal</v>
      </c>
      <c r="V1407" t="str">
        <f t="shared" si="64"/>
        <v>Normal</v>
      </c>
      <c r="W1407" t="str">
        <f t="shared" si="65"/>
        <v>Normal</v>
      </c>
    </row>
    <row r="1408" spans="1:23" x14ac:dyDescent="0.3">
      <c r="A1408">
        <v>10542</v>
      </c>
      <c r="B1408" s="2">
        <v>45686</v>
      </c>
      <c r="C1408" t="s">
        <v>31</v>
      </c>
      <c r="D1408" t="s">
        <v>64</v>
      </c>
      <c r="E1408" t="s">
        <v>22</v>
      </c>
      <c r="F1408" t="s">
        <v>41</v>
      </c>
      <c r="G1408" t="s">
        <v>89</v>
      </c>
      <c r="H1408" t="s">
        <v>123</v>
      </c>
      <c r="I1408" t="s">
        <v>312</v>
      </c>
      <c r="J1408">
        <v>745</v>
      </c>
      <c r="K1408">
        <v>5</v>
      </c>
      <c r="L1408" t="s">
        <v>71</v>
      </c>
      <c r="M1408">
        <v>180</v>
      </c>
      <c r="N1408">
        <v>42.8</v>
      </c>
      <c r="O1408">
        <v>59.7</v>
      </c>
      <c r="P1408">
        <v>5.72</v>
      </c>
      <c r="Q1408">
        <v>2.9</v>
      </c>
      <c r="R1408" t="s">
        <v>209</v>
      </c>
      <c r="S1408" t="s">
        <v>29</v>
      </c>
      <c r="T1408" t="s">
        <v>30</v>
      </c>
      <c r="U1408" t="str">
        <f t="shared" si="63"/>
        <v>Normal</v>
      </c>
      <c r="V1408" t="str">
        <f t="shared" si="64"/>
        <v>Normal</v>
      </c>
      <c r="W1408" t="str">
        <f t="shared" si="65"/>
        <v>Normal</v>
      </c>
    </row>
    <row r="1409" spans="1:23" x14ac:dyDescent="0.3">
      <c r="A1409">
        <v>11174</v>
      </c>
      <c r="B1409" s="2">
        <v>45881</v>
      </c>
      <c r="C1409" t="s">
        <v>31</v>
      </c>
      <c r="D1409" t="s">
        <v>64</v>
      </c>
      <c r="E1409" t="s">
        <v>22</v>
      </c>
      <c r="F1409" t="s">
        <v>23</v>
      </c>
      <c r="G1409" t="s">
        <v>54</v>
      </c>
      <c r="H1409" t="s">
        <v>169</v>
      </c>
      <c r="I1409" t="s">
        <v>239</v>
      </c>
      <c r="J1409">
        <v>1034</v>
      </c>
      <c r="K1409">
        <v>14</v>
      </c>
      <c r="L1409" t="s">
        <v>57</v>
      </c>
      <c r="M1409">
        <v>158</v>
      </c>
      <c r="N1409">
        <v>42.1</v>
      </c>
      <c r="O1409">
        <v>59.7</v>
      </c>
      <c r="P1409">
        <v>4.9800000000000004</v>
      </c>
      <c r="Q1409">
        <v>3.08</v>
      </c>
      <c r="R1409" t="s">
        <v>195</v>
      </c>
      <c r="S1409" t="s">
        <v>39</v>
      </c>
      <c r="T1409" t="s">
        <v>30</v>
      </c>
      <c r="U1409" t="str">
        <f t="shared" si="63"/>
        <v>Normal</v>
      </c>
      <c r="V1409" t="str">
        <f t="shared" si="64"/>
        <v>Normal</v>
      </c>
      <c r="W1409" t="str">
        <f t="shared" si="65"/>
        <v>Normal</v>
      </c>
    </row>
    <row r="1410" spans="1:23" x14ac:dyDescent="0.3">
      <c r="A1410">
        <v>10192</v>
      </c>
      <c r="B1410" s="2">
        <v>45889</v>
      </c>
      <c r="C1410" t="s">
        <v>31</v>
      </c>
      <c r="D1410" t="s">
        <v>64</v>
      </c>
      <c r="E1410" t="s">
        <v>40</v>
      </c>
      <c r="F1410" t="s">
        <v>81</v>
      </c>
      <c r="G1410" t="s">
        <v>74</v>
      </c>
      <c r="H1410" t="s">
        <v>88</v>
      </c>
      <c r="I1410" t="s">
        <v>371</v>
      </c>
      <c r="J1410">
        <v>1277</v>
      </c>
      <c r="K1410">
        <v>40</v>
      </c>
      <c r="L1410" t="s">
        <v>71</v>
      </c>
      <c r="M1410">
        <v>12</v>
      </c>
      <c r="N1410">
        <v>45.3</v>
      </c>
      <c r="O1410">
        <v>59.7</v>
      </c>
      <c r="P1410">
        <v>5.81</v>
      </c>
      <c r="Q1410">
        <v>3.47</v>
      </c>
      <c r="R1410" t="s">
        <v>179</v>
      </c>
      <c r="S1410" t="s">
        <v>39</v>
      </c>
      <c r="T1410" t="s">
        <v>48</v>
      </c>
      <c r="U1410" t="str">
        <f t="shared" ref="U1410:U1473" si="66">IF(OR(O1410&lt;20,O1410&gt;100),"Investigate","Normal")</f>
        <v>Normal</v>
      </c>
      <c r="V1410" t="str">
        <f t="shared" ref="V1410:V1473" si="67">IF(OR(P1410&lt;2,P1410&gt;10),"Investigate","Normal")</f>
        <v>Normal</v>
      </c>
      <c r="W1410" t="str">
        <f t="shared" ref="W1410:W1473" si="68">IF(Q1410&gt;10,"Investigate","Normal")</f>
        <v>Normal</v>
      </c>
    </row>
    <row r="1411" spans="1:23" x14ac:dyDescent="0.3">
      <c r="A1411">
        <v>10426</v>
      </c>
      <c r="B1411" s="2">
        <v>45830</v>
      </c>
      <c r="C1411" t="s">
        <v>49</v>
      </c>
      <c r="D1411" t="s">
        <v>21</v>
      </c>
      <c r="E1411" t="s">
        <v>33</v>
      </c>
      <c r="F1411" t="s">
        <v>81</v>
      </c>
      <c r="G1411" t="s">
        <v>95</v>
      </c>
      <c r="H1411" t="s">
        <v>193</v>
      </c>
      <c r="I1411" t="s">
        <v>52</v>
      </c>
      <c r="J1411">
        <v>1189</v>
      </c>
      <c r="K1411">
        <v>16</v>
      </c>
      <c r="L1411" t="s">
        <v>71</v>
      </c>
      <c r="M1411">
        <v>37</v>
      </c>
      <c r="N1411">
        <v>36.4</v>
      </c>
      <c r="O1411">
        <v>59.6</v>
      </c>
      <c r="P1411">
        <v>6</v>
      </c>
      <c r="Q1411">
        <v>2.2799999999999998</v>
      </c>
      <c r="R1411" t="s">
        <v>84</v>
      </c>
      <c r="S1411" t="s">
        <v>47</v>
      </c>
      <c r="T1411" t="s">
        <v>30</v>
      </c>
      <c r="U1411" t="str">
        <f t="shared" si="66"/>
        <v>Normal</v>
      </c>
      <c r="V1411" t="str">
        <f t="shared" si="67"/>
        <v>Normal</v>
      </c>
      <c r="W1411" t="str">
        <f t="shared" si="68"/>
        <v>Normal</v>
      </c>
    </row>
    <row r="1412" spans="1:23" x14ac:dyDescent="0.3">
      <c r="A1412">
        <v>11226</v>
      </c>
      <c r="B1412" s="2">
        <v>45977</v>
      </c>
      <c r="C1412" t="s">
        <v>20</v>
      </c>
      <c r="D1412" t="s">
        <v>21</v>
      </c>
      <c r="E1412" t="s">
        <v>33</v>
      </c>
      <c r="F1412" t="s">
        <v>23</v>
      </c>
      <c r="G1412" t="s">
        <v>95</v>
      </c>
      <c r="H1412" t="s">
        <v>141</v>
      </c>
      <c r="I1412" t="s">
        <v>182</v>
      </c>
      <c r="J1412">
        <v>1539</v>
      </c>
      <c r="K1412">
        <v>15</v>
      </c>
      <c r="L1412" t="s">
        <v>57</v>
      </c>
      <c r="M1412">
        <v>37</v>
      </c>
      <c r="N1412">
        <v>38.200000000000003</v>
      </c>
      <c r="O1412">
        <v>59.6</v>
      </c>
      <c r="P1412">
        <v>5.81</v>
      </c>
      <c r="Q1412">
        <v>3.21</v>
      </c>
      <c r="R1412" t="s">
        <v>137</v>
      </c>
      <c r="S1412" t="s">
        <v>29</v>
      </c>
      <c r="T1412" t="s">
        <v>30</v>
      </c>
      <c r="U1412" t="str">
        <f t="shared" si="66"/>
        <v>Normal</v>
      </c>
      <c r="V1412" t="str">
        <f t="shared" si="67"/>
        <v>Normal</v>
      </c>
      <c r="W1412" t="str">
        <f t="shared" si="68"/>
        <v>Normal</v>
      </c>
    </row>
    <row r="1413" spans="1:23" x14ac:dyDescent="0.3">
      <c r="A1413">
        <v>11034</v>
      </c>
      <c r="B1413" s="2">
        <v>45660</v>
      </c>
      <c r="C1413" t="s">
        <v>31</v>
      </c>
      <c r="D1413" t="s">
        <v>21</v>
      </c>
      <c r="E1413" t="s">
        <v>22</v>
      </c>
      <c r="F1413" t="s">
        <v>41</v>
      </c>
      <c r="G1413" t="s">
        <v>95</v>
      </c>
      <c r="H1413" t="s">
        <v>180</v>
      </c>
      <c r="I1413" t="s">
        <v>244</v>
      </c>
      <c r="J1413">
        <v>578</v>
      </c>
      <c r="K1413">
        <v>3</v>
      </c>
      <c r="L1413" t="s">
        <v>68</v>
      </c>
      <c r="M1413">
        <v>164</v>
      </c>
      <c r="N1413">
        <v>50.3</v>
      </c>
      <c r="O1413">
        <v>59.6</v>
      </c>
      <c r="P1413">
        <v>5.62</v>
      </c>
      <c r="Q1413">
        <v>2.79</v>
      </c>
      <c r="R1413" t="s">
        <v>195</v>
      </c>
      <c r="S1413" t="s">
        <v>47</v>
      </c>
      <c r="T1413" t="s">
        <v>30</v>
      </c>
      <c r="U1413" t="str">
        <f t="shared" si="66"/>
        <v>Normal</v>
      </c>
      <c r="V1413" t="str">
        <f t="shared" si="67"/>
        <v>Normal</v>
      </c>
      <c r="W1413" t="str">
        <f t="shared" si="68"/>
        <v>Normal</v>
      </c>
    </row>
    <row r="1414" spans="1:23" x14ac:dyDescent="0.3">
      <c r="A1414">
        <v>10730</v>
      </c>
      <c r="B1414" s="2">
        <v>45926</v>
      </c>
      <c r="C1414" t="s">
        <v>20</v>
      </c>
      <c r="D1414" t="s">
        <v>64</v>
      </c>
      <c r="E1414" t="s">
        <v>22</v>
      </c>
      <c r="F1414" t="s">
        <v>41</v>
      </c>
      <c r="G1414" t="s">
        <v>50</v>
      </c>
      <c r="H1414" t="s">
        <v>192</v>
      </c>
      <c r="I1414" t="s">
        <v>289</v>
      </c>
      <c r="J1414">
        <v>1195</v>
      </c>
      <c r="K1414">
        <v>40</v>
      </c>
      <c r="L1414" t="s">
        <v>57</v>
      </c>
      <c r="M1414">
        <v>67</v>
      </c>
      <c r="N1414">
        <v>44.7</v>
      </c>
      <c r="O1414">
        <v>59.5</v>
      </c>
      <c r="P1414">
        <v>5.68</v>
      </c>
      <c r="Q1414">
        <v>3.63</v>
      </c>
      <c r="R1414" t="s">
        <v>209</v>
      </c>
      <c r="S1414" t="s">
        <v>29</v>
      </c>
      <c r="T1414" t="s">
        <v>48</v>
      </c>
      <c r="U1414" t="str">
        <f t="shared" si="66"/>
        <v>Normal</v>
      </c>
      <c r="V1414" t="str">
        <f t="shared" si="67"/>
        <v>Normal</v>
      </c>
      <c r="W1414" t="str">
        <f t="shared" si="68"/>
        <v>Normal</v>
      </c>
    </row>
    <row r="1415" spans="1:23" x14ac:dyDescent="0.3">
      <c r="A1415">
        <v>10299</v>
      </c>
      <c r="B1415" s="2">
        <v>45839</v>
      </c>
      <c r="C1415" t="s">
        <v>20</v>
      </c>
      <c r="D1415" t="s">
        <v>21</v>
      </c>
      <c r="E1415" t="s">
        <v>22</v>
      </c>
      <c r="F1415" t="s">
        <v>23</v>
      </c>
      <c r="G1415" t="s">
        <v>42</v>
      </c>
      <c r="H1415" t="s">
        <v>66</v>
      </c>
      <c r="I1415" t="s">
        <v>256</v>
      </c>
      <c r="J1415">
        <v>544</v>
      </c>
      <c r="K1415">
        <v>7</v>
      </c>
      <c r="L1415" t="s">
        <v>57</v>
      </c>
      <c r="M1415">
        <v>61</v>
      </c>
      <c r="N1415">
        <v>37.299999999999997</v>
      </c>
      <c r="O1415">
        <v>59.4</v>
      </c>
      <c r="P1415">
        <v>4.5599999999999996</v>
      </c>
      <c r="Q1415">
        <v>2.96</v>
      </c>
      <c r="R1415" t="s">
        <v>46</v>
      </c>
      <c r="S1415" t="s">
        <v>73</v>
      </c>
      <c r="T1415" t="s">
        <v>30</v>
      </c>
      <c r="U1415" t="str">
        <f t="shared" si="66"/>
        <v>Normal</v>
      </c>
      <c r="V1415" t="str">
        <f t="shared" si="67"/>
        <v>Normal</v>
      </c>
      <c r="W1415" t="str">
        <f t="shared" si="68"/>
        <v>Normal</v>
      </c>
    </row>
    <row r="1416" spans="1:23" x14ac:dyDescent="0.3">
      <c r="A1416">
        <v>10042</v>
      </c>
      <c r="B1416" s="2">
        <v>45746</v>
      </c>
      <c r="C1416" t="s">
        <v>49</v>
      </c>
      <c r="D1416" t="s">
        <v>21</v>
      </c>
      <c r="E1416" t="s">
        <v>107</v>
      </c>
      <c r="F1416" t="s">
        <v>41</v>
      </c>
      <c r="G1416" t="s">
        <v>95</v>
      </c>
      <c r="H1416" t="s">
        <v>165</v>
      </c>
      <c r="I1416" t="s">
        <v>253</v>
      </c>
      <c r="J1416">
        <v>454</v>
      </c>
      <c r="K1416">
        <v>2</v>
      </c>
      <c r="L1416" t="s">
        <v>37</v>
      </c>
      <c r="M1416">
        <v>27</v>
      </c>
      <c r="N1416">
        <v>56</v>
      </c>
      <c r="O1416">
        <v>59.4</v>
      </c>
      <c r="P1416">
        <v>4.2300000000000004</v>
      </c>
      <c r="Q1416">
        <v>1.03</v>
      </c>
      <c r="R1416" t="s">
        <v>137</v>
      </c>
      <c r="S1416" t="s">
        <v>29</v>
      </c>
      <c r="T1416" t="s">
        <v>30</v>
      </c>
      <c r="U1416" t="str">
        <f t="shared" si="66"/>
        <v>Normal</v>
      </c>
      <c r="V1416" t="str">
        <f t="shared" si="67"/>
        <v>Normal</v>
      </c>
      <c r="W1416" t="str">
        <f t="shared" si="68"/>
        <v>Normal</v>
      </c>
    </row>
    <row r="1417" spans="1:23" x14ac:dyDescent="0.3">
      <c r="A1417">
        <v>10429</v>
      </c>
      <c r="B1417" s="2">
        <v>45792</v>
      </c>
      <c r="C1417" t="s">
        <v>49</v>
      </c>
      <c r="D1417" t="s">
        <v>32</v>
      </c>
      <c r="E1417" t="s">
        <v>22</v>
      </c>
      <c r="F1417" t="s">
        <v>23</v>
      </c>
      <c r="G1417" t="s">
        <v>24</v>
      </c>
      <c r="H1417" t="s">
        <v>177</v>
      </c>
      <c r="I1417" t="s">
        <v>178</v>
      </c>
      <c r="J1417">
        <v>1072</v>
      </c>
      <c r="K1417">
        <v>7</v>
      </c>
      <c r="L1417" t="s">
        <v>57</v>
      </c>
      <c r="M1417">
        <v>154</v>
      </c>
      <c r="N1417">
        <v>39.799999999999997</v>
      </c>
      <c r="O1417">
        <v>59.3</v>
      </c>
      <c r="P1417">
        <v>6.11</v>
      </c>
      <c r="Q1417">
        <v>1.88</v>
      </c>
      <c r="R1417" t="s">
        <v>140</v>
      </c>
      <c r="S1417" t="s">
        <v>73</v>
      </c>
      <c r="T1417" t="s">
        <v>30</v>
      </c>
      <c r="U1417" t="str">
        <f t="shared" si="66"/>
        <v>Normal</v>
      </c>
      <c r="V1417" t="str">
        <f t="shared" si="67"/>
        <v>Normal</v>
      </c>
      <c r="W1417" t="str">
        <f t="shared" si="68"/>
        <v>Normal</v>
      </c>
    </row>
    <row r="1418" spans="1:23" x14ac:dyDescent="0.3">
      <c r="A1418">
        <v>10343</v>
      </c>
      <c r="B1418" s="2">
        <v>45673</v>
      </c>
      <c r="C1418" t="s">
        <v>49</v>
      </c>
      <c r="D1418" t="s">
        <v>21</v>
      </c>
      <c r="E1418" t="s">
        <v>40</v>
      </c>
      <c r="F1418" t="s">
        <v>41</v>
      </c>
      <c r="G1418" t="s">
        <v>42</v>
      </c>
      <c r="H1418" t="s">
        <v>69</v>
      </c>
      <c r="I1418" t="s">
        <v>70</v>
      </c>
      <c r="J1418">
        <v>1308</v>
      </c>
      <c r="K1418">
        <v>16</v>
      </c>
      <c r="L1418" t="s">
        <v>71</v>
      </c>
      <c r="M1418">
        <v>36</v>
      </c>
      <c r="N1418">
        <v>40.200000000000003</v>
      </c>
      <c r="O1418">
        <v>59.2</v>
      </c>
      <c r="P1418">
        <v>4.6100000000000003</v>
      </c>
      <c r="Q1418">
        <v>3.52</v>
      </c>
      <c r="R1418" t="s">
        <v>72</v>
      </c>
      <c r="S1418" t="s">
        <v>73</v>
      </c>
      <c r="T1418" t="s">
        <v>30</v>
      </c>
      <c r="U1418" t="str">
        <f t="shared" si="66"/>
        <v>Normal</v>
      </c>
      <c r="V1418" t="str">
        <f t="shared" si="67"/>
        <v>Normal</v>
      </c>
      <c r="W1418" t="str">
        <f t="shared" si="68"/>
        <v>Normal</v>
      </c>
    </row>
    <row r="1419" spans="1:23" x14ac:dyDescent="0.3">
      <c r="A1419">
        <v>11445</v>
      </c>
      <c r="B1419" s="2">
        <v>45981</v>
      </c>
      <c r="C1419" t="s">
        <v>31</v>
      </c>
      <c r="D1419" t="s">
        <v>21</v>
      </c>
      <c r="E1419" t="s">
        <v>107</v>
      </c>
      <c r="F1419" t="s">
        <v>41</v>
      </c>
      <c r="G1419" t="s">
        <v>42</v>
      </c>
      <c r="H1419" t="s">
        <v>263</v>
      </c>
      <c r="I1419" t="s">
        <v>171</v>
      </c>
      <c r="J1419">
        <v>1382</v>
      </c>
      <c r="K1419">
        <v>17</v>
      </c>
      <c r="L1419" t="s">
        <v>27</v>
      </c>
      <c r="M1419">
        <v>58</v>
      </c>
      <c r="N1419">
        <v>50.2</v>
      </c>
      <c r="O1419">
        <v>59.2</v>
      </c>
      <c r="P1419">
        <v>4.49</v>
      </c>
      <c r="Q1419">
        <v>2.94</v>
      </c>
      <c r="R1419" t="s">
        <v>46</v>
      </c>
      <c r="S1419" t="s">
        <v>47</v>
      </c>
      <c r="T1419" t="s">
        <v>30</v>
      </c>
      <c r="U1419" t="str">
        <f t="shared" si="66"/>
        <v>Normal</v>
      </c>
      <c r="V1419" t="str">
        <f t="shared" si="67"/>
        <v>Normal</v>
      </c>
      <c r="W1419" t="str">
        <f t="shared" si="68"/>
        <v>Normal</v>
      </c>
    </row>
    <row r="1420" spans="1:23" x14ac:dyDescent="0.3">
      <c r="A1420">
        <v>10286</v>
      </c>
      <c r="B1420" s="2">
        <v>45951</v>
      </c>
      <c r="C1420" t="s">
        <v>31</v>
      </c>
      <c r="D1420" t="s">
        <v>59</v>
      </c>
      <c r="E1420" t="s">
        <v>107</v>
      </c>
      <c r="F1420" t="s">
        <v>81</v>
      </c>
      <c r="G1420" t="s">
        <v>134</v>
      </c>
      <c r="H1420" t="s">
        <v>213</v>
      </c>
      <c r="I1420" t="s">
        <v>185</v>
      </c>
      <c r="J1420">
        <v>535</v>
      </c>
      <c r="K1420">
        <v>3</v>
      </c>
      <c r="L1420" t="s">
        <v>37</v>
      </c>
      <c r="M1420">
        <v>61</v>
      </c>
      <c r="N1420">
        <v>41.3</v>
      </c>
      <c r="O1420">
        <v>59.2</v>
      </c>
      <c r="P1420">
        <v>4.59</v>
      </c>
      <c r="Q1420">
        <v>2.66</v>
      </c>
      <c r="R1420" t="s">
        <v>202</v>
      </c>
      <c r="S1420" t="s">
        <v>47</v>
      </c>
      <c r="T1420" t="s">
        <v>30</v>
      </c>
      <c r="U1420" t="str">
        <f t="shared" si="66"/>
        <v>Normal</v>
      </c>
      <c r="V1420" t="str">
        <f t="shared" si="67"/>
        <v>Normal</v>
      </c>
      <c r="W1420" t="str">
        <f t="shared" si="68"/>
        <v>Normal</v>
      </c>
    </row>
    <row r="1421" spans="1:23" x14ac:dyDescent="0.3">
      <c r="A1421">
        <v>10382</v>
      </c>
      <c r="B1421" s="2">
        <v>46000</v>
      </c>
      <c r="C1421" t="s">
        <v>20</v>
      </c>
      <c r="D1421" t="s">
        <v>59</v>
      </c>
      <c r="E1421" t="s">
        <v>107</v>
      </c>
      <c r="F1421" t="s">
        <v>81</v>
      </c>
      <c r="G1421" t="s">
        <v>89</v>
      </c>
      <c r="H1421" t="s">
        <v>172</v>
      </c>
      <c r="I1421" t="s">
        <v>348</v>
      </c>
      <c r="J1421">
        <v>1218</v>
      </c>
      <c r="K1421">
        <v>34</v>
      </c>
      <c r="L1421" t="s">
        <v>37</v>
      </c>
      <c r="M1421">
        <v>14</v>
      </c>
      <c r="N1421">
        <v>36.200000000000003</v>
      </c>
      <c r="O1421">
        <v>59.2</v>
      </c>
      <c r="P1421">
        <v>4.92</v>
      </c>
      <c r="Q1421">
        <v>0.65</v>
      </c>
      <c r="R1421" t="s">
        <v>240</v>
      </c>
      <c r="S1421" t="s">
        <v>47</v>
      </c>
      <c r="T1421" t="s">
        <v>30</v>
      </c>
      <c r="U1421" t="str">
        <f t="shared" si="66"/>
        <v>Normal</v>
      </c>
      <c r="V1421" t="str">
        <f t="shared" si="67"/>
        <v>Normal</v>
      </c>
      <c r="W1421" t="str">
        <f t="shared" si="68"/>
        <v>Normal</v>
      </c>
    </row>
    <row r="1422" spans="1:23" x14ac:dyDescent="0.3">
      <c r="A1422">
        <v>10250</v>
      </c>
      <c r="B1422" s="2">
        <v>45725</v>
      </c>
      <c r="C1422" t="s">
        <v>49</v>
      </c>
      <c r="D1422" t="s">
        <v>64</v>
      </c>
      <c r="E1422" t="s">
        <v>33</v>
      </c>
      <c r="F1422" t="s">
        <v>23</v>
      </c>
      <c r="G1422" t="s">
        <v>60</v>
      </c>
      <c r="H1422" t="s">
        <v>123</v>
      </c>
      <c r="I1422" t="s">
        <v>26</v>
      </c>
      <c r="J1422">
        <v>1529</v>
      </c>
      <c r="K1422">
        <v>11</v>
      </c>
      <c r="L1422" t="s">
        <v>45</v>
      </c>
      <c r="M1422">
        <v>28</v>
      </c>
      <c r="N1422">
        <v>35.5</v>
      </c>
      <c r="O1422">
        <v>59.2</v>
      </c>
      <c r="P1422">
        <v>4.9400000000000004</v>
      </c>
      <c r="Q1422">
        <v>2.57</v>
      </c>
      <c r="R1422" t="s">
        <v>184</v>
      </c>
      <c r="S1422" t="s">
        <v>39</v>
      </c>
      <c r="T1422" t="s">
        <v>30</v>
      </c>
      <c r="U1422" t="str">
        <f t="shared" si="66"/>
        <v>Normal</v>
      </c>
      <c r="V1422" t="str">
        <f t="shared" si="67"/>
        <v>Normal</v>
      </c>
      <c r="W1422" t="str">
        <f t="shared" si="68"/>
        <v>Normal</v>
      </c>
    </row>
    <row r="1423" spans="1:23" x14ac:dyDescent="0.3">
      <c r="A1423">
        <v>11193</v>
      </c>
      <c r="B1423" s="2">
        <v>45961</v>
      </c>
      <c r="C1423" t="s">
        <v>31</v>
      </c>
      <c r="D1423" t="s">
        <v>21</v>
      </c>
      <c r="E1423" t="s">
        <v>40</v>
      </c>
      <c r="F1423" t="s">
        <v>41</v>
      </c>
      <c r="G1423" t="s">
        <v>54</v>
      </c>
      <c r="H1423" t="s">
        <v>252</v>
      </c>
      <c r="I1423" t="s">
        <v>145</v>
      </c>
      <c r="J1423">
        <v>1298</v>
      </c>
      <c r="K1423">
        <v>10</v>
      </c>
      <c r="L1423" t="s">
        <v>37</v>
      </c>
      <c r="M1423">
        <v>22</v>
      </c>
      <c r="N1423">
        <v>36.1</v>
      </c>
      <c r="O1423">
        <v>59.1</v>
      </c>
      <c r="P1423">
        <v>4.91</v>
      </c>
      <c r="Q1423">
        <v>4.04</v>
      </c>
      <c r="R1423" t="s">
        <v>222</v>
      </c>
      <c r="S1423" t="s">
        <v>73</v>
      </c>
      <c r="T1423" t="s">
        <v>30</v>
      </c>
      <c r="U1423" t="str">
        <f t="shared" si="66"/>
        <v>Normal</v>
      </c>
      <c r="V1423" t="str">
        <f t="shared" si="67"/>
        <v>Normal</v>
      </c>
      <c r="W1423" t="str">
        <f t="shared" si="68"/>
        <v>Normal</v>
      </c>
    </row>
    <row r="1424" spans="1:23" x14ac:dyDescent="0.3">
      <c r="A1424">
        <v>11225</v>
      </c>
      <c r="B1424" s="2">
        <v>45819</v>
      </c>
      <c r="C1424" t="s">
        <v>49</v>
      </c>
      <c r="D1424" t="s">
        <v>21</v>
      </c>
      <c r="E1424" t="s">
        <v>40</v>
      </c>
      <c r="F1424" t="s">
        <v>23</v>
      </c>
      <c r="G1424" t="s">
        <v>60</v>
      </c>
      <c r="H1424" t="s">
        <v>265</v>
      </c>
      <c r="I1424" t="s">
        <v>356</v>
      </c>
      <c r="J1424">
        <v>870</v>
      </c>
      <c r="K1424">
        <v>7</v>
      </c>
      <c r="L1424" t="s">
        <v>27</v>
      </c>
      <c r="M1424">
        <v>152</v>
      </c>
      <c r="N1424">
        <v>51.3</v>
      </c>
      <c r="O1424">
        <v>59.1</v>
      </c>
      <c r="P1424">
        <v>4.3099999999999996</v>
      </c>
      <c r="Q1424">
        <v>4.6900000000000004</v>
      </c>
      <c r="R1424" t="s">
        <v>72</v>
      </c>
      <c r="S1424" t="s">
        <v>29</v>
      </c>
      <c r="T1424" t="s">
        <v>30</v>
      </c>
      <c r="U1424" t="str">
        <f t="shared" si="66"/>
        <v>Normal</v>
      </c>
      <c r="V1424" t="str">
        <f t="shared" si="67"/>
        <v>Normal</v>
      </c>
      <c r="W1424" t="str">
        <f t="shared" si="68"/>
        <v>Normal</v>
      </c>
    </row>
    <row r="1425" spans="1:23" x14ac:dyDescent="0.3">
      <c r="A1425">
        <v>11424</v>
      </c>
      <c r="B1425" s="2">
        <v>45909</v>
      </c>
      <c r="C1425" t="s">
        <v>49</v>
      </c>
      <c r="D1425" t="s">
        <v>59</v>
      </c>
      <c r="E1425" t="s">
        <v>107</v>
      </c>
      <c r="F1425" t="s">
        <v>81</v>
      </c>
      <c r="G1425" t="s">
        <v>95</v>
      </c>
      <c r="H1425" t="s">
        <v>99</v>
      </c>
      <c r="I1425" t="s">
        <v>294</v>
      </c>
      <c r="J1425">
        <v>1318</v>
      </c>
      <c r="K1425">
        <v>46</v>
      </c>
      <c r="L1425" t="s">
        <v>71</v>
      </c>
      <c r="M1425">
        <v>60</v>
      </c>
      <c r="N1425">
        <v>54</v>
      </c>
      <c r="O1425">
        <v>59</v>
      </c>
      <c r="P1425">
        <v>5.48</v>
      </c>
      <c r="Q1425">
        <v>3.11</v>
      </c>
      <c r="R1425" t="s">
        <v>174</v>
      </c>
      <c r="S1425" t="s">
        <v>39</v>
      </c>
      <c r="T1425" t="s">
        <v>48</v>
      </c>
      <c r="U1425" t="str">
        <f t="shared" si="66"/>
        <v>Normal</v>
      </c>
      <c r="V1425" t="str">
        <f t="shared" si="67"/>
        <v>Normal</v>
      </c>
      <c r="W1425" t="str">
        <f t="shared" si="68"/>
        <v>Normal</v>
      </c>
    </row>
    <row r="1426" spans="1:23" x14ac:dyDescent="0.3">
      <c r="A1426">
        <v>10972</v>
      </c>
      <c r="B1426" s="2">
        <v>45835</v>
      </c>
      <c r="C1426" t="s">
        <v>20</v>
      </c>
      <c r="D1426" t="s">
        <v>64</v>
      </c>
      <c r="E1426" t="s">
        <v>107</v>
      </c>
      <c r="F1426" t="s">
        <v>23</v>
      </c>
      <c r="G1426" t="s">
        <v>54</v>
      </c>
      <c r="H1426" t="s">
        <v>25</v>
      </c>
      <c r="I1426" t="s">
        <v>327</v>
      </c>
      <c r="J1426">
        <v>1120</v>
      </c>
      <c r="K1426">
        <v>6</v>
      </c>
      <c r="L1426" t="s">
        <v>45</v>
      </c>
      <c r="M1426">
        <v>49</v>
      </c>
      <c r="N1426">
        <v>46.4</v>
      </c>
      <c r="O1426">
        <v>59</v>
      </c>
      <c r="P1426">
        <v>6.31</v>
      </c>
      <c r="Q1426">
        <v>3.32</v>
      </c>
      <c r="R1426" t="s">
        <v>267</v>
      </c>
      <c r="S1426" t="s">
        <v>29</v>
      </c>
      <c r="T1426" t="s">
        <v>30</v>
      </c>
      <c r="U1426" t="str">
        <f t="shared" si="66"/>
        <v>Normal</v>
      </c>
      <c r="V1426" t="str">
        <f t="shared" si="67"/>
        <v>Normal</v>
      </c>
      <c r="W1426" t="str">
        <f t="shared" si="68"/>
        <v>Normal</v>
      </c>
    </row>
    <row r="1427" spans="1:23" x14ac:dyDescent="0.3">
      <c r="A1427">
        <v>10908</v>
      </c>
      <c r="B1427" s="2">
        <v>45934</v>
      </c>
      <c r="C1427" t="s">
        <v>20</v>
      </c>
      <c r="D1427" t="s">
        <v>21</v>
      </c>
      <c r="E1427" t="s">
        <v>22</v>
      </c>
      <c r="F1427" t="s">
        <v>23</v>
      </c>
      <c r="G1427" t="s">
        <v>24</v>
      </c>
      <c r="H1427" t="s">
        <v>25</v>
      </c>
      <c r="I1427" t="s">
        <v>26</v>
      </c>
      <c r="J1427">
        <v>1228</v>
      </c>
      <c r="K1427">
        <v>10</v>
      </c>
      <c r="L1427" t="s">
        <v>27</v>
      </c>
      <c r="M1427">
        <v>116</v>
      </c>
      <c r="N1427">
        <v>57</v>
      </c>
      <c r="O1427">
        <v>58.8</v>
      </c>
      <c r="P1427">
        <v>5.33</v>
      </c>
      <c r="Q1427">
        <v>2.63</v>
      </c>
      <c r="R1427" t="s">
        <v>28</v>
      </c>
      <c r="S1427" t="s">
        <v>29</v>
      </c>
      <c r="T1427" t="s">
        <v>30</v>
      </c>
      <c r="U1427" t="str">
        <f t="shared" si="66"/>
        <v>Normal</v>
      </c>
      <c r="V1427" t="str">
        <f t="shared" si="67"/>
        <v>Normal</v>
      </c>
      <c r="W1427" t="str">
        <f t="shared" si="68"/>
        <v>Normal</v>
      </c>
    </row>
    <row r="1428" spans="1:23" x14ac:dyDescent="0.3">
      <c r="A1428">
        <v>11461</v>
      </c>
      <c r="B1428" s="2">
        <v>45748</v>
      </c>
      <c r="C1428" t="s">
        <v>31</v>
      </c>
      <c r="D1428" t="s">
        <v>21</v>
      </c>
      <c r="E1428" t="s">
        <v>33</v>
      </c>
      <c r="F1428" t="s">
        <v>23</v>
      </c>
      <c r="G1428" t="s">
        <v>89</v>
      </c>
      <c r="H1428" t="s">
        <v>144</v>
      </c>
      <c r="I1428" t="s">
        <v>187</v>
      </c>
      <c r="J1428">
        <v>1297</v>
      </c>
      <c r="K1428">
        <v>46</v>
      </c>
      <c r="L1428" t="s">
        <v>37</v>
      </c>
      <c r="M1428">
        <v>66</v>
      </c>
      <c r="N1428">
        <v>39.799999999999997</v>
      </c>
      <c r="O1428">
        <v>58.7</v>
      </c>
      <c r="P1428">
        <v>5.87</v>
      </c>
      <c r="Q1428">
        <v>2.5</v>
      </c>
      <c r="R1428" t="s">
        <v>280</v>
      </c>
      <c r="S1428" t="s">
        <v>73</v>
      </c>
      <c r="T1428" t="s">
        <v>48</v>
      </c>
      <c r="U1428" t="str">
        <f t="shared" si="66"/>
        <v>Normal</v>
      </c>
      <c r="V1428" t="str">
        <f t="shared" si="67"/>
        <v>Normal</v>
      </c>
      <c r="W1428" t="str">
        <f t="shared" si="68"/>
        <v>Normal</v>
      </c>
    </row>
    <row r="1429" spans="1:23" x14ac:dyDescent="0.3">
      <c r="A1429">
        <v>11068</v>
      </c>
      <c r="B1429" s="2">
        <v>45981</v>
      </c>
      <c r="C1429" t="s">
        <v>49</v>
      </c>
      <c r="D1429" t="s">
        <v>59</v>
      </c>
      <c r="E1429" t="s">
        <v>40</v>
      </c>
      <c r="F1429" t="s">
        <v>41</v>
      </c>
      <c r="G1429" t="s">
        <v>113</v>
      </c>
      <c r="H1429" t="s">
        <v>120</v>
      </c>
      <c r="I1429" t="s">
        <v>118</v>
      </c>
      <c r="J1429">
        <v>491</v>
      </c>
      <c r="K1429">
        <v>7</v>
      </c>
      <c r="L1429" t="s">
        <v>45</v>
      </c>
      <c r="M1429">
        <v>99</v>
      </c>
      <c r="N1429">
        <v>35.299999999999997</v>
      </c>
      <c r="O1429">
        <v>58.7</v>
      </c>
      <c r="P1429">
        <v>5.65</v>
      </c>
      <c r="Q1429">
        <v>4.72</v>
      </c>
      <c r="R1429" t="s">
        <v>133</v>
      </c>
      <c r="S1429" t="s">
        <v>73</v>
      </c>
      <c r="T1429" t="s">
        <v>30</v>
      </c>
      <c r="U1429" t="str">
        <f t="shared" si="66"/>
        <v>Normal</v>
      </c>
      <c r="V1429" t="str">
        <f t="shared" si="67"/>
        <v>Normal</v>
      </c>
      <c r="W1429" t="str">
        <f t="shared" si="68"/>
        <v>Normal</v>
      </c>
    </row>
    <row r="1430" spans="1:23" x14ac:dyDescent="0.3">
      <c r="A1430">
        <v>10797</v>
      </c>
      <c r="B1430" s="2">
        <v>46020</v>
      </c>
      <c r="C1430" t="s">
        <v>49</v>
      </c>
      <c r="D1430" t="s">
        <v>64</v>
      </c>
      <c r="E1430" t="s">
        <v>107</v>
      </c>
      <c r="F1430" t="s">
        <v>81</v>
      </c>
      <c r="G1430" t="s">
        <v>113</v>
      </c>
      <c r="H1430" t="s">
        <v>165</v>
      </c>
      <c r="I1430" t="s">
        <v>217</v>
      </c>
      <c r="J1430">
        <v>563</v>
      </c>
      <c r="K1430">
        <v>4</v>
      </c>
      <c r="L1430" t="s">
        <v>37</v>
      </c>
      <c r="M1430">
        <v>152</v>
      </c>
      <c r="N1430">
        <v>41.5</v>
      </c>
      <c r="O1430">
        <v>58.7</v>
      </c>
      <c r="P1430">
        <v>5.89</v>
      </c>
      <c r="Q1430">
        <v>0.24</v>
      </c>
      <c r="R1430" t="s">
        <v>209</v>
      </c>
      <c r="S1430" t="s">
        <v>73</v>
      </c>
      <c r="T1430" t="s">
        <v>30</v>
      </c>
      <c r="U1430" t="str">
        <f t="shared" si="66"/>
        <v>Normal</v>
      </c>
      <c r="V1430" t="str">
        <f t="shared" si="67"/>
        <v>Normal</v>
      </c>
      <c r="W1430" t="str">
        <f t="shared" si="68"/>
        <v>Normal</v>
      </c>
    </row>
    <row r="1431" spans="1:23" x14ac:dyDescent="0.3">
      <c r="A1431">
        <v>11008</v>
      </c>
      <c r="B1431" s="2">
        <v>45982</v>
      </c>
      <c r="C1431" t="s">
        <v>31</v>
      </c>
      <c r="D1431" t="s">
        <v>21</v>
      </c>
      <c r="E1431" t="s">
        <v>22</v>
      </c>
      <c r="F1431" t="s">
        <v>23</v>
      </c>
      <c r="G1431" t="s">
        <v>109</v>
      </c>
      <c r="H1431" t="s">
        <v>351</v>
      </c>
      <c r="I1431" t="s">
        <v>44</v>
      </c>
      <c r="J1431">
        <v>1423</v>
      </c>
      <c r="K1431">
        <v>18</v>
      </c>
      <c r="L1431" t="s">
        <v>57</v>
      </c>
      <c r="M1431">
        <v>151</v>
      </c>
      <c r="N1431">
        <v>36.4</v>
      </c>
      <c r="O1431">
        <v>58.7</v>
      </c>
      <c r="P1431">
        <v>3.8</v>
      </c>
      <c r="Q1431">
        <v>4.78</v>
      </c>
      <c r="R1431" t="s">
        <v>137</v>
      </c>
      <c r="S1431" t="s">
        <v>29</v>
      </c>
      <c r="T1431" t="s">
        <v>30</v>
      </c>
      <c r="U1431" t="str">
        <f t="shared" si="66"/>
        <v>Normal</v>
      </c>
      <c r="V1431" t="str">
        <f t="shared" si="67"/>
        <v>Normal</v>
      </c>
      <c r="W1431" t="str">
        <f t="shared" si="68"/>
        <v>Normal</v>
      </c>
    </row>
    <row r="1432" spans="1:23" x14ac:dyDescent="0.3">
      <c r="A1432">
        <v>10028</v>
      </c>
      <c r="B1432" s="2">
        <v>46005</v>
      </c>
      <c r="C1432" t="s">
        <v>49</v>
      </c>
      <c r="D1432" t="s">
        <v>21</v>
      </c>
      <c r="E1432" t="s">
        <v>33</v>
      </c>
      <c r="F1432" t="s">
        <v>23</v>
      </c>
      <c r="G1432" t="s">
        <v>54</v>
      </c>
      <c r="H1432" t="s">
        <v>25</v>
      </c>
      <c r="I1432" t="s">
        <v>332</v>
      </c>
      <c r="J1432">
        <v>1185</v>
      </c>
      <c r="K1432">
        <v>3</v>
      </c>
      <c r="L1432" t="s">
        <v>37</v>
      </c>
      <c r="M1432">
        <v>45</v>
      </c>
      <c r="N1432">
        <v>39.700000000000003</v>
      </c>
      <c r="O1432">
        <v>58.7</v>
      </c>
      <c r="P1432">
        <v>6.58</v>
      </c>
      <c r="Q1432">
        <v>1.1599999999999999</v>
      </c>
      <c r="R1432" t="s">
        <v>128</v>
      </c>
      <c r="S1432" t="s">
        <v>73</v>
      </c>
      <c r="T1432" t="s">
        <v>30</v>
      </c>
      <c r="U1432" t="str">
        <f t="shared" si="66"/>
        <v>Normal</v>
      </c>
      <c r="V1432" t="str">
        <f t="shared" si="67"/>
        <v>Normal</v>
      </c>
      <c r="W1432" t="str">
        <f t="shared" si="68"/>
        <v>Normal</v>
      </c>
    </row>
    <row r="1433" spans="1:23" x14ac:dyDescent="0.3">
      <c r="A1433">
        <v>11005</v>
      </c>
      <c r="B1433" s="2">
        <v>45907</v>
      </c>
      <c r="C1433" t="s">
        <v>49</v>
      </c>
      <c r="D1433" t="s">
        <v>21</v>
      </c>
      <c r="E1433" t="s">
        <v>107</v>
      </c>
      <c r="F1433" t="s">
        <v>41</v>
      </c>
      <c r="G1433" t="s">
        <v>50</v>
      </c>
      <c r="H1433" t="s">
        <v>55</v>
      </c>
      <c r="I1433" t="s">
        <v>154</v>
      </c>
      <c r="J1433">
        <v>681</v>
      </c>
      <c r="K1433">
        <v>4</v>
      </c>
      <c r="L1433" t="s">
        <v>71</v>
      </c>
      <c r="M1433">
        <v>63</v>
      </c>
      <c r="N1433">
        <v>43.5</v>
      </c>
      <c r="O1433">
        <v>58.6</v>
      </c>
      <c r="P1433">
        <v>5.29</v>
      </c>
      <c r="Q1433">
        <v>3.52</v>
      </c>
      <c r="R1433" t="s">
        <v>58</v>
      </c>
      <c r="S1433" t="s">
        <v>73</v>
      </c>
      <c r="T1433" t="s">
        <v>30</v>
      </c>
      <c r="U1433" t="str">
        <f t="shared" si="66"/>
        <v>Normal</v>
      </c>
      <c r="V1433" t="str">
        <f t="shared" si="67"/>
        <v>Normal</v>
      </c>
      <c r="W1433" t="str">
        <f t="shared" si="68"/>
        <v>Normal</v>
      </c>
    </row>
    <row r="1434" spans="1:23" x14ac:dyDescent="0.3">
      <c r="A1434">
        <v>10959</v>
      </c>
      <c r="B1434" s="2">
        <v>45955</v>
      </c>
      <c r="C1434" t="s">
        <v>20</v>
      </c>
      <c r="D1434" t="s">
        <v>59</v>
      </c>
      <c r="E1434" t="s">
        <v>22</v>
      </c>
      <c r="F1434" t="s">
        <v>41</v>
      </c>
      <c r="G1434" t="s">
        <v>34</v>
      </c>
      <c r="H1434" t="s">
        <v>148</v>
      </c>
      <c r="I1434" t="s">
        <v>255</v>
      </c>
      <c r="J1434">
        <v>1293</v>
      </c>
      <c r="K1434">
        <v>9</v>
      </c>
      <c r="L1434" t="s">
        <v>45</v>
      </c>
      <c r="M1434">
        <v>72</v>
      </c>
      <c r="N1434">
        <v>43.4</v>
      </c>
      <c r="O1434">
        <v>58.6</v>
      </c>
      <c r="P1434">
        <v>5.31</v>
      </c>
      <c r="Q1434">
        <v>2.86</v>
      </c>
      <c r="R1434" t="s">
        <v>245</v>
      </c>
      <c r="S1434" t="s">
        <v>29</v>
      </c>
      <c r="T1434" t="s">
        <v>30</v>
      </c>
      <c r="U1434" t="str">
        <f t="shared" si="66"/>
        <v>Normal</v>
      </c>
      <c r="V1434" t="str">
        <f t="shared" si="67"/>
        <v>Normal</v>
      </c>
      <c r="W1434" t="str">
        <f t="shared" si="68"/>
        <v>Normal</v>
      </c>
    </row>
    <row r="1435" spans="1:23" x14ac:dyDescent="0.3">
      <c r="A1435">
        <v>10652</v>
      </c>
      <c r="B1435" s="2">
        <v>45848</v>
      </c>
      <c r="C1435" t="s">
        <v>20</v>
      </c>
      <c r="D1435" t="s">
        <v>21</v>
      </c>
      <c r="E1435" t="s">
        <v>107</v>
      </c>
      <c r="F1435" t="s">
        <v>23</v>
      </c>
      <c r="G1435" t="s">
        <v>50</v>
      </c>
      <c r="H1435" t="s">
        <v>215</v>
      </c>
      <c r="I1435" t="s">
        <v>309</v>
      </c>
      <c r="J1435">
        <v>872</v>
      </c>
      <c r="K1435">
        <v>5</v>
      </c>
      <c r="L1435" t="s">
        <v>45</v>
      </c>
      <c r="M1435">
        <v>36</v>
      </c>
      <c r="N1435">
        <v>25.5</v>
      </c>
      <c r="O1435">
        <v>58.5</v>
      </c>
      <c r="P1435">
        <v>3.9</v>
      </c>
      <c r="Q1435">
        <v>3.49</v>
      </c>
      <c r="R1435" t="s">
        <v>227</v>
      </c>
      <c r="S1435" t="s">
        <v>39</v>
      </c>
      <c r="T1435" t="s">
        <v>30</v>
      </c>
      <c r="U1435" t="str">
        <f t="shared" si="66"/>
        <v>Normal</v>
      </c>
      <c r="V1435" t="str">
        <f t="shared" si="67"/>
        <v>Normal</v>
      </c>
      <c r="W1435" t="str">
        <f t="shared" si="68"/>
        <v>Normal</v>
      </c>
    </row>
    <row r="1436" spans="1:23" x14ac:dyDescent="0.3">
      <c r="A1436">
        <v>10619</v>
      </c>
      <c r="B1436" s="2">
        <v>45943</v>
      </c>
      <c r="C1436" t="s">
        <v>31</v>
      </c>
      <c r="D1436" t="s">
        <v>59</v>
      </c>
      <c r="E1436" t="s">
        <v>40</v>
      </c>
      <c r="F1436" t="s">
        <v>81</v>
      </c>
      <c r="G1436" t="s">
        <v>134</v>
      </c>
      <c r="H1436" t="s">
        <v>161</v>
      </c>
      <c r="I1436" t="s">
        <v>234</v>
      </c>
      <c r="J1436">
        <v>1172</v>
      </c>
      <c r="K1436">
        <v>39</v>
      </c>
      <c r="L1436" t="s">
        <v>57</v>
      </c>
      <c r="M1436">
        <v>43</v>
      </c>
      <c r="N1436">
        <v>32.200000000000003</v>
      </c>
      <c r="O1436">
        <v>58.4</v>
      </c>
      <c r="P1436">
        <v>5.5</v>
      </c>
      <c r="Q1436">
        <v>1.83</v>
      </c>
      <c r="R1436" t="s">
        <v>184</v>
      </c>
      <c r="S1436" t="s">
        <v>47</v>
      </c>
      <c r="T1436" t="s">
        <v>48</v>
      </c>
      <c r="U1436" t="str">
        <f t="shared" si="66"/>
        <v>Normal</v>
      </c>
      <c r="V1436" t="str">
        <f t="shared" si="67"/>
        <v>Normal</v>
      </c>
      <c r="W1436" t="str">
        <f t="shared" si="68"/>
        <v>Normal</v>
      </c>
    </row>
    <row r="1437" spans="1:23" x14ac:dyDescent="0.3">
      <c r="A1437">
        <v>10309</v>
      </c>
      <c r="B1437" s="2">
        <v>45838</v>
      </c>
      <c r="C1437" t="s">
        <v>20</v>
      </c>
      <c r="D1437" t="s">
        <v>21</v>
      </c>
      <c r="E1437" t="s">
        <v>22</v>
      </c>
      <c r="F1437" t="s">
        <v>81</v>
      </c>
      <c r="G1437" t="s">
        <v>89</v>
      </c>
      <c r="H1437" t="s">
        <v>205</v>
      </c>
      <c r="I1437" t="s">
        <v>110</v>
      </c>
      <c r="J1437">
        <v>891</v>
      </c>
      <c r="K1437">
        <v>13</v>
      </c>
      <c r="L1437" t="s">
        <v>45</v>
      </c>
      <c r="M1437">
        <v>84</v>
      </c>
      <c r="N1437">
        <v>42.9</v>
      </c>
      <c r="O1437">
        <v>58.3</v>
      </c>
      <c r="P1437">
        <v>4.5599999999999996</v>
      </c>
      <c r="Q1437">
        <v>3.4</v>
      </c>
      <c r="R1437" t="s">
        <v>179</v>
      </c>
      <c r="S1437" t="s">
        <v>29</v>
      </c>
      <c r="T1437" t="s">
        <v>30</v>
      </c>
      <c r="U1437" t="str">
        <f t="shared" si="66"/>
        <v>Normal</v>
      </c>
      <c r="V1437" t="str">
        <f t="shared" si="67"/>
        <v>Normal</v>
      </c>
      <c r="W1437" t="str">
        <f t="shared" si="68"/>
        <v>Normal</v>
      </c>
    </row>
    <row r="1438" spans="1:23" x14ac:dyDescent="0.3">
      <c r="A1438">
        <v>10474</v>
      </c>
      <c r="B1438" s="2">
        <v>45662</v>
      </c>
      <c r="C1438" t="s">
        <v>20</v>
      </c>
      <c r="D1438" t="s">
        <v>21</v>
      </c>
      <c r="E1438" t="s">
        <v>107</v>
      </c>
      <c r="F1438" t="s">
        <v>23</v>
      </c>
      <c r="G1438" t="s">
        <v>74</v>
      </c>
      <c r="H1438" t="s">
        <v>351</v>
      </c>
      <c r="I1438" t="s">
        <v>170</v>
      </c>
      <c r="J1438">
        <v>1057</v>
      </c>
      <c r="K1438">
        <v>15</v>
      </c>
      <c r="L1438" t="s">
        <v>71</v>
      </c>
      <c r="M1438">
        <v>12</v>
      </c>
      <c r="N1438">
        <v>41.9</v>
      </c>
      <c r="O1438">
        <v>58.1</v>
      </c>
      <c r="P1438">
        <v>4.16</v>
      </c>
      <c r="Q1438">
        <v>2.4300000000000002</v>
      </c>
      <c r="R1438" t="s">
        <v>77</v>
      </c>
      <c r="S1438" t="s">
        <v>47</v>
      </c>
      <c r="T1438" t="s">
        <v>30</v>
      </c>
      <c r="U1438" t="str">
        <f t="shared" si="66"/>
        <v>Normal</v>
      </c>
      <c r="V1438" t="str">
        <f t="shared" si="67"/>
        <v>Normal</v>
      </c>
      <c r="W1438" t="str">
        <f t="shared" si="68"/>
        <v>Normal</v>
      </c>
    </row>
    <row r="1439" spans="1:23" x14ac:dyDescent="0.3">
      <c r="A1439">
        <v>10226</v>
      </c>
      <c r="B1439" s="2">
        <v>45721</v>
      </c>
      <c r="C1439" t="s">
        <v>20</v>
      </c>
      <c r="D1439" t="s">
        <v>32</v>
      </c>
      <c r="E1439" t="s">
        <v>40</v>
      </c>
      <c r="F1439" t="s">
        <v>23</v>
      </c>
      <c r="G1439" t="s">
        <v>34</v>
      </c>
      <c r="H1439" t="s">
        <v>200</v>
      </c>
      <c r="I1439" t="s">
        <v>361</v>
      </c>
      <c r="J1439">
        <v>644</v>
      </c>
      <c r="K1439">
        <v>5</v>
      </c>
      <c r="L1439" t="s">
        <v>27</v>
      </c>
      <c r="M1439">
        <v>67</v>
      </c>
      <c r="N1439">
        <v>33.9</v>
      </c>
      <c r="O1439">
        <v>58</v>
      </c>
      <c r="P1439">
        <v>4.8899999999999997</v>
      </c>
      <c r="Q1439">
        <v>2.97</v>
      </c>
      <c r="R1439" t="s">
        <v>77</v>
      </c>
      <c r="S1439" t="s">
        <v>29</v>
      </c>
      <c r="T1439" t="s">
        <v>30</v>
      </c>
      <c r="U1439" t="str">
        <f t="shared" si="66"/>
        <v>Normal</v>
      </c>
      <c r="V1439" t="str">
        <f t="shared" si="67"/>
        <v>Normal</v>
      </c>
      <c r="W1439" t="str">
        <f t="shared" si="68"/>
        <v>Normal</v>
      </c>
    </row>
    <row r="1440" spans="1:23" x14ac:dyDescent="0.3">
      <c r="A1440">
        <v>10707</v>
      </c>
      <c r="B1440" s="2">
        <v>45729</v>
      </c>
      <c r="C1440" t="s">
        <v>31</v>
      </c>
      <c r="D1440" t="s">
        <v>59</v>
      </c>
      <c r="E1440" t="s">
        <v>40</v>
      </c>
      <c r="F1440" t="s">
        <v>23</v>
      </c>
      <c r="G1440" t="s">
        <v>60</v>
      </c>
      <c r="H1440" t="s">
        <v>88</v>
      </c>
      <c r="I1440" t="s">
        <v>276</v>
      </c>
      <c r="J1440">
        <v>1569</v>
      </c>
      <c r="K1440">
        <v>16</v>
      </c>
      <c r="L1440" t="s">
        <v>27</v>
      </c>
      <c r="M1440">
        <v>61</v>
      </c>
      <c r="N1440">
        <v>40.6</v>
      </c>
      <c r="O1440">
        <v>57.9</v>
      </c>
      <c r="P1440">
        <v>5.73</v>
      </c>
      <c r="Q1440">
        <v>3.47</v>
      </c>
      <c r="R1440" t="s">
        <v>111</v>
      </c>
      <c r="S1440" t="s">
        <v>47</v>
      </c>
      <c r="T1440" t="s">
        <v>30</v>
      </c>
      <c r="U1440" t="str">
        <f t="shared" si="66"/>
        <v>Normal</v>
      </c>
      <c r="V1440" t="str">
        <f t="shared" si="67"/>
        <v>Normal</v>
      </c>
      <c r="W1440" t="str">
        <f t="shared" si="68"/>
        <v>Normal</v>
      </c>
    </row>
    <row r="1441" spans="1:23" x14ac:dyDescent="0.3">
      <c r="A1441">
        <v>10449</v>
      </c>
      <c r="B1441" s="2">
        <v>45879</v>
      </c>
      <c r="C1441" t="s">
        <v>31</v>
      </c>
      <c r="D1441" t="s">
        <v>64</v>
      </c>
      <c r="E1441" t="s">
        <v>33</v>
      </c>
      <c r="F1441" t="s">
        <v>23</v>
      </c>
      <c r="G1441" t="s">
        <v>60</v>
      </c>
      <c r="H1441" t="s">
        <v>69</v>
      </c>
      <c r="I1441" t="s">
        <v>381</v>
      </c>
      <c r="J1441">
        <v>582</v>
      </c>
      <c r="K1441">
        <v>19</v>
      </c>
      <c r="L1441" t="s">
        <v>27</v>
      </c>
      <c r="M1441">
        <v>129</v>
      </c>
      <c r="N1441">
        <v>34.6</v>
      </c>
      <c r="O1441">
        <v>57.9</v>
      </c>
      <c r="P1441">
        <v>5.57</v>
      </c>
      <c r="Q1441">
        <v>4.1500000000000004</v>
      </c>
      <c r="R1441" t="s">
        <v>130</v>
      </c>
      <c r="S1441" t="s">
        <v>39</v>
      </c>
      <c r="T1441" t="s">
        <v>48</v>
      </c>
      <c r="U1441" t="str">
        <f t="shared" si="66"/>
        <v>Normal</v>
      </c>
      <c r="V1441" t="str">
        <f t="shared" si="67"/>
        <v>Normal</v>
      </c>
      <c r="W1441" t="str">
        <f t="shared" si="68"/>
        <v>Normal</v>
      </c>
    </row>
    <row r="1442" spans="1:23" x14ac:dyDescent="0.3">
      <c r="A1442">
        <v>10584</v>
      </c>
      <c r="B1442" s="2">
        <v>45901</v>
      </c>
      <c r="C1442" t="s">
        <v>20</v>
      </c>
      <c r="D1442" t="s">
        <v>59</v>
      </c>
      <c r="E1442" t="s">
        <v>107</v>
      </c>
      <c r="F1442" t="s">
        <v>23</v>
      </c>
      <c r="G1442" t="s">
        <v>34</v>
      </c>
      <c r="H1442" t="s">
        <v>287</v>
      </c>
      <c r="I1442" t="s">
        <v>118</v>
      </c>
      <c r="J1442">
        <v>915</v>
      </c>
      <c r="K1442">
        <v>68</v>
      </c>
      <c r="L1442" t="s">
        <v>45</v>
      </c>
      <c r="M1442">
        <v>167</v>
      </c>
      <c r="N1442">
        <v>40.9</v>
      </c>
      <c r="O1442">
        <v>57.8</v>
      </c>
      <c r="P1442">
        <v>4.57</v>
      </c>
      <c r="Q1442">
        <v>3.52</v>
      </c>
      <c r="R1442" t="s">
        <v>84</v>
      </c>
      <c r="S1442" t="s">
        <v>73</v>
      </c>
      <c r="T1442" t="s">
        <v>48</v>
      </c>
      <c r="U1442" t="str">
        <f t="shared" si="66"/>
        <v>Normal</v>
      </c>
      <c r="V1442" t="str">
        <f t="shared" si="67"/>
        <v>Normal</v>
      </c>
      <c r="W1442" t="str">
        <f t="shared" si="68"/>
        <v>Normal</v>
      </c>
    </row>
    <row r="1443" spans="1:23" x14ac:dyDescent="0.3">
      <c r="A1443">
        <v>10917</v>
      </c>
      <c r="B1443" s="2">
        <v>45878</v>
      </c>
      <c r="C1443" t="s">
        <v>31</v>
      </c>
      <c r="D1443" t="s">
        <v>59</v>
      </c>
      <c r="E1443" t="s">
        <v>40</v>
      </c>
      <c r="F1443" t="s">
        <v>41</v>
      </c>
      <c r="G1443" t="s">
        <v>109</v>
      </c>
      <c r="H1443" t="s">
        <v>96</v>
      </c>
      <c r="I1443" t="s">
        <v>154</v>
      </c>
      <c r="J1443">
        <v>1332</v>
      </c>
      <c r="K1443">
        <v>19</v>
      </c>
      <c r="L1443" t="s">
        <v>37</v>
      </c>
      <c r="M1443">
        <v>166</v>
      </c>
      <c r="N1443">
        <v>45.5</v>
      </c>
      <c r="O1443">
        <v>57.8</v>
      </c>
      <c r="P1443">
        <v>3.92</v>
      </c>
      <c r="Q1443">
        <v>3.7</v>
      </c>
      <c r="R1443" t="s">
        <v>137</v>
      </c>
      <c r="S1443" t="s">
        <v>47</v>
      </c>
      <c r="T1443" t="s">
        <v>30</v>
      </c>
      <c r="U1443" t="str">
        <f t="shared" si="66"/>
        <v>Normal</v>
      </c>
      <c r="V1443" t="str">
        <f t="shared" si="67"/>
        <v>Normal</v>
      </c>
      <c r="W1443" t="str">
        <f t="shared" si="68"/>
        <v>Normal</v>
      </c>
    </row>
    <row r="1444" spans="1:23" x14ac:dyDescent="0.3">
      <c r="A1444">
        <v>10540</v>
      </c>
      <c r="B1444" s="2">
        <v>46014</v>
      </c>
      <c r="C1444" t="s">
        <v>49</v>
      </c>
      <c r="D1444" t="s">
        <v>59</v>
      </c>
      <c r="E1444" t="s">
        <v>33</v>
      </c>
      <c r="F1444" t="s">
        <v>23</v>
      </c>
      <c r="G1444" t="s">
        <v>134</v>
      </c>
      <c r="H1444" t="s">
        <v>75</v>
      </c>
      <c r="I1444" t="s">
        <v>315</v>
      </c>
      <c r="J1444">
        <v>1518</v>
      </c>
      <c r="K1444">
        <v>70</v>
      </c>
      <c r="L1444" t="s">
        <v>45</v>
      </c>
      <c r="M1444">
        <v>25</v>
      </c>
      <c r="N1444">
        <v>40.4</v>
      </c>
      <c r="O1444">
        <v>57.8</v>
      </c>
      <c r="P1444">
        <v>5.04</v>
      </c>
      <c r="Q1444">
        <v>3.61</v>
      </c>
      <c r="R1444" t="s">
        <v>202</v>
      </c>
      <c r="S1444" t="s">
        <v>39</v>
      </c>
      <c r="T1444" t="s">
        <v>48</v>
      </c>
      <c r="U1444" t="str">
        <f t="shared" si="66"/>
        <v>Normal</v>
      </c>
      <c r="V1444" t="str">
        <f t="shared" si="67"/>
        <v>Normal</v>
      </c>
      <c r="W1444" t="str">
        <f t="shared" si="68"/>
        <v>Normal</v>
      </c>
    </row>
    <row r="1445" spans="1:23" x14ac:dyDescent="0.3">
      <c r="A1445">
        <v>10798</v>
      </c>
      <c r="B1445" s="2">
        <v>45944</v>
      </c>
      <c r="C1445" t="s">
        <v>31</v>
      </c>
      <c r="D1445" t="s">
        <v>64</v>
      </c>
      <c r="E1445" t="s">
        <v>33</v>
      </c>
      <c r="F1445" t="s">
        <v>23</v>
      </c>
      <c r="G1445" t="s">
        <v>24</v>
      </c>
      <c r="H1445" t="s">
        <v>114</v>
      </c>
      <c r="I1445" t="s">
        <v>357</v>
      </c>
      <c r="J1445">
        <v>1556</v>
      </c>
      <c r="K1445">
        <v>14</v>
      </c>
      <c r="L1445" t="s">
        <v>71</v>
      </c>
      <c r="M1445">
        <v>168</v>
      </c>
      <c r="N1445">
        <v>42.5</v>
      </c>
      <c r="O1445">
        <v>57.8</v>
      </c>
      <c r="P1445">
        <v>5.2</v>
      </c>
      <c r="Q1445">
        <v>2.2599999999999998</v>
      </c>
      <c r="R1445" t="s">
        <v>122</v>
      </c>
      <c r="S1445" t="s">
        <v>47</v>
      </c>
      <c r="T1445" t="s">
        <v>30</v>
      </c>
      <c r="U1445" t="str">
        <f t="shared" si="66"/>
        <v>Normal</v>
      </c>
      <c r="V1445" t="str">
        <f t="shared" si="67"/>
        <v>Normal</v>
      </c>
      <c r="W1445" t="str">
        <f t="shared" si="68"/>
        <v>Normal</v>
      </c>
    </row>
    <row r="1446" spans="1:23" x14ac:dyDescent="0.3">
      <c r="A1446">
        <v>11115</v>
      </c>
      <c r="B1446" s="2">
        <v>45907</v>
      </c>
      <c r="C1446" t="s">
        <v>31</v>
      </c>
      <c r="D1446" t="s">
        <v>64</v>
      </c>
      <c r="E1446" t="s">
        <v>40</v>
      </c>
      <c r="F1446" t="s">
        <v>23</v>
      </c>
      <c r="G1446" t="s">
        <v>113</v>
      </c>
      <c r="H1446" t="s">
        <v>114</v>
      </c>
      <c r="I1446" t="s">
        <v>115</v>
      </c>
      <c r="J1446">
        <v>764</v>
      </c>
      <c r="K1446">
        <v>3</v>
      </c>
      <c r="L1446" t="s">
        <v>37</v>
      </c>
      <c r="M1446">
        <v>85</v>
      </c>
      <c r="N1446">
        <v>47.8</v>
      </c>
      <c r="O1446">
        <v>57.6</v>
      </c>
      <c r="P1446">
        <v>6.39</v>
      </c>
      <c r="Q1446">
        <v>4.71</v>
      </c>
      <c r="R1446" t="s">
        <v>80</v>
      </c>
      <c r="S1446" t="s">
        <v>47</v>
      </c>
      <c r="T1446" t="s">
        <v>30</v>
      </c>
      <c r="U1446" t="str">
        <f t="shared" si="66"/>
        <v>Normal</v>
      </c>
      <c r="V1446" t="str">
        <f t="shared" si="67"/>
        <v>Normal</v>
      </c>
      <c r="W1446" t="str">
        <f t="shared" si="68"/>
        <v>Normal</v>
      </c>
    </row>
    <row r="1447" spans="1:23" x14ac:dyDescent="0.3">
      <c r="A1447">
        <v>11095</v>
      </c>
      <c r="B1447" s="2">
        <v>45803</v>
      </c>
      <c r="C1447" t="s">
        <v>49</v>
      </c>
      <c r="D1447" t="s">
        <v>64</v>
      </c>
      <c r="E1447" t="s">
        <v>107</v>
      </c>
      <c r="F1447" t="s">
        <v>41</v>
      </c>
      <c r="G1447" t="s">
        <v>60</v>
      </c>
      <c r="H1447" t="s">
        <v>161</v>
      </c>
      <c r="I1447" t="s">
        <v>249</v>
      </c>
      <c r="J1447">
        <v>805</v>
      </c>
      <c r="K1447">
        <v>20</v>
      </c>
      <c r="L1447" t="s">
        <v>45</v>
      </c>
      <c r="M1447">
        <v>44</v>
      </c>
      <c r="N1447">
        <v>37.6</v>
      </c>
      <c r="O1447">
        <v>57.6</v>
      </c>
      <c r="P1447">
        <v>4.55</v>
      </c>
      <c r="Q1447">
        <v>2.0299999999999998</v>
      </c>
      <c r="R1447" t="s">
        <v>195</v>
      </c>
      <c r="S1447" t="s">
        <v>47</v>
      </c>
      <c r="T1447" t="s">
        <v>30</v>
      </c>
      <c r="U1447" t="str">
        <f t="shared" si="66"/>
        <v>Normal</v>
      </c>
      <c r="V1447" t="str">
        <f t="shared" si="67"/>
        <v>Normal</v>
      </c>
      <c r="W1447" t="str">
        <f t="shared" si="68"/>
        <v>Normal</v>
      </c>
    </row>
    <row r="1448" spans="1:23" x14ac:dyDescent="0.3">
      <c r="A1448">
        <v>11238</v>
      </c>
      <c r="B1448" s="2">
        <v>45683</v>
      </c>
      <c r="C1448" t="s">
        <v>20</v>
      </c>
      <c r="D1448" t="s">
        <v>32</v>
      </c>
      <c r="E1448" t="s">
        <v>22</v>
      </c>
      <c r="F1448" t="s">
        <v>41</v>
      </c>
      <c r="G1448" t="s">
        <v>89</v>
      </c>
      <c r="H1448" t="s">
        <v>213</v>
      </c>
      <c r="I1448" t="s">
        <v>218</v>
      </c>
      <c r="J1448">
        <v>522</v>
      </c>
      <c r="K1448">
        <v>13</v>
      </c>
      <c r="L1448" t="s">
        <v>68</v>
      </c>
      <c r="M1448">
        <v>19</v>
      </c>
      <c r="N1448">
        <v>51.3</v>
      </c>
      <c r="O1448">
        <v>57.6</v>
      </c>
      <c r="P1448">
        <v>5.86</v>
      </c>
      <c r="Q1448">
        <v>4.3099999999999996</v>
      </c>
      <c r="R1448" t="s">
        <v>137</v>
      </c>
      <c r="S1448" t="s">
        <v>73</v>
      </c>
      <c r="T1448" t="s">
        <v>30</v>
      </c>
      <c r="U1448" t="str">
        <f t="shared" si="66"/>
        <v>Normal</v>
      </c>
      <c r="V1448" t="str">
        <f t="shared" si="67"/>
        <v>Normal</v>
      </c>
      <c r="W1448" t="str">
        <f t="shared" si="68"/>
        <v>Normal</v>
      </c>
    </row>
    <row r="1449" spans="1:23" x14ac:dyDescent="0.3">
      <c r="A1449">
        <v>10039</v>
      </c>
      <c r="B1449" s="2">
        <v>45851</v>
      </c>
      <c r="C1449" t="s">
        <v>31</v>
      </c>
      <c r="D1449" t="s">
        <v>32</v>
      </c>
      <c r="E1449" t="s">
        <v>107</v>
      </c>
      <c r="F1449" t="s">
        <v>41</v>
      </c>
      <c r="G1449" t="s">
        <v>54</v>
      </c>
      <c r="H1449" t="s">
        <v>131</v>
      </c>
      <c r="I1449" t="s">
        <v>361</v>
      </c>
      <c r="J1449">
        <v>453</v>
      </c>
      <c r="K1449">
        <v>18</v>
      </c>
      <c r="L1449" t="s">
        <v>57</v>
      </c>
      <c r="M1449">
        <v>158</v>
      </c>
      <c r="N1449">
        <v>36.700000000000003</v>
      </c>
      <c r="O1449">
        <v>57.6</v>
      </c>
      <c r="P1449">
        <v>3.9</v>
      </c>
      <c r="Q1449">
        <v>2.85</v>
      </c>
      <c r="R1449" t="s">
        <v>229</v>
      </c>
      <c r="S1449" t="s">
        <v>73</v>
      </c>
      <c r="T1449" t="s">
        <v>48</v>
      </c>
      <c r="U1449" t="str">
        <f t="shared" si="66"/>
        <v>Normal</v>
      </c>
      <c r="V1449" t="str">
        <f t="shared" si="67"/>
        <v>Normal</v>
      </c>
      <c r="W1449" t="str">
        <f t="shared" si="68"/>
        <v>Normal</v>
      </c>
    </row>
    <row r="1450" spans="1:23" x14ac:dyDescent="0.3">
      <c r="A1450">
        <v>10740</v>
      </c>
      <c r="B1450" s="2">
        <v>45782</v>
      </c>
      <c r="C1450" t="s">
        <v>49</v>
      </c>
      <c r="D1450" t="s">
        <v>64</v>
      </c>
      <c r="E1450" t="s">
        <v>22</v>
      </c>
      <c r="F1450" t="s">
        <v>23</v>
      </c>
      <c r="G1450" t="s">
        <v>42</v>
      </c>
      <c r="H1450" t="s">
        <v>51</v>
      </c>
      <c r="I1450" t="s">
        <v>124</v>
      </c>
      <c r="J1450">
        <v>487</v>
      </c>
      <c r="K1450">
        <v>7</v>
      </c>
      <c r="L1450" t="s">
        <v>68</v>
      </c>
      <c r="M1450">
        <v>41</v>
      </c>
      <c r="N1450">
        <v>49.3</v>
      </c>
      <c r="O1450">
        <v>57.4</v>
      </c>
      <c r="P1450">
        <v>4.96</v>
      </c>
      <c r="Q1450">
        <v>2.12</v>
      </c>
      <c r="R1450" t="s">
        <v>267</v>
      </c>
      <c r="S1450" t="s">
        <v>29</v>
      </c>
      <c r="T1450" t="s">
        <v>30</v>
      </c>
      <c r="U1450" t="str">
        <f t="shared" si="66"/>
        <v>Normal</v>
      </c>
      <c r="V1450" t="str">
        <f t="shared" si="67"/>
        <v>Normal</v>
      </c>
      <c r="W1450" t="str">
        <f t="shared" si="68"/>
        <v>Normal</v>
      </c>
    </row>
    <row r="1451" spans="1:23" x14ac:dyDescent="0.3">
      <c r="A1451">
        <v>11264</v>
      </c>
      <c r="B1451" s="2">
        <v>45673</v>
      </c>
      <c r="C1451" t="s">
        <v>20</v>
      </c>
      <c r="D1451" t="s">
        <v>32</v>
      </c>
      <c r="E1451" t="s">
        <v>22</v>
      </c>
      <c r="F1451" t="s">
        <v>41</v>
      </c>
      <c r="G1451" t="s">
        <v>54</v>
      </c>
      <c r="H1451" t="s">
        <v>126</v>
      </c>
      <c r="I1451" t="s">
        <v>374</v>
      </c>
      <c r="J1451">
        <v>1103</v>
      </c>
      <c r="K1451">
        <v>7</v>
      </c>
      <c r="L1451" t="s">
        <v>27</v>
      </c>
      <c r="M1451">
        <v>150</v>
      </c>
      <c r="N1451">
        <v>38.6</v>
      </c>
      <c r="O1451">
        <v>57.3</v>
      </c>
      <c r="P1451">
        <v>5.14</v>
      </c>
      <c r="Q1451">
        <v>4.1900000000000004</v>
      </c>
      <c r="R1451" t="s">
        <v>128</v>
      </c>
      <c r="S1451" t="s">
        <v>47</v>
      </c>
      <c r="T1451" t="s">
        <v>30</v>
      </c>
      <c r="U1451" t="str">
        <f t="shared" si="66"/>
        <v>Normal</v>
      </c>
      <c r="V1451" t="str">
        <f t="shared" si="67"/>
        <v>Normal</v>
      </c>
      <c r="W1451" t="str">
        <f t="shared" si="68"/>
        <v>Normal</v>
      </c>
    </row>
    <row r="1452" spans="1:23" x14ac:dyDescent="0.3">
      <c r="A1452">
        <v>11477</v>
      </c>
      <c r="B1452" s="2">
        <v>45823</v>
      </c>
      <c r="C1452" t="s">
        <v>31</v>
      </c>
      <c r="D1452" t="s">
        <v>64</v>
      </c>
      <c r="E1452" t="s">
        <v>33</v>
      </c>
      <c r="F1452" t="s">
        <v>23</v>
      </c>
      <c r="G1452" t="s">
        <v>113</v>
      </c>
      <c r="H1452" t="s">
        <v>190</v>
      </c>
      <c r="I1452" t="s">
        <v>204</v>
      </c>
      <c r="J1452">
        <v>647</v>
      </c>
      <c r="K1452">
        <v>16</v>
      </c>
      <c r="L1452" t="s">
        <v>27</v>
      </c>
      <c r="M1452">
        <v>142</v>
      </c>
      <c r="N1452">
        <v>43</v>
      </c>
      <c r="O1452">
        <v>57.2</v>
      </c>
      <c r="P1452">
        <v>4.3600000000000003</v>
      </c>
      <c r="Q1452">
        <v>3.43</v>
      </c>
      <c r="R1452" t="s">
        <v>28</v>
      </c>
      <c r="S1452" t="s">
        <v>39</v>
      </c>
      <c r="T1452" t="s">
        <v>30</v>
      </c>
      <c r="U1452" t="str">
        <f t="shared" si="66"/>
        <v>Normal</v>
      </c>
      <c r="V1452" t="str">
        <f t="shared" si="67"/>
        <v>Normal</v>
      </c>
      <c r="W1452" t="str">
        <f t="shared" si="68"/>
        <v>Normal</v>
      </c>
    </row>
    <row r="1453" spans="1:23" x14ac:dyDescent="0.3">
      <c r="A1453">
        <v>10606</v>
      </c>
      <c r="B1453" s="2">
        <v>45727</v>
      </c>
      <c r="C1453" t="s">
        <v>31</v>
      </c>
      <c r="D1453" t="s">
        <v>59</v>
      </c>
      <c r="E1453" t="s">
        <v>40</v>
      </c>
      <c r="F1453" t="s">
        <v>81</v>
      </c>
      <c r="G1453" t="s">
        <v>42</v>
      </c>
      <c r="H1453" t="s">
        <v>85</v>
      </c>
      <c r="I1453" t="s">
        <v>129</v>
      </c>
      <c r="J1453">
        <v>1595</v>
      </c>
      <c r="K1453">
        <v>12</v>
      </c>
      <c r="L1453" t="s">
        <v>37</v>
      </c>
      <c r="M1453">
        <v>112</v>
      </c>
      <c r="N1453">
        <v>44.6</v>
      </c>
      <c r="O1453">
        <v>57.1</v>
      </c>
      <c r="P1453">
        <v>4.6399999999999997</v>
      </c>
      <c r="Q1453">
        <v>3.99</v>
      </c>
      <c r="R1453" t="s">
        <v>195</v>
      </c>
      <c r="S1453" t="s">
        <v>39</v>
      </c>
      <c r="T1453" t="s">
        <v>30</v>
      </c>
      <c r="U1453" t="str">
        <f t="shared" si="66"/>
        <v>Normal</v>
      </c>
      <c r="V1453" t="str">
        <f t="shared" si="67"/>
        <v>Normal</v>
      </c>
      <c r="W1453" t="str">
        <f t="shared" si="68"/>
        <v>Normal</v>
      </c>
    </row>
    <row r="1454" spans="1:23" x14ac:dyDescent="0.3">
      <c r="A1454">
        <v>10709</v>
      </c>
      <c r="B1454" s="2">
        <v>45693</v>
      </c>
      <c r="C1454" t="s">
        <v>49</v>
      </c>
      <c r="D1454" t="s">
        <v>32</v>
      </c>
      <c r="E1454" t="s">
        <v>22</v>
      </c>
      <c r="F1454" t="s">
        <v>41</v>
      </c>
      <c r="G1454" t="s">
        <v>109</v>
      </c>
      <c r="H1454" t="s">
        <v>126</v>
      </c>
      <c r="I1454" t="s">
        <v>307</v>
      </c>
      <c r="J1454">
        <v>906</v>
      </c>
      <c r="K1454">
        <v>28</v>
      </c>
      <c r="L1454" t="s">
        <v>68</v>
      </c>
      <c r="M1454">
        <v>76</v>
      </c>
      <c r="N1454">
        <v>46.6</v>
      </c>
      <c r="O1454">
        <v>57.1</v>
      </c>
      <c r="P1454">
        <v>4.8</v>
      </c>
      <c r="Q1454">
        <v>2.5</v>
      </c>
      <c r="R1454" t="s">
        <v>159</v>
      </c>
      <c r="S1454" t="s">
        <v>29</v>
      </c>
      <c r="T1454" t="s">
        <v>48</v>
      </c>
      <c r="U1454" t="str">
        <f t="shared" si="66"/>
        <v>Normal</v>
      </c>
      <c r="V1454" t="str">
        <f t="shared" si="67"/>
        <v>Normal</v>
      </c>
      <c r="W1454" t="str">
        <f t="shared" si="68"/>
        <v>Normal</v>
      </c>
    </row>
    <row r="1455" spans="1:23" x14ac:dyDescent="0.3">
      <c r="A1455">
        <v>11279</v>
      </c>
      <c r="B1455" s="2">
        <v>45731</v>
      </c>
      <c r="C1455" t="s">
        <v>31</v>
      </c>
      <c r="D1455" t="s">
        <v>32</v>
      </c>
      <c r="E1455" t="s">
        <v>22</v>
      </c>
      <c r="F1455" t="s">
        <v>23</v>
      </c>
      <c r="G1455" t="s">
        <v>60</v>
      </c>
      <c r="H1455" t="s">
        <v>190</v>
      </c>
      <c r="I1455" t="s">
        <v>338</v>
      </c>
      <c r="J1455">
        <v>1487</v>
      </c>
      <c r="K1455">
        <v>36</v>
      </c>
      <c r="L1455" t="s">
        <v>27</v>
      </c>
      <c r="M1455">
        <v>136</v>
      </c>
      <c r="N1455">
        <v>35.200000000000003</v>
      </c>
      <c r="O1455">
        <v>57.1</v>
      </c>
      <c r="P1455">
        <v>4.63</v>
      </c>
      <c r="Q1455">
        <v>4.84</v>
      </c>
      <c r="R1455" t="s">
        <v>84</v>
      </c>
      <c r="S1455" t="s">
        <v>73</v>
      </c>
      <c r="T1455" t="s">
        <v>30</v>
      </c>
      <c r="U1455" t="str">
        <f t="shared" si="66"/>
        <v>Normal</v>
      </c>
      <c r="V1455" t="str">
        <f t="shared" si="67"/>
        <v>Normal</v>
      </c>
      <c r="W1455" t="str">
        <f t="shared" si="68"/>
        <v>Normal</v>
      </c>
    </row>
    <row r="1456" spans="1:23" x14ac:dyDescent="0.3">
      <c r="A1456">
        <v>10218</v>
      </c>
      <c r="B1456" s="2">
        <v>45994</v>
      </c>
      <c r="C1456" t="s">
        <v>31</v>
      </c>
      <c r="D1456" t="s">
        <v>32</v>
      </c>
      <c r="E1456" t="s">
        <v>107</v>
      </c>
      <c r="F1456" t="s">
        <v>41</v>
      </c>
      <c r="G1456" t="s">
        <v>60</v>
      </c>
      <c r="H1456" t="s">
        <v>192</v>
      </c>
      <c r="I1456" t="s">
        <v>314</v>
      </c>
      <c r="J1456">
        <v>462</v>
      </c>
      <c r="K1456">
        <v>10</v>
      </c>
      <c r="L1456" t="s">
        <v>68</v>
      </c>
      <c r="M1456">
        <v>108</v>
      </c>
      <c r="N1456">
        <v>37.5</v>
      </c>
      <c r="O1456">
        <v>57.1</v>
      </c>
      <c r="P1456">
        <v>6.48</v>
      </c>
      <c r="Q1456">
        <v>2.41</v>
      </c>
      <c r="R1456" t="s">
        <v>92</v>
      </c>
      <c r="S1456" t="s">
        <v>29</v>
      </c>
      <c r="T1456" t="s">
        <v>30</v>
      </c>
      <c r="U1456" t="str">
        <f t="shared" si="66"/>
        <v>Normal</v>
      </c>
      <c r="V1456" t="str">
        <f t="shared" si="67"/>
        <v>Normal</v>
      </c>
      <c r="W1456" t="str">
        <f t="shared" si="68"/>
        <v>Normal</v>
      </c>
    </row>
    <row r="1457" spans="1:23" x14ac:dyDescent="0.3">
      <c r="A1457">
        <v>10406</v>
      </c>
      <c r="B1457" s="2">
        <v>45771</v>
      </c>
      <c r="C1457" t="s">
        <v>31</v>
      </c>
      <c r="D1457" t="s">
        <v>21</v>
      </c>
      <c r="E1457" t="s">
        <v>40</v>
      </c>
      <c r="F1457" t="s">
        <v>23</v>
      </c>
      <c r="G1457" t="s">
        <v>60</v>
      </c>
      <c r="H1457" t="s">
        <v>165</v>
      </c>
      <c r="I1457" t="s">
        <v>349</v>
      </c>
      <c r="J1457">
        <v>1320</v>
      </c>
      <c r="K1457">
        <v>18</v>
      </c>
      <c r="L1457" t="s">
        <v>57</v>
      </c>
      <c r="M1457">
        <v>173</v>
      </c>
      <c r="N1457">
        <v>41.4</v>
      </c>
      <c r="O1457">
        <v>57</v>
      </c>
      <c r="P1457">
        <v>6.43</v>
      </c>
      <c r="Q1457">
        <v>2.4</v>
      </c>
      <c r="R1457" t="s">
        <v>209</v>
      </c>
      <c r="S1457" t="s">
        <v>47</v>
      </c>
      <c r="T1457" t="s">
        <v>30</v>
      </c>
      <c r="U1457" t="str">
        <f t="shared" si="66"/>
        <v>Normal</v>
      </c>
      <c r="V1457" t="str">
        <f t="shared" si="67"/>
        <v>Normal</v>
      </c>
      <c r="W1457" t="str">
        <f t="shared" si="68"/>
        <v>Normal</v>
      </c>
    </row>
    <row r="1458" spans="1:23" x14ac:dyDescent="0.3">
      <c r="A1458">
        <v>11228</v>
      </c>
      <c r="B1458" s="2">
        <v>45947</v>
      </c>
      <c r="C1458" t="s">
        <v>49</v>
      </c>
      <c r="D1458" t="s">
        <v>64</v>
      </c>
      <c r="E1458" t="s">
        <v>22</v>
      </c>
      <c r="F1458" t="s">
        <v>41</v>
      </c>
      <c r="G1458" t="s">
        <v>54</v>
      </c>
      <c r="H1458" t="s">
        <v>138</v>
      </c>
      <c r="I1458" t="s">
        <v>211</v>
      </c>
      <c r="J1458">
        <v>1033</v>
      </c>
      <c r="K1458">
        <v>6</v>
      </c>
      <c r="L1458" t="s">
        <v>68</v>
      </c>
      <c r="M1458">
        <v>161</v>
      </c>
      <c r="N1458">
        <v>35.799999999999997</v>
      </c>
      <c r="O1458">
        <v>57</v>
      </c>
      <c r="P1458">
        <v>4.25</v>
      </c>
      <c r="Q1458">
        <v>0.87</v>
      </c>
      <c r="R1458" t="s">
        <v>186</v>
      </c>
      <c r="S1458" t="s">
        <v>29</v>
      </c>
      <c r="T1458" t="s">
        <v>30</v>
      </c>
      <c r="U1458" t="str">
        <f t="shared" si="66"/>
        <v>Normal</v>
      </c>
      <c r="V1458" t="str">
        <f t="shared" si="67"/>
        <v>Normal</v>
      </c>
      <c r="W1458" t="str">
        <f t="shared" si="68"/>
        <v>Normal</v>
      </c>
    </row>
    <row r="1459" spans="1:23" x14ac:dyDescent="0.3">
      <c r="A1459">
        <v>11260</v>
      </c>
      <c r="B1459" s="2">
        <v>45827</v>
      </c>
      <c r="C1459" t="s">
        <v>49</v>
      </c>
      <c r="D1459" t="s">
        <v>59</v>
      </c>
      <c r="E1459" t="s">
        <v>107</v>
      </c>
      <c r="F1459" t="s">
        <v>23</v>
      </c>
      <c r="G1459" t="s">
        <v>54</v>
      </c>
      <c r="H1459" t="s">
        <v>205</v>
      </c>
      <c r="I1459" t="s">
        <v>340</v>
      </c>
      <c r="J1459">
        <v>670</v>
      </c>
      <c r="K1459">
        <v>2</v>
      </c>
      <c r="L1459" t="s">
        <v>71</v>
      </c>
      <c r="M1459">
        <v>173</v>
      </c>
      <c r="N1459">
        <v>54.1</v>
      </c>
      <c r="O1459">
        <v>56.9</v>
      </c>
      <c r="P1459">
        <v>5.89</v>
      </c>
      <c r="Q1459">
        <v>4.4800000000000004</v>
      </c>
      <c r="R1459" t="s">
        <v>38</v>
      </c>
      <c r="S1459" t="s">
        <v>73</v>
      </c>
      <c r="T1459" t="s">
        <v>30</v>
      </c>
      <c r="U1459" t="str">
        <f t="shared" si="66"/>
        <v>Normal</v>
      </c>
      <c r="V1459" t="str">
        <f t="shared" si="67"/>
        <v>Normal</v>
      </c>
      <c r="W1459" t="str">
        <f t="shared" si="68"/>
        <v>Normal</v>
      </c>
    </row>
    <row r="1460" spans="1:23" x14ac:dyDescent="0.3">
      <c r="A1460">
        <v>11386</v>
      </c>
      <c r="B1460" s="2">
        <v>45816</v>
      </c>
      <c r="C1460" t="s">
        <v>49</v>
      </c>
      <c r="D1460" t="s">
        <v>21</v>
      </c>
      <c r="E1460" t="s">
        <v>107</v>
      </c>
      <c r="F1460" t="s">
        <v>41</v>
      </c>
      <c r="G1460" t="s">
        <v>24</v>
      </c>
      <c r="H1460" t="s">
        <v>66</v>
      </c>
      <c r="I1460" t="s">
        <v>178</v>
      </c>
      <c r="J1460">
        <v>1280</v>
      </c>
      <c r="K1460">
        <v>7</v>
      </c>
      <c r="L1460" t="s">
        <v>37</v>
      </c>
      <c r="M1460">
        <v>109</v>
      </c>
      <c r="N1460">
        <v>38.6</v>
      </c>
      <c r="O1460">
        <v>56.8</v>
      </c>
      <c r="P1460">
        <v>5.53</v>
      </c>
      <c r="Q1460">
        <v>3.37</v>
      </c>
      <c r="R1460" t="s">
        <v>227</v>
      </c>
      <c r="S1460" t="s">
        <v>39</v>
      </c>
      <c r="T1460" t="s">
        <v>30</v>
      </c>
      <c r="U1460" t="str">
        <f t="shared" si="66"/>
        <v>Normal</v>
      </c>
      <c r="V1460" t="str">
        <f t="shared" si="67"/>
        <v>Normal</v>
      </c>
      <c r="W1460" t="str">
        <f t="shared" si="68"/>
        <v>Normal</v>
      </c>
    </row>
    <row r="1461" spans="1:23" x14ac:dyDescent="0.3">
      <c r="A1461">
        <v>10089</v>
      </c>
      <c r="B1461" s="2">
        <v>45734</v>
      </c>
      <c r="C1461" t="s">
        <v>20</v>
      </c>
      <c r="D1461" t="s">
        <v>64</v>
      </c>
      <c r="E1461" t="s">
        <v>33</v>
      </c>
      <c r="F1461" t="s">
        <v>23</v>
      </c>
      <c r="G1461" t="s">
        <v>95</v>
      </c>
      <c r="H1461" t="s">
        <v>116</v>
      </c>
      <c r="I1461" t="s">
        <v>185</v>
      </c>
      <c r="J1461">
        <v>1254</v>
      </c>
      <c r="K1461">
        <v>13</v>
      </c>
      <c r="L1461" t="s">
        <v>57</v>
      </c>
      <c r="M1461">
        <v>150</v>
      </c>
      <c r="N1461">
        <v>32</v>
      </c>
      <c r="O1461">
        <v>56.7</v>
      </c>
      <c r="P1461">
        <v>5.98</v>
      </c>
      <c r="Q1461">
        <v>4.01</v>
      </c>
      <c r="R1461" t="s">
        <v>209</v>
      </c>
      <c r="S1461" t="s">
        <v>47</v>
      </c>
      <c r="T1461" t="s">
        <v>30</v>
      </c>
      <c r="U1461" t="str">
        <f t="shared" si="66"/>
        <v>Normal</v>
      </c>
      <c r="V1461" t="str">
        <f t="shared" si="67"/>
        <v>Normal</v>
      </c>
      <c r="W1461" t="str">
        <f t="shared" si="68"/>
        <v>Normal</v>
      </c>
    </row>
    <row r="1462" spans="1:23" x14ac:dyDescent="0.3">
      <c r="A1462">
        <v>10982</v>
      </c>
      <c r="B1462" s="2">
        <v>45709</v>
      </c>
      <c r="C1462" t="s">
        <v>20</v>
      </c>
      <c r="D1462" t="s">
        <v>64</v>
      </c>
      <c r="E1462" t="s">
        <v>33</v>
      </c>
      <c r="F1462" t="s">
        <v>41</v>
      </c>
      <c r="G1462" t="s">
        <v>89</v>
      </c>
      <c r="H1462" t="s">
        <v>141</v>
      </c>
      <c r="I1462" t="s">
        <v>225</v>
      </c>
      <c r="J1462">
        <v>1070</v>
      </c>
      <c r="K1462">
        <v>9</v>
      </c>
      <c r="L1462" t="s">
        <v>57</v>
      </c>
      <c r="M1462">
        <v>38</v>
      </c>
      <c r="N1462">
        <v>35.4</v>
      </c>
      <c r="O1462">
        <v>56.7</v>
      </c>
      <c r="P1462">
        <v>4.5999999999999996</v>
      </c>
      <c r="Q1462">
        <v>2.57</v>
      </c>
      <c r="R1462" t="s">
        <v>152</v>
      </c>
      <c r="S1462" t="s">
        <v>39</v>
      </c>
      <c r="T1462" t="s">
        <v>30</v>
      </c>
      <c r="U1462" t="str">
        <f t="shared" si="66"/>
        <v>Normal</v>
      </c>
      <c r="V1462" t="str">
        <f t="shared" si="67"/>
        <v>Normal</v>
      </c>
      <c r="W1462" t="str">
        <f t="shared" si="68"/>
        <v>Normal</v>
      </c>
    </row>
    <row r="1463" spans="1:23" x14ac:dyDescent="0.3">
      <c r="A1463">
        <v>11429</v>
      </c>
      <c r="B1463" s="2">
        <v>45700</v>
      </c>
      <c r="C1463" t="s">
        <v>31</v>
      </c>
      <c r="D1463" t="s">
        <v>59</v>
      </c>
      <c r="E1463" t="s">
        <v>22</v>
      </c>
      <c r="F1463" t="s">
        <v>23</v>
      </c>
      <c r="G1463" t="s">
        <v>42</v>
      </c>
      <c r="H1463" t="s">
        <v>96</v>
      </c>
      <c r="I1463" t="s">
        <v>154</v>
      </c>
      <c r="J1463">
        <v>712</v>
      </c>
      <c r="K1463">
        <v>1</v>
      </c>
      <c r="L1463" t="s">
        <v>68</v>
      </c>
      <c r="M1463">
        <v>15</v>
      </c>
      <c r="N1463">
        <v>19.7</v>
      </c>
      <c r="O1463">
        <v>56.6</v>
      </c>
      <c r="P1463">
        <v>4.5199999999999996</v>
      </c>
      <c r="Q1463">
        <v>3.11</v>
      </c>
      <c r="R1463" t="s">
        <v>179</v>
      </c>
      <c r="S1463" t="s">
        <v>29</v>
      </c>
      <c r="T1463" t="s">
        <v>30</v>
      </c>
      <c r="U1463" t="str">
        <f t="shared" si="66"/>
        <v>Normal</v>
      </c>
      <c r="V1463" t="str">
        <f t="shared" si="67"/>
        <v>Normal</v>
      </c>
      <c r="W1463" t="str">
        <f t="shared" si="68"/>
        <v>Normal</v>
      </c>
    </row>
    <row r="1464" spans="1:23" x14ac:dyDescent="0.3">
      <c r="A1464">
        <v>11401</v>
      </c>
      <c r="B1464" s="2">
        <v>45878</v>
      </c>
      <c r="C1464" t="s">
        <v>49</v>
      </c>
      <c r="D1464" t="s">
        <v>64</v>
      </c>
      <c r="E1464" t="s">
        <v>40</v>
      </c>
      <c r="F1464" t="s">
        <v>23</v>
      </c>
      <c r="G1464" t="s">
        <v>113</v>
      </c>
      <c r="H1464" t="s">
        <v>85</v>
      </c>
      <c r="I1464" t="s">
        <v>309</v>
      </c>
      <c r="J1464">
        <v>479</v>
      </c>
      <c r="K1464">
        <v>6</v>
      </c>
      <c r="L1464" t="s">
        <v>27</v>
      </c>
      <c r="M1464">
        <v>121</v>
      </c>
      <c r="N1464">
        <v>41.4</v>
      </c>
      <c r="O1464">
        <v>56.6</v>
      </c>
      <c r="P1464">
        <v>6.43</v>
      </c>
      <c r="Q1464">
        <v>1.6</v>
      </c>
      <c r="R1464" t="s">
        <v>103</v>
      </c>
      <c r="S1464" t="s">
        <v>73</v>
      </c>
      <c r="T1464" t="s">
        <v>30</v>
      </c>
      <c r="U1464" t="str">
        <f t="shared" si="66"/>
        <v>Normal</v>
      </c>
      <c r="V1464" t="str">
        <f t="shared" si="67"/>
        <v>Normal</v>
      </c>
      <c r="W1464" t="str">
        <f t="shared" si="68"/>
        <v>Normal</v>
      </c>
    </row>
    <row r="1465" spans="1:23" x14ac:dyDescent="0.3">
      <c r="A1465">
        <v>10850</v>
      </c>
      <c r="B1465" s="2">
        <v>45910</v>
      </c>
      <c r="C1465" t="s">
        <v>49</v>
      </c>
      <c r="D1465" t="s">
        <v>32</v>
      </c>
      <c r="E1465" t="s">
        <v>107</v>
      </c>
      <c r="F1465" t="s">
        <v>41</v>
      </c>
      <c r="G1465" t="s">
        <v>89</v>
      </c>
      <c r="H1465" t="s">
        <v>51</v>
      </c>
      <c r="I1465" t="s">
        <v>182</v>
      </c>
      <c r="J1465">
        <v>461</v>
      </c>
      <c r="K1465">
        <v>5</v>
      </c>
      <c r="L1465" t="s">
        <v>37</v>
      </c>
      <c r="M1465">
        <v>57</v>
      </c>
      <c r="N1465">
        <v>37.299999999999997</v>
      </c>
      <c r="O1465">
        <v>56.6</v>
      </c>
      <c r="P1465">
        <v>3.17</v>
      </c>
      <c r="Q1465">
        <v>4.41</v>
      </c>
      <c r="R1465" t="s">
        <v>137</v>
      </c>
      <c r="S1465" t="s">
        <v>73</v>
      </c>
      <c r="T1465" t="s">
        <v>30</v>
      </c>
      <c r="U1465" t="str">
        <f t="shared" si="66"/>
        <v>Normal</v>
      </c>
      <c r="V1465" t="str">
        <f t="shared" si="67"/>
        <v>Normal</v>
      </c>
      <c r="W1465" t="str">
        <f t="shared" si="68"/>
        <v>Normal</v>
      </c>
    </row>
    <row r="1466" spans="1:23" x14ac:dyDescent="0.3">
      <c r="A1466">
        <v>10014</v>
      </c>
      <c r="B1466" s="2">
        <v>45815</v>
      </c>
      <c r="C1466" t="s">
        <v>20</v>
      </c>
      <c r="D1466" t="s">
        <v>59</v>
      </c>
      <c r="E1466" t="s">
        <v>22</v>
      </c>
      <c r="F1466" t="s">
        <v>81</v>
      </c>
      <c r="G1466" t="s">
        <v>54</v>
      </c>
      <c r="H1466" t="s">
        <v>161</v>
      </c>
      <c r="I1466" t="s">
        <v>307</v>
      </c>
      <c r="J1466">
        <v>1265</v>
      </c>
      <c r="K1466">
        <v>7</v>
      </c>
      <c r="L1466" t="s">
        <v>68</v>
      </c>
      <c r="M1466">
        <v>28</v>
      </c>
      <c r="N1466">
        <v>46.2</v>
      </c>
      <c r="O1466">
        <v>56.4</v>
      </c>
      <c r="P1466">
        <v>5.47</v>
      </c>
      <c r="Q1466">
        <v>2.86</v>
      </c>
      <c r="R1466" t="s">
        <v>105</v>
      </c>
      <c r="S1466" t="s">
        <v>47</v>
      </c>
      <c r="T1466" t="s">
        <v>30</v>
      </c>
      <c r="U1466" t="str">
        <f t="shared" si="66"/>
        <v>Normal</v>
      </c>
      <c r="V1466" t="str">
        <f t="shared" si="67"/>
        <v>Normal</v>
      </c>
      <c r="W1466" t="str">
        <f t="shared" si="68"/>
        <v>Normal</v>
      </c>
    </row>
    <row r="1467" spans="1:23" x14ac:dyDescent="0.3">
      <c r="A1467">
        <v>10546</v>
      </c>
      <c r="B1467" s="2">
        <v>45957</v>
      </c>
      <c r="C1467" t="s">
        <v>49</v>
      </c>
      <c r="D1467" t="s">
        <v>64</v>
      </c>
      <c r="E1467" t="s">
        <v>22</v>
      </c>
      <c r="F1467" t="s">
        <v>41</v>
      </c>
      <c r="G1467" t="s">
        <v>109</v>
      </c>
      <c r="H1467" t="s">
        <v>123</v>
      </c>
      <c r="I1467" t="s">
        <v>330</v>
      </c>
      <c r="J1467">
        <v>1358</v>
      </c>
      <c r="K1467">
        <v>11</v>
      </c>
      <c r="L1467" t="s">
        <v>45</v>
      </c>
      <c r="M1467">
        <v>126</v>
      </c>
      <c r="N1467">
        <v>46.6</v>
      </c>
      <c r="O1467">
        <v>56.3</v>
      </c>
      <c r="P1467">
        <v>4.37</v>
      </c>
      <c r="Q1467">
        <v>3.03</v>
      </c>
      <c r="R1467" t="s">
        <v>77</v>
      </c>
      <c r="S1467" t="s">
        <v>47</v>
      </c>
      <c r="T1467" t="s">
        <v>30</v>
      </c>
      <c r="U1467" t="str">
        <f t="shared" si="66"/>
        <v>Normal</v>
      </c>
      <c r="V1467" t="str">
        <f t="shared" si="67"/>
        <v>Normal</v>
      </c>
      <c r="W1467" t="str">
        <f t="shared" si="68"/>
        <v>Normal</v>
      </c>
    </row>
    <row r="1468" spans="1:23" x14ac:dyDescent="0.3">
      <c r="A1468">
        <v>10674</v>
      </c>
      <c r="B1468" s="2">
        <v>46006</v>
      </c>
      <c r="C1468" t="s">
        <v>31</v>
      </c>
      <c r="D1468" t="s">
        <v>59</v>
      </c>
      <c r="E1468" t="s">
        <v>40</v>
      </c>
      <c r="F1468" t="s">
        <v>41</v>
      </c>
      <c r="G1468" t="s">
        <v>42</v>
      </c>
      <c r="H1468" t="s">
        <v>177</v>
      </c>
      <c r="I1468" t="s">
        <v>324</v>
      </c>
      <c r="J1468">
        <v>1580</v>
      </c>
      <c r="K1468">
        <v>22</v>
      </c>
      <c r="L1468" t="s">
        <v>27</v>
      </c>
      <c r="M1468">
        <v>90</v>
      </c>
      <c r="N1468">
        <v>42.2</v>
      </c>
      <c r="O1468">
        <v>56.3</v>
      </c>
      <c r="P1468">
        <v>6.16</v>
      </c>
      <c r="Q1468">
        <v>1.97</v>
      </c>
      <c r="R1468" t="s">
        <v>122</v>
      </c>
      <c r="S1468" t="s">
        <v>73</v>
      </c>
      <c r="T1468" t="s">
        <v>30</v>
      </c>
      <c r="U1468" t="str">
        <f t="shared" si="66"/>
        <v>Normal</v>
      </c>
      <c r="V1468" t="str">
        <f t="shared" si="67"/>
        <v>Normal</v>
      </c>
      <c r="W1468" t="str">
        <f t="shared" si="68"/>
        <v>Normal</v>
      </c>
    </row>
    <row r="1469" spans="1:23" x14ac:dyDescent="0.3">
      <c r="A1469">
        <v>10747</v>
      </c>
      <c r="B1469" s="2">
        <v>45885</v>
      </c>
      <c r="C1469" t="s">
        <v>49</v>
      </c>
      <c r="D1469" t="s">
        <v>32</v>
      </c>
      <c r="E1469" t="s">
        <v>33</v>
      </c>
      <c r="F1469" t="s">
        <v>41</v>
      </c>
      <c r="G1469" t="s">
        <v>24</v>
      </c>
      <c r="H1469" t="s">
        <v>61</v>
      </c>
      <c r="I1469" t="s">
        <v>283</v>
      </c>
      <c r="J1469">
        <v>1329</v>
      </c>
      <c r="K1469">
        <v>29</v>
      </c>
      <c r="L1469" t="s">
        <v>37</v>
      </c>
      <c r="M1469">
        <v>108</v>
      </c>
      <c r="N1469">
        <v>42.7</v>
      </c>
      <c r="O1469">
        <v>56.2</v>
      </c>
      <c r="P1469">
        <v>5.01</v>
      </c>
      <c r="Q1469">
        <v>3.96</v>
      </c>
      <c r="R1469" t="s">
        <v>143</v>
      </c>
      <c r="S1469" t="s">
        <v>47</v>
      </c>
      <c r="T1469" t="s">
        <v>30</v>
      </c>
      <c r="U1469" t="str">
        <f t="shared" si="66"/>
        <v>Normal</v>
      </c>
      <c r="V1469" t="str">
        <f t="shared" si="67"/>
        <v>Normal</v>
      </c>
      <c r="W1469" t="str">
        <f t="shared" si="68"/>
        <v>Normal</v>
      </c>
    </row>
    <row r="1470" spans="1:23" x14ac:dyDescent="0.3">
      <c r="A1470">
        <v>10585</v>
      </c>
      <c r="B1470" s="2">
        <v>45830</v>
      </c>
      <c r="C1470" t="s">
        <v>20</v>
      </c>
      <c r="D1470" t="s">
        <v>59</v>
      </c>
      <c r="E1470" t="s">
        <v>40</v>
      </c>
      <c r="F1470" t="s">
        <v>81</v>
      </c>
      <c r="G1470" t="s">
        <v>74</v>
      </c>
      <c r="H1470" t="s">
        <v>82</v>
      </c>
      <c r="I1470" t="s">
        <v>83</v>
      </c>
      <c r="J1470">
        <v>949</v>
      </c>
      <c r="K1470">
        <v>11</v>
      </c>
      <c r="L1470" t="s">
        <v>71</v>
      </c>
      <c r="M1470">
        <v>156</v>
      </c>
      <c r="N1470">
        <v>33.6</v>
      </c>
      <c r="O1470">
        <v>56.1</v>
      </c>
      <c r="P1470">
        <v>5.41</v>
      </c>
      <c r="Q1470">
        <v>2.4700000000000002</v>
      </c>
      <c r="R1470" t="s">
        <v>84</v>
      </c>
      <c r="S1470" t="s">
        <v>39</v>
      </c>
      <c r="T1470" t="s">
        <v>30</v>
      </c>
      <c r="U1470" t="str">
        <f t="shared" si="66"/>
        <v>Normal</v>
      </c>
      <c r="V1470" t="str">
        <f t="shared" si="67"/>
        <v>Normal</v>
      </c>
      <c r="W1470" t="str">
        <f t="shared" si="68"/>
        <v>Normal</v>
      </c>
    </row>
    <row r="1471" spans="1:23" x14ac:dyDescent="0.3">
      <c r="A1471">
        <v>10820</v>
      </c>
      <c r="B1471" s="2">
        <v>45972</v>
      </c>
      <c r="C1471" t="s">
        <v>20</v>
      </c>
      <c r="D1471" t="s">
        <v>64</v>
      </c>
      <c r="E1471" t="s">
        <v>22</v>
      </c>
      <c r="F1471" t="s">
        <v>81</v>
      </c>
      <c r="G1471" t="s">
        <v>54</v>
      </c>
      <c r="H1471" t="s">
        <v>141</v>
      </c>
      <c r="I1471" t="s">
        <v>340</v>
      </c>
      <c r="J1471">
        <v>1504</v>
      </c>
      <c r="K1471">
        <v>6</v>
      </c>
      <c r="L1471" t="s">
        <v>45</v>
      </c>
      <c r="M1471">
        <v>145</v>
      </c>
      <c r="N1471">
        <v>43</v>
      </c>
      <c r="O1471">
        <v>56.1</v>
      </c>
      <c r="P1471">
        <v>5.65</v>
      </c>
      <c r="Q1471">
        <v>2.36</v>
      </c>
      <c r="R1471" t="s">
        <v>243</v>
      </c>
      <c r="S1471" t="s">
        <v>39</v>
      </c>
      <c r="T1471" t="s">
        <v>30</v>
      </c>
      <c r="U1471" t="str">
        <f t="shared" si="66"/>
        <v>Normal</v>
      </c>
      <c r="V1471" t="str">
        <f t="shared" si="67"/>
        <v>Normal</v>
      </c>
      <c r="W1471" t="str">
        <f t="shared" si="68"/>
        <v>Normal</v>
      </c>
    </row>
    <row r="1472" spans="1:23" x14ac:dyDescent="0.3">
      <c r="A1472">
        <v>11144</v>
      </c>
      <c r="B1472" s="2">
        <v>45863</v>
      </c>
      <c r="C1472" t="s">
        <v>49</v>
      </c>
      <c r="D1472" t="s">
        <v>59</v>
      </c>
      <c r="E1472" t="s">
        <v>33</v>
      </c>
      <c r="F1472" t="s">
        <v>23</v>
      </c>
      <c r="G1472" t="s">
        <v>95</v>
      </c>
      <c r="H1472" t="s">
        <v>213</v>
      </c>
      <c r="I1472" t="s">
        <v>124</v>
      </c>
      <c r="J1472">
        <v>1308</v>
      </c>
      <c r="K1472">
        <v>45</v>
      </c>
      <c r="L1472" t="s">
        <v>37</v>
      </c>
      <c r="M1472">
        <v>69</v>
      </c>
      <c r="N1472">
        <v>37.9</v>
      </c>
      <c r="O1472">
        <v>56</v>
      </c>
      <c r="P1472">
        <v>6.66</v>
      </c>
      <c r="Q1472">
        <v>3.52</v>
      </c>
      <c r="R1472" t="s">
        <v>92</v>
      </c>
      <c r="S1472" t="s">
        <v>73</v>
      </c>
      <c r="T1472" t="s">
        <v>48</v>
      </c>
      <c r="U1472" t="str">
        <f t="shared" si="66"/>
        <v>Normal</v>
      </c>
      <c r="V1472" t="str">
        <f t="shared" si="67"/>
        <v>Normal</v>
      </c>
      <c r="W1472" t="str">
        <f t="shared" si="68"/>
        <v>Normal</v>
      </c>
    </row>
    <row r="1473" spans="1:23" x14ac:dyDescent="0.3">
      <c r="A1473">
        <v>10209</v>
      </c>
      <c r="B1473" s="2">
        <v>45804</v>
      </c>
      <c r="C1473" t="s">
        <v>49</v>
      </c>
      <c r="D1473" t="s">
        <v>21</v>
      </c>
      <c r="E1473" t="s">
        <v>33</v>
      </c>
      <c r="F1473" t="s">
        <v>41</v>
      </c>
      <c r="G1473" t="s">
        <v>109</v>
      </c>
      <c r="H1473" t="s">
        <v>190</v>
      </c>
      <c r="I1473" t="s">
        <v>269</v>
      </c>
      <c r="J1473">
        <v>1588</v>
      </c>
      <c r="K1473">
        <v>9</v>
      </c>
      <c r="L1473" t="s">
        <v>57</v>
      </c>
      <c r="M1473">
        <v>47</v>
      </c>
      <c r="N1473">
        <v>38.1</v>
      </c>
      <c r="O1473">
        <v>55.8</v>
      </c>
      <c r="P1473">
        <v>5.58</v>
      </c>
      <c r="Q1473">
        <v>4.9400000000000004</v>
      </c>
      <c r="R1473" t="s">
        <v>77</v>
      </c>
      <c r="S1473" t="s">
        <v>39</v>
      </c>
      <c r="T1473" t="s">
        <v>30</v>
      </c>
      <c r="U1473" t="str">
        <f t="shared" si="66"/>
        <v>Normal</v>
      </c>
      <c r="V1473" t="str">
        <f t="shared" si="67"/>
        <v>Normal</v>
      </c>
      <c r="W1473" t="str">
        <f t="shared" si="68"/>
        <v>Normal</v>
      </c>
    </row>
    <row r="1474" spans="1:23" x14ac:dyDescent="0.3">
      <c r="A1474">
        <v>10929</v>
      </c>
      <c r="B1474" s="2">
        <v>45905</v>
      </c>
      <c r="C1474" t="s">
        <v>49</v>
      </c>
      <c r="D1474" t="s">
        <v>21</v>
      </c>
      <c r="E1474" t="s">
        <v>33</v>
      </c>
      <c r="F1474" t="s">
        <v>23</v>
      </c>
      <c r="G1474" t="s">
        <v>60</v>
      </c>
      <c r="H1474" t="s">
        <v>200</v>
      </c>
      <c r="I1474" t="s">
        <v>282</v>
      </c>
      <c r="J1474">
        <v>979</v>
      </c>
      <c r="K1474">
        <v>10</v>
      </c>
      <c r="L1474" t="s">
        <v>45</v>
      </c>
      <c r="M1474">
        <v>9</v>
      </c>
      <c r="N1474">
        <v>43.9</v>
      </c>
      <c r="O1474">
        <v>55.8</v>
      </c>
      <c r="P1474">
        <v>5.62</v>
      </c>
      <c r="Q1474">
        <v>3.07</v>
      </c>
      <c r="R1474" t="s">
        <v>122</v>
      </c>
      <c r="S1474" t="s">
        <v>39</v>
      </c>
      <c r="T1474" t="s">
        <v>30</v>
      </c>
      <c r="U1474" t="str">
        <f t="shared" ref="U1474:U1501" si="69">IF(OR(O1474&lt;20,O1474&gt;100),"Investigate","Normal")</f>
        <v>Normal</v>
      </c>
      <c r="V1474" t="str">
        <f t="shared" ref="V1474:V1501" si="70">IF(OR(P1474&lt;2,P1474&gt;10),"Investigate","Normal")</f>
        <v>Normal</v>
      </c>
      <c r="W1474" t="str">
        <f t="shared" ref="W1474:W1501" si="71">IF(Q1474&gt;10,"Investigate","Normal")</f>
        <v>Normal</v>
      </c>
    </row>
    <row r="1475" spans="1:23" x14ac:dyDescent="0.3">
      <c r="A1475">
        <v>10956</v>
      </c>
      <c r="B1475" s="2">
        <v>46009</v>
      </c>
      <c r="C1475" t="s">
        <v>49</v>
      </c>
      <c r="D1475" t="s">
        <v>59</v>
      </c>
      <c r="E1475" t="s">
        <v>22</v>
      </c>
      <c r="F1475" t="s">
        <v>23</v>
      </c>
      <c r="G1475" t="s">
        <v>109</v>
      </c>
      <c r="H1475" t="s">
        <v>120</v>
      </c>
      <c r="I1475" t="s">
        <v>158</v>
      </c>
      <c r="J1475">
        <v>1477</v>
      </c>
      <c r="K1475">
        <v>17</v>
      </c>
      <c r="L1475" t="s">
        <v>37</v>
      </c>
      <c r="M1475">
        <v>51</v>
      </c>
      <c r="N1475">
        <v>43.3</v>
      </c>
      <c r="O1475">
        <v>55.7</v>
      </c>
      <c r="P1475">
        <v>3.63</v>
      </c>
      <c r="Q1475">
        <v>2.06</v>
      </c>
      <c r="R1475" t="s">
        <v>242</v>
      </c>
      <c r="S1475" t="s">
        <v>73</v>
      </c>
      <c r="T1475" t="s">
        <v>30</v>
      </c>
      <c r="U1475" t="str">
        <f t="shared" si="69"/>
        <v>Normal</v>
      </c>
      <c r="V1475" t="str">
        <f t="shared" si="70"/>
        <v>Normal</v>
      </c>
      <c r="W1475" t="str">
        <f t="shared" si="71"/>
        <v>Normal</v>
      </c>
    </row>
    <row r="1476" spans="1:23" x14ac:dyDescent="0.3">
      <c r="A1476">
        <v>10196</v>
      </c>
      <c r="B1476" s="2">
        <v>45871</v>
      </c>
      <c r="C1476" t="s">
        <v>49</v>
      </c>
      <c r="D1476" t="s">
        <v>32</v>
      </c>
      <c r="E1476" t="s">
        <v>22</v>
      </c>
      <c r="F1476" t="s">
        <v>81</v>
      </c>
      <c r="G1476" t="s">
        <v>42</v>
      </c>
      <c r="H1476" t="s">
        <v>278</v>
      </c>
      <c r="I1476" t="s">
        <v>296</v>
      </c>
      <c r="J1476">
        <v>907</v>
      </c>
      <c r="K1476">
        <v>8</v>
      </c>
      <c r="L1476" t="s">
        <v>68</v>
      </c>
      <c r="M1476">
        <v>116</v>
      </c>
      <c r="N1476">
        <v>28</v>
      </c>
      <c r="O1476">
        <v>55.6</v>
      </c>
      <c r="P1476">
        <v>5.67</v>
      </c>
      <c r="Q1476">
        <v>3.09</v>
      </c>
      <c r="R1476" t="s">
        <v>72</v>
      </c>
      <c r="S1476" t="s">
        <v>47</v>
      </c>
      <c r="T1476" t="s">
        <v>30</v>
      </c>
      <c r="U1476" t="str">
        <f t="shared" si="69"/>
        <v>Normal</v>
      </c>
      <c r="V1476" t="str">
        <f t="shared" si="70"/>
        <v>Normal</v>
      </c>
      <c r="W1476" t="str">
        <f t="shared" si="71"/>
        <v>Normal</v>
      </c>
    </row>
    <row r="1477" spans="1:23" x14ac:dyDescent="0.3">
      <c r="A1477">
        <v>11076</v>
      </c>
      <c r="B1477" s="2">
        <v>45792</v>
      </c>
      <c r="C1477" t="s">
        <v>49</v>
      </c>
      <c r="D1477" t="s">
        <v>64</v>
      </c>
      <c r="E1477" t="s">
        <v>40</v>
      </c>
      <c r="F1477" t="s">
        <v>23</v>
      </c>
      <c r="G1477" t="s">
        <v>113</v>
      </c>
      <c r="H1477" t="s">
        <v>120</v>
      </c>
      <c r="I1477" t="s">
        <v>290</v>
      </c>
      <c r="J1477">
        <v>729</v>
      </c>
      <c r="K1477">
        <v>25</v>
      </c>
      <c r="L1477" t="s">
        <v>57</v>
      </c>
      <c r="M1477">
        <v>100</v>
      </c>
      <c r="N1477">
        <v>39.1</v>
      </c>
      <c r="O1477">
        <v>55.6</v>
      </c>
      <c r="P1477">
        <v>5</v>
      </c>
      <c r="Q1477">
        <v>3.73</v>
      </c>
      <c r="R1477" t="s">
        <v>243</v>
      </c>
      <c r="S1477" t="s">
        <v>29</v>
      </c>
      <c r="T1477" t="s">
        <v>48</v>
      </c>
      <c r="U1477" t="str">
        <f t="shared" si="69"/>
        <v>Normal</v>
      </c>
      <c r="V1477" t="str">
        <f t="shared" si="70"/>
        <v>Normal</v>
      </c>
      <c r="W1477" t="str">
        <f t="shared" si="71"/>
        <v>Normal</v>
      </c>
    </row>
    <row r="1478" spans="1:23" x14ac:dyDescent="0.3">
      <c r="A1478">
        <v>10207</v>
      </c>
      <c r="B1478" s="2">
        <v>45965</v>
      </c>
      <c r="C1478" t="s">
        <v>20</v>
      </c>
      <c r="D1478" t="s">
        <v>59</v>
      </c>
      <c r="E1478" t="s">
        <v>40</v>
      </c>
      <c r="F1478" t="s">
        <v>23</v>
      </c>
      <c r="G1478" t="s">
        <v>95</v>
      </c>
      <c r="H1478" t="s">
        <v>351</v>
      </c>
      <c r="I1478" t="s">
        <v>352</v>
      </c>
      <c r="J1478">
        <v>1163</v>
      </c>
      <c r="K1478">
        <v>14</v>
      </c>
      <c r="L1478" t="s">
        <v>45</v>
      </c>
      <c r="M1478">
        <v>13</v>
      </c>
      <c r="N1478">
        <v>39</v>
      </c>
      <c r="O1478">
        <v>55.6</v>
      </c>
      <c r="P1478">
        <v>5.3</v>
      </c>
      <c r="Q1478">
        <v>2.9</v>
      </c>
      <c r="R1478" t="s">
        <v>152</v>
      </c>
      <c r="S1478" t="s">
        <v>47</v>
      </c>
      <c r="T1478" t="s">
        <v>30</v>
      </c>
      <c r="U1478" t="str">
        <f t="shared" si="69"/>
        <v>Normal</v>
      </c>
      <c r="V1478" t="str">
        <f t="shared" si="70"/>
        <v>Normal</v>
      </c>
      <c r="W1478" t="str">
        <f t="shared" si="71"/>
        <v>Normal</v>
      </c>
    </row>
    <row r="1479" spans="1:23" x14ac:dyDescent="0.3">
      <c r="A1479">
        <v>10763</v>
      </c>
      <c r="B1479" s="2">
        <v>45759</v>
      </c>
      <c r="C1479" t="s">
        <v>20</v>
      </c>
      <c r="D1479" t="s">
        <v>32</v>
      </c>
      <c r="E1479" t="s">
        <v>40</v>
      </c>
      <c r="F1479" t="s">
        <v>41</v>
      </c>
      <c r="G1479" t="s">
        <v>109</v>
      </c>
      <c r="H1479" t="s">
        <v>263</v>
      </c>
      <c r="I1479" t="s">
        <v>115</v>
      </c>
      <c r="J1479">
        <v>581</v>
      </c>
      <c r="K1479">
        <v>4</v>
      </c>
      <c r="L1479" t="s">
        <v>45</v>
      </c>
      <c r="M1479">
        <v>39</v>
      </c>
      <c r="N1479">
        <v>52.7</v>
      </c>
      <c r="O1479">
        <v>55.5</v>
      </c>
      <c r="P1479">
        <v>4.9400000000000004</v>
      </c>
      <c r="Q1479">
        <v>3.61</v>
      </c>
      <c r="R1479" t="s">
        <v>105</v>
      </c>
      <c r="S1479" t="s">
        <v>47</v>
      </c>
      <c r="T1479" t="s">
        <v>30</v>
      </c>
      <c r="U1479" t="str">
        <f t="shared" si="69"/>
        <v>Normal</v>
      </c>
      <c r="V1479" t="str">
        <f t="shared" si="70"/>
        <v>Normal</v>
      </c>
      <c r="W1479" t="str">
        <f t="shared" si="71"/>
        <v>Normal</v>
      </c>
    </row>
    <row r="1480" spans="1:23" x14ac:dyDescent="0.3">
      <c r="A1480">
        <v>10815</v>
      </c>
      <c r="B1480" s="2">
        <v>45694</v>
      </c>
      <c r="C1480" t="s">
        <v>49</v>
      </c>
      <c r="D1480" t="s">
        <v>64</v>
      </c>
      <c r="E1480" t="s">
        <v>22</v>
      </c>
      <c r="F1480" t="s">
        <v>23</v>
      </c>
      <c r="G1480" t="s">
        <v>50</v>
      </c>
      <c r="H1480" t="s">
        <v>82</v>
      </c>
      <c r="I1480" t="s">
        <v>220</v>
      </c>
      <c r="J1480">
        <v>847</v>
      </c>
      <c r="K1480">
        <v>7</v>
      </c>
      <c r="L1480" t="s">
        <v>27</v>
      </c>
      <c r="M1480">
        <v>138</v>
      </c>
      <c r="N1480">
        <v>44.2</v>
      </c>
      <c r="O1480">
        <v>55.4</v>
      </c>
      <c r="P1480">
        <v>6.1</v>
      </c>
      <c r="Q1480">
        <v>3.67</v>
      </c>
      <c r="R1480" t="s">
        <v>152</v>
      </c>
      <c r="S1480" t="s">
        <v>47</v>
      </c>
      <c r="T1480" t="s">
        <v>30</v>
      </c>
      <c r="U1480" t="str">
        <f t="shared" si="69"/>
        <v>Normal</v>
      </c>
      <c r="V1480" t="str">
        <f t="shared" si="70"/>
        <v>Normal</v>
      </c>
      <c r="W1480" t="str">
        <f t="shared" si="71"/>
        <v>Normal</v>
      </c>
    </row>
    <row r="1481" spans="1:23" x14ac:dyDescent="0.3">
      <c r="A1481">
        <v>10620</v>
      </c>
      <c r="B1481" s="2">
        <v>46005</v>
      </c>
      <c r="C1481" t="s">
        <v>49</v>
      </c>
      <c r="D1481" t="s">
        <v>64</v>
      </c>
      <c r="E1481" t="s">
        <v>33</v>
      </c>
      <c r="F1481" t="s">
        <v>23</v>
      </c>
      <c r="G1481" t="s">
        <v>42</v>
      </c>
      <c r="H1481" t="s">
        <v>138</v>
      </c>
      <c r="I1481" t="s">
        <v>76</v>
      </c>
      <c r="J1481">
        <v>1125</v>
      </c>
      <c r="K1481">
        <v>8</v>
      </c>
      <c r="L1481" t="s">
        <v>45</v>
      </c>
      <c r="M1481">
        <v>57</v>
      </c>
      <c r="N1481">
        <v>42.8</v>
      </c>
      <c r="O1481">
        <v>55.2</v>
      </c>
      <c r="P1481">
        <v>3.82</v>
      </c>
      <c r="Q1481">
        <v>3.06</v>
      </c>
      <c r="R1481" t="s">
        <v>63</v>
      </c>
      <c r="S1481" t="s">
        <v>47</v>
      </c>
      <c r="T1481" t="s">
        <v>30</v>
      </c>
      <c r="U1481" t="str">
        <f t="shared" si="69"/>
        <v>Normal</v>
      </c>
      <c r="V1481" t="str">
        <f t="shared" si="70"/>
        <v>Normal</v>
      </c>
      <c r="W1481" t="str">
        <f t="shared" si="71"/>
        <v>Normal</v>
      </c>
    </row>
    <row r="1482" spans="1:23" x14ac:dyDescent="0.3">
      <c r="A1482">
        <v>10240</v>
      </c>
      <c r="B1482" s="2">
        <v>45936</v>
      </c>
      <c r="C1482" t="s">
        <v>49</v>
      </c>
      <c r="D1482" t="s">
        <v>21</v>
      </c>
      <c r="E1482" t="s">
        <v>40</v>
      </c>
      <c r="F1482" t="s">
        <v>81</v>
      </c>
      <c r="G1482" t="s">
        <v>60</v>
      </c>
      <c r="H1482" t="s">
        <v>200</v>
      </c>
      <c r="I1482" t="s">
        <v>284</v>
      </c>
      <c r="J1482">
        <v>754</v>
      </c>
      <c r="K1482">
        <v>8</v>
      </c>
      <c r="L1482" t="s">
        <v>27</v>
      </c>
      <c r="M1482">
        <v>33</v>
      </c>
      <c r="N1482">
        <v>42.6</v>
      </c>
      <c r="O1482">
        <v>55</v>
      </c>
      <c r="P1482">
        <v>5.57</v>
      </c>
      <c r="Q1482">
        <v>1.72</v>
      </c>
      <c r="R1482" t="s">
        <v>245</v>
      </c>
      <c r="S1482" t="s">
        <v>39</v>
      </c>
      <c r="T1482" t="s">
        <v>30</v>
      </c>
      <c r="U1482" t="str">
        <f t="shared" si="69"/>
        <v>Normal</v>
      </c>
      <c r="V1482" t="str">
        <f t="shared" si="70"/>
        <v>Normal</v>
      </c>
      <c r="W1482" t="str">
        <f t="shared" si="71"/>
        <v>Normal</v>
      </c>
    </row>
    <row r="1483" spans="1:23" x14ac:dyDescent="0.3">
      <c r="A1483">
        <v>11217</v>
      </c>
      <c r="B1483" s="2">
        <v>45700</v>
      </c>
      <c r="C1483" t="s">
        <v>49</v>
      </c>
      <c r="D1483" t="s">
        <v>59</v>
      </c>
      <c r="E1483" t="s">
        <v>22</v>
      </c>
      <c r="F1483" t="s">
        <v>81</v>
      </c>
      <c r="G1483" t="s">
        <v>54</v>
      </c>
      <c r="H1483" t="s">
        <v>55</v>
      </c>
      <c r="I1483" t="s">
        <v>203</v>
      </c>
      <c r="J1483">
        <v>736</v>
      </c>
      <c r="K1483">
        <v>9</v>
      </c>
      <c r="L1483" t="s">
        <v>57</v>
      </c>
      <c r="M1483">
        <v>148</v>
      </c>
      <c r="N1483">
        <v>39.5</v>
      </c>
      <c r="O1483">
        <v>54.3</v>
      </c>
      <c r="P1483">
        <v>6.51</v>
      </c>
      <c r="Q1483">
        <v>3.91</v>
      </c>
      <c r="R1483" t="s">
        <v>128</v>
      </c>
      <c r="S1483" t="s">
        <v>47</v>
      </c>
      <c r="T1483" t="s">
        <v>30</v>
      </c>
      <c r="U1483" t="str">
        <f t="shared" si="69"/>
        <v>Normal</v>
      </c>
      <c r="V1483" t="str">
        <f t="shared" si="70"/>
        <v>Normal</v>
      </c>
      <c r="W1483" t="str">
        <f t="shared" si="71"/>
        <v>Normal</v>
      </c>
    </row>
    <row r="1484" spans="1:23" x14ac:dyDescent="0.3">
      <c r="A1484">
        <v>10316</v>
      </c>
      <c r="B1484" s="2">
        <v>45729</v>
      </c>
      <c r="C1484" t="s">
        <v>20</v>
      </c>
      <c r="D1484" t="s">
        <v>59</v>
      </c>
      <c r="E1484" t="s">
        <v>40</v>
      </c>
      <c r="F1484" t="s">
        <v>41</v>
      </c>
      <c r="G1484" t="s">
        <v>89</v>
      </c>
      <c r="H1484" t="s">
        <v>144</v>
      </c>
      <c r="I1484" t="s">
        <v>102</v>
      </c>
      <c r="J1484">
        <v>1455</v>
      </c>
      <c r="K1484">
        <v>18</v>
      </c>
      <c r="L1484" t="s">
        <v>37</v>
      </c>
      <c r="M1484">
        <v>7</v>
      </c>
      <c r="N1484">
        <v>29.5</v>
      </c>
      <c r="O1484">
        <v>54.2</v>
      </c>
      <c r="P1484">
        <v>5.38</v>
      </c>
      <c r="Q1484">
        <v>2.1800000000000002</v>
      </c>
      <c r="R1484" t="s">
        <v>84</v>
      </c>
      <c r="S1484" t="s">
        <v>29</v>
      </c>
      <c r="T1484" t="s">
        <v>30</v>
      </c>
      <c r="U1484" t="str">
        <f t="shared" si="69"/>
        <v>Normal</v>
      </c>
      <c r="V1484" t="str">
        <f t="shared" si="70"/>
        <v>Normal</v>
      </c>
      <c r="W1484" t="str">
        <f t="shared" si="71"/>
        <v>Normal</v>
      </c>
    </row>
    <row r="1485" spans="1:23" x14ac:dyDescent="0.3">
      <c r="A1485">
        <v>10879</v>
      </c>
      <c r="B1485" s="2">
        <v>45978</v>
      </c>
      <c r="C1485" t="s">
        <v>20</v>
      </c>
      <c r="D1485" t="s">
        <v>64</v>
      </c>
      <c r="E1485" t="s">
        <v>107</v>
      </c>
      <c r="F1485" t="s">
        <v>81</v>
      </c>
      <c r="G1485" t="s">
        <v>113</v>
      </c>
      <c r="H1485" t="s">
        <v>88</v>
      </c>
      <c r="I1485" t="s">
        <v>353</v>
      </c>
      <c r="J1485">
        <v>1076</v>
      </c>
      <c r="K1485">
        <v>13</v>
      </c>
      <c r="L1485" t="s">
        <v>71</v>
      </c>
      <c r="M1485">
        <v>137</v>
      </c>
      <c r="N1485">
        <v>40</v>
      </c>
      <c r="O1485">
        <v>54.1</v>
      </c>
      <c r="P1485">
        <v>5.8</v>
      </c>
      <c r="Q1485">
        <v>1.04</v>
      </c>
      <c r="R1485" t="s">
        <v>184</v>
      </c>
      <c r="S1485" t="s">
        <v>73</v>
      </c>
      <c r="T1485" t="s">
        <v>30</v>
      </c>
      <c r="U1485" t="str">
        <f t="shared" si="69"/>
        <v>Normal</v>
      </c>
      <c r="V1485" t="str">
        <f t="shared" si="70"/>
        <v>Normal</v>
      </c>
      <c r="W1485" t="str">
        <f t="shared" si="71"/>
        <v>Normal</v>
      </c>
    </row>
    <row r="1486" spans="1:23" x14ac:dyDescent="0.3">
      <c r="A1486">
        <v>11073</v>
      </c>
      <c r="B1486" s="2">
        <v>45885</v>
      </c>
      <c r="C1486" t="s">
        <v>31</v>
      </c>
      <c r="D1486" t="s">
        <v>21</v>
      </c>
      <c r="E1486" t="s">
        <v>33</v>
      </c>
      <c r="F1486" t="s">
        <v>81</v>
      </c>
      <c r="G1486" t="s">
        <v>89</v>
      </c>
      <c r="H1486" t="s">
        <v>138</v>
      </c>
      <c r="I1486" t="s">
        <v>283</v>
      </c>
      <c r="J1486">
        <v>822</v>
      </c>
      <c r="K1486">
        <v>7</v>
      </c>
      <c r="L1486" t="s">
        <v>57</v>
      </c>
      <c r="M1486">
        <v>105</v>
      </c>
      <c r="N1486">
        <v>36.9</v>
      </c>
      <c r="O1486">
        <v>53.7</v>
      </c>
      <c r="P1486">
        <v>6.04</v>
      </c>
      <c r="Q1486">
        <v>1.76</v>
      </c>
      <c r="R1486" t="s">
        <v>152</v>
      </c>
      <c r="S1486" t="s">
        <v>73</v>
      </c>
      <c r="T1486" t="s">
        <v>30</v>
      </c>
      <c r="U1486" t="str">
        <f t="shared" si="69"/>
        <v>Normal</v>
      </c>
      <c r="V1486" t="str">
        <f t="shared" si="70"/>
        <v>Normal</v>
      </c>
      <c r="W1486" t="str">
        <f t="shared" si="71"/>
        <v>Normal</v>
      </c>
    </row>
    <row r="1487" spans="1:23" x14ac:dyDescent="0.3">
      <c r="A1487">
        <v>10399</v>
      </c>
      <c r="B1487" s="2">
        <v>46019</v>
      </c>
      <c r="C1487" t="s">
        <v>20</v>
      </c>
      <c r="D1487" t="s">
        <v>64</v>
      </c>
      <c r="E1487" t="s">
        <v>107</v>
      </c>
      <c r="F1487" t="s">
        <v>41</v>
      </c>
      <c r="G1487" t="s">
        <v>89</v>
      </c>
      <c r="H1487" t="s">
        <v>35</v>
      </c>
      <c r="I1487" t="s">
        <v>293</v>
      </c>
      <c r="J1487">
        <v>523</v>
      </c>
      <c r="K1487">
        <v>2</v>
      </c>
      <c r="L1487" t="s">
        <v>27</v>
      </c>
      <c r="M1487">
        <v>85</v>
      </c>
      <c r="N1487">
        <v>35</v>
      </c>
      <c r="O1487">
        <v>53.4</v>
      </c>
      <c r="P1487">
        <v>5.74</v>
      </c>
      <c r="Q1487">
        <v>5.55</v>
      </c>
      <c r="R1487" t="s">
        <v>58</v>
      </c>
      <c r="S1487" t="s">
        <v>39</v>
      </c>
      <c r="T1487" t="s">
        <v>30</v>
      </c>
      <c r="U1487" t="str">
        <f t="shared" si="69"/>
        <v>Normal</v>
      </c>
      <c r="V1487" t="str">
        <f t="shared" si="70"/>
        <v>Normal</v>
      </c>
      <c r="W1487" t="str">
        <f t="shared" si="71"/>
        <v>Normal</v>
      </c>
    </row>
    <row r="1488" spans="1:23" x14ac:dyDescent="0.3">
      <c r="A1488">
        <v>10857</v>
      </c>
      <c r="B1488" s="2">
        <v>45813</v>
      </c>
      <c r="C1488" t="s">
        <v>49</v>
      </c>
      <c r="D1488" t="s">
        <v>32</v>
      </c>
      <c r="E1488" t="s">
        <v>107</v>
      </c>
      <c r="F1488" t="s">
        <v>23</v>
      </c>
      <c r="G1488" t="s">
        <v>60</v>
      </c>
      <c r="H1488" t="s">
        <v>223</v>
      </c>
      <c r="I1488" t="s">
        <v>318</v>
      </c>
      <c r="J1488">
        <v>932</v>
      </c>
      <c r="K1488">
        <v>35</v>
      </c>
      <c r="L1488" t="s">
        <v>45</v>
      </c>
      <c r="M1488">
        <v>166</v>
      </c>
      <c r="N1488">
        <v>53.8</v>
      </c>
      <c r="O1488">
        <v>53.2</v>
      </c>
      <c r="P1488">
        <v>5.89</v>
      </c>
      <c r="Q1488">
        <v>3.98</v>
      </c>
      <c r="R1488" t="s">
        <v>174</v>
      </c>
      <c r="S1488" t="s">
        <v>73</v>
      </c>
      <c r="T1488" t="s">
        <v>48</v>
      </c>
      <c r="U1488" t="str">
        <f t="shared" si="69"/>
        <v>Normal</v>
      </c>
      <c r="V1488" t="str">
        <f t="shared" si="70"/>
        <v>Normal</v>
      </c>
      <c r="W1488" t="str">
        <f t="shared" si="71"/>
        <v>Normal</v>
      </c>
    </row>
    <row r="1489" spans="1:23" x14ac:dyDescent="0.3">
      <c r="A1489">
        <v>10883</v>
      </c>
      <c r="B1489" s="2">
        <v>45728</v>
      </c>
      <c r="C1489" t="s">
        <v>31</v>
      </c>
      <c r="D1489" t="s">
        <v>21</v>
      </c>
      <c r="E1489" t="s">
        <v>22</v>
      </c>
      <c r="F1489" t="s">
        <v>41</v>
      </c>
      <c r="G1489" t="s">
        <v>134</v>
      </c>
      <c r="H1489" t="s">
        <v>120</v>
      </c>
      <c r="I1489" t="s">
        <v>210</v>
      </c>
      <c r="J1489">
        <v>1567</v>
      </c>
      <c r="K1489">
        <v>54</v>
      </c>
      <c r="L1489" t="s">
        <v>45</v>
      </c>
      <c r="M1489">
        <v>142</v>
      </c>
      <c r="N1489">
        <v>42.8</v>
      </c>
      <c r="O1489">
        <v>53.1</v>
      </c>
      <c r="P1489">
        <v>4.13</v>
      </c>
      <c r="Q1489">
        <v>1.97</v>
      </c>
      <c r="R1489" t="s">
        <v>183</v>
      </c>
      <c r="S1489" t="s">
        <v>47</v>
      </c>
      <c r="T1489" t="s">
        <v>48</v>
      </c>
      <c r="U1489" t="str">
        <f t="shared" si="69"/>
        <v>Normal</v>
      </c>
      <c r="V1489" t="str">
        <f t="shared" si="70"/>
        <v>Normal</v>
      </c>
      <c r="W1489" t="str">
        <f t="shared" si="71"/>
        <v>Normal</v>
      </c>
    </row>
    <row r="1490" spans="1:23" x14ac:dyDescent="0.3">
      <c r="A1490">
        <v>10698</v>
      </c>
      <c r="B1490" s="2">
        <v>45866</v>
      </c>
      <c r="C1490" t="s">
        <v>31</v>
      </c>
      <c r="D1490" t="s">
        <v>21</v>
      </c>
      <c r="E1490" t="s">
        <v>22</v>
      </c>
      <c r="F1490" t="s">
        <v>23</v>
      </c>
      <c r="G1490" t="s">
        <v>89</v>
      </c>
      <c r="H1490" t="s">
        <v>66</v>
      </c>
      <c r="I1490" t="s">
        <v>129</v>
      </c>
      <c r="J1490">
        <v>691</v>
      </c>
      <c r="K1490">
        <v>4</v>
      </c>
      <c r="L1490" t="s">
        <v>27</v>
      </c>
      <c r="M1490">
        <v>123</v>
      </c>
      <c r="N1490">
        <v>34</v>
      </c>
      <c r="O1490">
        <v>53.1</v>
      </c>
      <c r="P1490">
        <v>5.07</v>
      </c>
      <c r="Q1490">
        <v>4.4000000000000004</v>
      </c>
      <c r="R1490" t="s">
        <v>133</v>
      </c>
      <c r="S1490" t="s">
        <v>73</v>
      </c>
      <c r="T1490" t="s">
        <v>30</v>
      </c>
      <c r="U1490" t="str">
        <f t="shared" si="69"/>
        <v>Normal</v>
      </c>
      <c r="V1490" t="str">
        <f t="shared" si="70"/>
        <v>Normal</v>
      </c>
      <c r="W1490" t="str">
        <f t="shared" si="71"/>
        <v>Normal</v>
      </c>
    </row>
    <row r="1491" spans="1:23" x14ac:dyDescent="0.3">
      <c r="A1491">
        <v>10840</v>
      </c>
      <c r="B1491" s="2">
        <v>45875</v>
      </c>
      <c r="C1491" t="s">
        <v>49</v>
      </c>
      <c r="D1491" t="s">
        <v>59</v>
      </c>
      <c r="E1491" t="s">
        <v>22</v>
      </c>
      <c r="F1491" t="s">
        <v>81</v>
      </c>
      <c r="G1491" t="s">
        <v>74</v>
      </c>
      <c r="H1491" t="s">
        <v>200</v>
      </c>
      <c r="I1491" t="s">
        <v>231</v>
      </c>
      <c r="J1491">
        <v>598</v>
      </c>
      <c r="K1491">
        <v>22</v>
      </c>
      <c r="L1491" t="s">
        <v>57</v>
      </c>
      <c r="M1491">
        <v>155</v>
      </c>
      <c r="N1491">
        <v>54.4</v>
      </c>
      <c r="O1491">
        <v>53</v>
      </c>
      <c r="P1491">
        <v>7.59</v>
      </c>
      <c r="Q1491">
        <v>3.57</v>
      </c>
      <c r="R1491" t="s">
        <v>229</v>
      </c>
      <c r="S1491" t="s">
        <v>47</v>
      </c>
      <c r="T1491" t="s">
        <v>48</v>
      </c>
      <c r="U1491" t="str">
        <f t="shared" si="69"/>
        <v>Normal</v>
      </c>
      <c r="V1491" t="str">
        <f t="shared" si="70"/>
        <v>Normal</v>
      </c>
      <c r="W1491" t="str">
        <f t="shared" si="71"/>
        <v>Normal</v>
      </c>
    </row>
    <row r="1492" spans="1:23" x14ac:dyDescent="0.3">
      <c r="A1492">
        <v>10235</v>
      </c>
      <c r="B1492" s="2">
        <v>45908</v>
      </c>
      <c r="C1492" t="s">
        <v>31</v>
      </c>
      <c r="D1492" t="s">
        <v>64</v>
      </c>
      <c r="E1492" t="s">
        <v>22</v>
      </c>
      <c r="F1492" t="s">
        <v>41</v>
      </c>
      <c r="G1492" t="s">
        <v>24</v>
      </c>
      <c r="H1492" t="s">
        <v>85</v>
      </c>
      <c r="I1492" t="s">
        <v>370</v>
      </c>
      <c r="J1492">
        <v>1234</v>
      </c>
      <c r="K1492">
        <v>23</v>
      </c>
      <c r="L1492" t="s">
        <v>27</v>
      </c>
      <c r="M1492">
        <v>177</v>
      </c>
      <c r="N1492">
        <v>38.9</v>
      </c>
      <c r="O1492">
        <v>52.7</v>
      </c>
      <c r="P1492">
        <v>4.5599999999999996</v>
      </c>
      <c r="Q1492">
        <v>2.6</v>
      </c>
      <c r="R1492" t="s">
        <v>227</v>
      </c>
      <c r="S1492" t="s">
        <v>39</v>
      </c>
      <c r="T1492" t="s">
        <v>30</v>
      </c>
      <c r="U1492" t="str">
        <f t="shared" si="69"/>
        <v>Normal</v>
      </c>
      <c r="V1492" t="str">
        <f t="shared" si="70"/>
        <v>Normal</v>
      </c>
      <c r="W1492" t="str">
        <f t="shared" si="71"/>
        <v>Normal</v>
      </c>
    </row>
    <row r="1493" spans="1:23" x14ac:dyDescent="0.3">
      <c r="A1493">
        <v>10944</v>
      </c>
      <c r="B1493" s="2">
        <v>45773</v>
      </c>
      <c r="C1493" t="s">
        <v>20</v>
      </c>
      <c r="D1493" t="s">
        <v>59</v>
      </c>
      <c r="E1493" t="s">
        <v>33</v>
      </c>
      <c r="F1493" t="s">
        <v>41</v>
      </c>
      <c r="G1493" t="s">
        <v>54</v>
      </c>
      <c r="H1493" t="s">
        <v>126</v>
      </c>
      <c r="I1493" t="s">
        <v>79</v>
      </c>
      <c r="J1493">
        <v>893</v>
      </c>
      <c r="K1493">
        <v>7</v>
      </c>
      <c r="L1493" t="s">
        <v>71</v>
      </c>
      <c r="M1493">
        <v>53</v>
      </c>
      <c r="N1493">
        <v>47.6</v>
      </c>
      <c r="O1493">
        <v>52.6</v>
      </c>
      <c r="P1493">
        <v>6.69</v>
      </c>
      <c r="Q1493">
        <v>2.87</v>
      </c>
      <c r="R1493" t="s">
        <v>240</v>
      </c>
      <c r="S1493" t="s">
        <v>29</v>
      </c>
      <c r="T1493" t="s">
        <v>30</v>
      </c>
      <c r="U1493" t="str">
        <f t="shared" si="69"/>
        <v>Normal</v>
      </c>
      <c r="V1493" t="str">
        <f t="shared" si="70"/>
        <v>Normal</v>
      </c>
      <c r="W1493" t="str">
        <f t="shared" si="71"/>
        <v>Normal</v>
      </c>
    </row>
    <row r="1494" spans="1:23" x14ac:dyDescent="0.3">
      <c r="A1494">
        <v>11045</v>
      </c>
      <c r="B1494" s="2">
        <v>45948</v>
      </c>
      <c r="C1494" t="s">
        <v>20</v>
      </c>
      <c r="D1494" t="s">
        <v>32</v>
      </c>
      <c r="E1494" t="s">
        <v>22</v>
      </c>
      <c r="F1494" t="s">
        <v>23</v>
      </c>
      <c r="G1494" t="s">
        <v>42</v>
      </c>
      <c r="H1494" t="s">
        <v>82</v>
      </c>
      <c r="I1494" t="s">
        <v>330</v>
      </c>
      <c r="J1494">
        <v>648</v>
      </c>
      <c r="K1494">
        <v>6</v>
      </c>
      <c r="L1494" t="s">
        <v>37</v>
      </c>
      <c r="M1494">
        <v>8</v>
      </c>
      <c r="N1494">
        <v>41.7</v>
      </c>
      <c r="O1494">
        <v>52.5</v>
      </c>
      <c r="P1494">
        <v>5.01</v>
      </c>
      <c r="Q1494">
        <v>2.78</v>
      </c>
      <c r="R1494" t="s">
        <v>174</v>
      </c>
      <c r="S1494" t="s">
        <v>39</v>
      </c>
      <c r="T1494" t="s">
        <v>30</v>
      </c>
      <c r="U1494" t="str">
        <f t="shared" si="69"/>
        <v>Normal</v>
      </c>
      <c r="V1494" t="str">
        <f t="shared" si="70"/>
        <v>Normal</v>
      </c>
      <c r="W1494" t="str">
        <f t="shared" si="71"/>
        <v>Normal</v>
      </c>
    </row>
    <row r="1495" spans="1:23" x14ac:dyDescent="0.3">
      <c r="A1495">
        <v>11336</v>
      </c>
      <c r="B1495" s="2">
        <v>45757</v>
      </c>
      <c r="C1495" t="s">
        <v>31</v>
      </c>
      <c r="D1495" t="s">
        <v>32</v>
      </c>
      <c r="E1495" t="s">
        <v>40</v>
      </c>
      <c r="F1495" t="s">
        <v>23</v>
      </c>
      <c r="G1495" t="s">
        <v>42</v>
      </c>
      <c r="H1495" t="s">
        <v>215</v>
      </c>
      <c r="I1495" t="s">
        <v>166</v>
      </c>
      <c r="J1495">
        <v>914</v>
      </c>
      <c r="K1495">
        <v>10</v>
      </c>
      <c r="L1495" t="s">
        <v>71</v>
      </c>
      <c r="M1495">
        <v>128</v>
      </c>
      <c r="N1495">
        <v>49.9</v>
      </c>
      <c r="O1495">
        <v>52.4</v>
      </c>
      <c r="P1495">
        <v>5.37</v>
      </c>
      <c r="Q1495">
        <v>2.52</v>
      </c>
      <c r="R1495" t="s">
        <v>105</v>
      </c>
      <c r="S1495" t="s">
        <v>73</v>
      </c>
      <c r="T1495" t="s">
        <v>30</v>
      </c>
      <c r="U1495" t="str">
        <f t="shared" si="69"/>
        <v>Normal</v>
      </c>
      <c r="V1495" t="str">
        <f t="shared" si="70"/>
        <v>Normal</v>
      </c>
      <c r="W1495" t="str">
        <f t="shared" si="71"/>
        <v>Normal</v>
      </c>
    </row>
    <row r="1496" spans="1:23" x14ac:dyDescent="0.3">
      <c r="A1496">
        <v>11333</v>
      </c>
      <c r="B1496" s="2">
        <v>45680</v>
      </c>
      <c r="C1496" t="s">
        <v>31</v>
      </c>
      <c r="D1496" t="s">
        <v>32</v>
      </c>
      <c r="E1496" t="s">
        <v>22</v>
      </c>
      <c r="F1496" t="s">
        <v>41</v>
      </c>
      <c r="G1496" t="s">
        <v>109</v>
      </c>
      <c r="H1496" t="s">
        <v>190</v>
      </c>
      <c r="I1496" t="s">
        <v>269</v>
      </c>
      <c r="J1496">
        <v>1520</v>
      </c>
      <c r="K1496">
        <v>11</v>
      </c>
      <c r="L1496" t="s">
        <v>57</v>
      </c>
      <c r="M1496">
        <v>52</v>
      </c>
      <c r="N1496">
        <v>37.700000000000003</v>
      </c>
      <c r="O1496">
        <v>51.8</v>
      </c>
      <c r="P1496">
        <v>6.03</v>
      </c>
      <c r="Q1496">
        <v>3.35</v>
      </c>
      <c r="R1496" t="s">
        <v>202</v>
      </c>
      <c r="S1496" t="s">
        <v>39</v>
      </c>
      <c r="T1496" t="s">
        <v>30</v>
      </c>
      <c r="U1496" t="str">
        <f t="shared" si="69"/>
        <v>Normal</v>
      </c>
      <c r="V1496" t="str">
        <f t="shared" si="70"/>
        <v>Normal</v>
      </c>
      <c r="W1496" t="str">
        <f t="shared" si="71"/>
        <v>Normal</v>
      </c>
    </row>
    <row r="1497" spans="1:23" x14ac:dyDescent="0.3">
      <c r="A1497">
        <v>11089</v>
      </c>
      <c r="B1497" s="2">
        <v>45851</v>
      </c>
      <c r="C1497" t="s">
        <v>31</v>
      </c>
      <c r="D1497" t="s">
        <v>59</v>
      </c>
      <c r="E1497" t="s">
        <v>40</v>
      </c>
      <c r="F1497" t="s">
        <v>23</v>
      </c>
      <c r="G1497" t="s">
        <v>60</v>
      </c>
      <c r="H1497" t="s">
        <v>196</v>
      </c>
      <c r="I1497" t="s">
        <v>170</v>
      </c>
      <c r="J1497">
        <v>1096</v>
      </c>
      <c r="K1497">
        <v>44</v>
      </c>
      <c r="L1497" t="s">
        <v>45</v>
      </c>
      <c r="M1497">
        <v>104</v>
      </c>
      <c r="N1497">
        <v>31.6</v>
      </c>
      <c r="O1497">
        <v>50.1</v>
      </c>
      <c r="P1497">
        <v>5.32</v>
      </c>
      <c r="Q1497">
        <v>2.66</v>
      </c>
      <c r="R1497" t="s">
        <v>179</v>
      </c>
      <c r="S1497" t="s">
        <v>29</v>
      </c>
      <c r="T1497" t="s">
        <v>48</v>
      </c>
      <c r="U1497" t="str">
        <f t="shared" si="69"/>
        <v>Normal</v>
      </c>
      <c r="V1497" t="str">
        <f t="shared" si="70"/>
        <v>Normal</v>
      </c>
      <c r="W1497" t="str">
        <f t="shared" si="71"/>
        <v>Normal</v>
      </c>
    </row>
    <row r="1498" spans="1:23" x14ac:dyDescent="0.3">
      <c r="A1498">
        <v>11046</v>
      </c>
      <c r="B1498" s="2">
        <v>45774</v>
      </c>
      <c r="C1498" t="s">
        <v>31</v>
      </c>
      <c r="D1498" t="s">
        <v>32</v>
      </c>
      <c r="E1498" t="s">
        <v>33</v>
      </c>
      <c r="F1498" t="s">
        <v>41</v>
      </c>
      <c r="G1498" t="s">
        <v>42</v>
      </c>
      <c r="H1498" t="s">
        <v>66</v>
      </c>
      <c r="I1498" t="s">
        <v>384</v>
      </c>
      <c r="J1498">
        <v>1548</v>
      </c>
      <c r="K1498">
        <v>47</v>
      </c>
      <c r="L1498" t="s">
        <v>27</v>
      </c>
      <c r="M1498">
        <v>180</v>
      </c>
      <c r="N1498">
        <v>37.700000000000003</v>
      </c>
      <c r="O1498">
        <v>49.5</v>
      </c>
      <c r="P1498">
        <v>5.03</v>
      </c>
      <c r="Q1498">
        <v>2.48</v>
      </c>
      <c r="R1498" t="s">
        <v>84</v>
      </c>
      <c r="S1498" t="s">
        <v>29</v>
      </c>
      <c r="T1498" t="s">
        <v>48</v>
      </c>
      <c r="U1498" t="str">
        <f t="shared" si="69"/>
        <v>Normal</v>
      </c>
      <c r="V1498" t="str">
        <f t="shared" si="70"/>
        <v>Normal</v>
      </c>
      <c r="W1498" t="str">
        <f t="shared" si="71"/>
        <v>Normal</v>
      </c>
    </row>
    <row r="1499" spans="1:23" x14ac:dyDescent="0.3">
      <c r="A1499">
        <v>10547</v>
      </c>
      <c r="B1499" s="2">
        <v>45737</v>
      </c>
      <c r="C1499" t="s">
        <v>31</v>
      </c>
      <c r="D1499" t="s">
        <v>32</v>
      </c>
      <c r="E1499" t="s">
        <v>22</v>
      </c>
      <c r="F1499" t="s">
        <v>41</v>
      </c>
      <c r="G1499" t="s">
        <v>95</v>
      </c>
      <c r="H1499" t="s">
        <v>123</v>
      </c>
      <c r="I1499" t="s">
        <v>178</v>
      </c>
      <c r="J1499">
        <v>1548</v>
      </c>
      <c r="K1499">
        <v>41</v>
      </c>
      <c r="L1499" t="s">
        <v>37</v>
      </c>
      <c r="M1499">
        <v>72</v>
      </c>
      <c r="N1499">
        <v>50.3</v>
      </c>
      <c r="O1499">
        <v>49.2</v>
      </c>
      <c r="P1499">
        <v>5.58</v>
      </c>
      <c r="Q1499">
        <v>3.9</v>
      </c>
      <c r="R1499" t="s">
        <v>216</v>
      </c>
      <c r="S1499" t="s">
        <v>39</v>
      </c>
      <c r="T1499" t="s">
        <v>30</v>
      </c>
      <c r="U1499" t="str">
        <f t="shared" si="69"/>
        <v>Normal</v>
      </c>
      <c r="V1499" t="str">
        <f t="shared" si="70"/>
        <v>Normal</v>
      </c>
      <c r="W1499" t="str">
        <f t="shared" si="71"/>
        <v>Normal</v>
      </c>
    </row>
    <row r="1500" spans="1:23" x14ac:dyDescent="0.3">
      <c r="A1500">
        <v>10645</v>
      </c>
      <c r="B1500" s="2">
        <v>46020</v>
      </c>
      <c r="C1500" t="s">
        <v>31</v>
      </c>
      <c r="D1500" t="s">
        <v>21</v>
      </c>
      <c r="E1500" t="s">
        <v>40</v>
      </c>
      <c r="F1500" t="s">
        <v>41</v>
      </c>
      <c r="G1500" t="s">
        <v>60</v>
      </c>
      <c r="H1500" t="s">
        <v>215</v>
      </c>
      <c r="I1500" t="s">
        <v>284</v>
      </c>
      <c r="J1500">
        <v>781</v>
      </c>
      <c r="K1500">
        <v>11</v>
      </c>
      <c r="L1500" t="s">
        <v>27</v>
      </c>
      <c r="M1500">
        <v>165</v>
      </c>
      <c r="N1500">
        <v>48.3</v>
      </c>
      <c r="O1500">
        <v>41.9</v>
      </c>
      <c r="P1500">
        <v>5.05</v>
      </c>
      <c r="Q1500">
        <v>3.46</v>
      </c>
      <c r="R1500" t="s">
        <v>167</v>
      </c>
      <c r="S1500" t="s">
        <v>47</v>
      </c>
      <c r="T1500" t="s">
        <v>30</v>
      </c>
      <c r="U1500" t="str">
        <f t="shared" si="69"/>
        <v>Normal</v>
      </c>
      <c r="V1500" t="str">
        <f t="shared" si="70"/>
        <v>Normal</v>
      </c>
      <c r="W1500" t="str">
        <f t="shared" si="71"/>
        <v>Normal</v>
      </c>
    </row>
    <row r="1501" spans="1:23" x14ac:dyDescent="0.3">
      <c r="A1501">
        <v>10605</v>
      </c>
      <c r="B1501" s="2">
        <v>45955</v>
      </c>
      <c r="C1501" t="s">
        <v>49</v>
      </c>
      <c r="D1501" t="s">
        <v>59</v>
      </c>
      <c r="E1501" t="s">
        <v>22</v>
      </c>
      <c r="F1501" t="s">
        <v>23</v>
      </c>
      <c r="G1501" t="s">
        <v>109</v>
      </c>
      <c r="H1501" t="s">
        <v>101</v>
      </c>
      <c r="I1501" t="s">
        <v>151</v>
      </c>
      <c r="J1501">
        <v>875</v>
      </c>
      <c r="K1501">
        <v>7</v>
      </c>
      <c r="L1501" t="s">
        <v>71</v>
      </c>
      <c r="M1501">
        <v>161</v>
      </c>
      <c r="N1501">
        <v>37.6</v>
      </c>
      <c r="O1501">
        <v>12</v>
      </c>
      <c r="P1501">
        <v>5.01</v>
      </c>
      <c r="Q1501">
        <v>3.02</v>
      </c>
      <c r="R1501" t="s">
        <v>80</v>
      </c>
      <c r="S1501" t="s">
        <v>73</v>
      </c>
      <c r="T1501" t="s">
        <v>30</v>
      </c>
      <c r="U1501" t="str">
        <f t="shared" si="69"/>
        <v>Investigate</v>
      </c>
      <c r="V1501" t="str">
        <f t="shared" si="70"/>
        <v>Normal</v>
      </c>
      <c r="W1501" t="str">
        <f t="shared" si="71"/>
        <v>Normal</v>
      </c>
    </row>
  </sheetData>
  <conditionalFormatting sqref="A1:A1501 A1514:A1048576">
    <cfRule type="duplicateValues" dxfId="0" priority="1"/>
  </conditionalFormatting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289CD-9100-449D-A9C7-52F20C5D3296}">
  <dimension ref="A1:C18"/>
  <sheetViews>
    <sheetView workbookViewId="0">
      <selection activeCell="C5" sqref="C5"/>
    </sheetView>
  </sheetViews>
  <sheetFormatPr defaultRowHeight="14.4" x14ac:dyDescent="0.3"/>
  <cols>
    <col min="1" max="1" width="22.77734375" customWidth="1"/>
    <col min="2" max="2" width="30.109375" customWidth="1"/>
    <col min="3" max="3" width="63.109375" customWidth="1"/>
  </cols>
  <sheetData>
    <row r="1" spans="1:3" x14ac:dyDescent="0.3">
      <c r="A1" s="3" t="s">
        <v>414</v>
      </c>
      <c r="B1" s="3" t="s">
        <v>415</v>
      </c>
      <c r="C1" s="3" t="s">
        <v>416</v>
      </c>
    </row>
    <row r="2" spans="1:3" x14ac:dyDescent="0.3">
      <c r="A2" s="4" t="s">
        <v>417</v>
      </c>
      <c r="B2" s="4" t="s">
        <v>0</v>
      </c>
      <c r="C2" s="4" t="s">
        <v>423</v>
      </c>
    </row>
    <row r="3" spans="1:3" x14ac:dyDescent="0.3">
      <c r="A3" s="4" t="s">
        <v>418</v>
      </c>
      <c r="B3" s="4" t="s">
        <v>7</v>
      </c>
      <c r="C3" s="4" t="s">
        <v>425</v>
      </c>
    </row>
    <row r="4" spans="1:3" x14ac:dyDescent="0.3">
      <c r="A4" s="4" t="s">
        <v>418</v>
      </c>
      <c r="B4" s="4" t="s">
        <v>18</v>
      </c>
      <c r="C4" s="4" t="s">
        <v>426</v>
      </c>
    </row>
    <row r="5" spans="1:3" x14ac:dyDescent="0.3">
      <c r="A5" s="4" t="s">
        <v>418</v>
      </c>
      <c r="B5" s="4" t="s">
        <v>14</v>
      </c>
      <c r="C5" s="4" t="s">
        <v>427</v>
      </c>
    </row>
    <row r="6" spans="1:3" x14ac:dyDescent="0.3">
      <c r="A6" s="4" t="s">
        <v>418</v>
      </c>
      <c r="B6" s="4" t="s">
        <v>15</v>
      </c>
      <c r="C6" s="4" t="s">
        <v>428</v>
      </c>
    </row>
    <row r="7" spans="1:3" ht="28.8" x14ac:dyDescent="0.3">
      <c r="A7" s="4" t="s">
        <v>418</v>
      </c>
      <c r="B7" s="4" t="s">
        <v>11</v>
      </c>
      <c r="C7" s="4" t="s">
        <v>429</v>
      </c>
    </row>
    <row r="8" spans="1:3" x14ac:dyDescent="0.3">
      <c r="A8" s="4" t="s">
        <v>419</v>
      </c>
      <c r="B8" s="4" t="s">
        <v>2</v>
      </c>
      <c r="C8" s="4" t="s">
        <v>430</v>
      </c>
    </row>
    <row r="9" spans="1:3" x14ac:dyDescent="0.3">
      <c r="A9" s="4" t="s">
        <v>419</v>
      </c>
      <c r="B9" s="4" t="s">
        <v>5</v>
      </c>
      <c r="C9" s="4" t="s">
        <v>431</v>
      </c>
    </row>
    <row r="10" spans="1:3" ht="28.8" x14ac:dyDescent="0.3">
      <c r="A10" s="4" t="s">
        <v>420</v>
      </c>
      <c r="B10" s="4" t="s">
        <v>9</v>
      </c>
      <c r="C10" s="4" t="s">
        <v>432</v>
      </c>
    </row>
    <row r="11" spans="1:3" ht="28.8" x14ac:dyDescent="0.3">
      <c r="A11" s="4" t="s">
        <v>420</v>
      </c>
      <c r="B11" s="4" t="s">
        <v>10</v>
      </c>
      <c r="C11" s="4" t="s">
        <v>432</v>
      </c>
    </row>
    <row r="12" spans="1:3" ht="28.8" x14ac:dyDescent="0.3">
      <c r="A12" s="4" t="s">
        <v>420</v>
      </c>
      <c r="B12" s="4" t="s">
        <v>12</v>
      </c>
      <c r="C12" s="4" t="s">
        <v>432</v>
      </c>
    </row>
    <row r="13" spans="1:3" ht="28.8" x14ac:dyDescent="0.3">
      <c r="A13" s="4" t="s">
        <v>420</v>
      </c>
      <c r="B13" s="4" t="s">
        <v>13</v>
      </c>
      <c r="C13" s="4" t="s">
        <v>432</v>
      </c>
    </row>
    <row r="14" spans="1:3" x14ac:dyDescent="0.3">
      <c r="A14" s="4" t="s">
        <v>421</v>
      </c>
      <c r="B14" s="4" t="s">
        <v>1</v>
      </c>
      <c r="C14" s="4" t="s">
        <v>433</v>
      </c>
    </row>
    <row r="15" spans="1:3" x14ac:dyDescent="0.3">
      <c r="A15" s="4" t="s">
        <v>422</v>
      </c>
      <c r="B15" s="4" t="s">
        <v>14</v>
      </c>
      <c r="C15" s="4" t="s">
        <v>435</v>
      </c>
    </row>
    <row r="16" spans="1:3" x14ac:dyDescent="0.3">
      <c r="A16" s="4" t="s">
        <v>422</v>
      </c>
      <c r="B16" s="4" t="s">
        <v>15</v>
      </c>
      <c r="C16" s="4" t="s">
        <v>437</v>
      </c>
    </row>
    <row r="17" spans="1:3" x14ac:dyDescent="0.3">
      <c r="A17" s="4" t="s">
        <v>422</v>
      </c>
      <c r="B17" s="4" t="s">
        <v>16</v>
      </c>
      <c r="C17" s="4" t="s">
        <v>439</v>
      </c>
    </row>
    <row r="18" spans="1:3" x14ac:dyDescent="0.3">
      <c r="A18" s="4" t="s">
        <v>441</v>
      </c>
      <c r="B18" s="4" t="s">
        <v>0</v>
      </c>
      <c r="C18" s="4" t="s">
        <v>442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3BE1E-B7F1-4D72-A5BA-3611A42FB95A}">
  <dimension ref="A1:B12"/>
  <sheetViews>
    <sheetView workbookViewId="0">
      <selection activeCell="B12" sqref="B12"/>
    </sheetView>
  </sheetViews>
  <sheetFormatPr defaultRowHeight="14.4" x14ac:dyDescent="0.3"/>
  <cols>
    <col min="1" max="1" width="45.44140625" customWidth="1"/>
    <col min="2" max="2" width="29.33203125" customWidth="1"/>
  </cols>
  <sheetData>
    <row r="1" spans="1:2" ht="23.4" x14ac:dyDescent="0.45">
      <c r="A1" s="15" t="s">
        <v>455</v>
      </c>
      <c r="B1" s="15"/>
    </row>
    <row r="2" spans="1:2" x14ac:dyDescent="0.3">
      <c r="A2" s="3" t="s">
        <v>443</v>
      </c>
      <c r="B2" s="3" t="s">
        <v>444</v>
      </c>
    </row>
    <row r="3" spans="1:2" x14ac:dyDescent="0.3">
      <c r="A3" s="4" t="s">
        <v>445</v>
      </c>
      <c r="B3" s="4">
        <f>COUNTA(Clean_Data!A2:A1501)</f>
        <v>1500</v>
      </c>
    </row>
    <row r="4" spans="1:2" x14ac:dyDescent="0.3">
      <c r="A4" s="4" t="s">
        <v>446</v>
      </c>
      <c r="B4" s="4">
        <f>SUM(Clean_Data!J2:J1501)</f>
        <v>1515186</v>
      </c>
    </row>
    <row r="5" spans="1:2" x14ac:dyDescent="0.3">
      <c r="A5" s="4" t="s">
        <v>447</v>
      </c>
      <c r="B5" s="4">
        <f>SUM(Clean_Data!K2:K1501)</f>
        <v>26093</v>
      </c>
    </row>
    <row r="6" spans="1:2" x14ac:dyDescent="0.3">
      <c r="A6" s="4" t="s">
        <v>448</v>
      </c>
      <c r="B6" s="8">
        <f>B5/B4</f>
        <v>1.7220988050311976E-2</v>
      </c>
    </row>
    <row r="7" spans="1:2" x14ac:dyDescent="0.3">
      <c r="A7" s="4" t="s">
        <v>449</v>
      </c>
      <c r="B7" s="8">
        <f>1-B6</f>
        <v>0.98277901194968798</v>
      </c>
    </row>
    <row r="8" spans="1:2" x14ac:dyDescent="0.3">
      <c r="A8" s="4" t="s">
        <v>450</v>
      </c>
      <c r="B8" s="4">
        <f>SUM(Clean_Data!M2:M1501)</f>
        <v>137341</v>
      </c>
    </row>
    <row r="9" spans="1:2" x14ac:dyDescent="0.3">
      <c r="A9" s="4" t="s">
        <v>451</v>
      </c>
      <c r="B9" s="9">
        <f>AVERAGE(Clean_Data!N2:N1501)</f>
        <v>42.011733333333332</v>
      </c>
    </row>
    <row r="10" spans="1:2" x14ac:dyDescent="0.3">
      <c r="A10" s="4" t="s">
        <v>452</v>
      </c>
      <c r="B10" s="9">
        <f>AVERAGE(Clean_Data!O2:O1501)</f>
        <v>71.636866666666691</v>
      </c>
    </row>
    <row r="11" spans="1:2" x14ac:dyDescent="0.3">
      <c r="A11" s="4" t="s">
        <v>453</v>
      </c>
      <c r="B11" s="9">
        <f>AVERAGE(Clean_Data!P2:P1501)</f>
        <v>5.2160466666666663</v>
      </c>
    </row>
    <row r="12" spans="1:2" x14ac:dyDescent="0.3">
      <c r="A12" s="4" t="s">
        <v>454</v>
      </c>
      <c r="B12" s="9">
        <f>AVERAGE(Clean_Data!Q2:Q1501)</f>
        <v>2.7961933333333362</v>
      </c>
    </row>
  </sheetData>
  <mergeCells count="1">
    <mergeCell ref="A1:B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C1CC5-6506-4882-8984-2E5B660D05E9}">
  <dimension ref="A1:F4"/>
  <sheetViews>
    <sheetView workbookViewId="0">
      <selection activeCell="D1" sqref="D1:D1048576"/>
    </sheetView>
  </sheetViews>
  <sheetFormatPr defaultRowHeight="14.4" x14ac:dyDescent="0.3"/>
  <cols>
    <col min="2" max="2" width="10.5546875" bestFit="1" customWidth="1"/>
    <col min="3" max="3" width="10.33203125" bestFit="1" customWidth="1"/>
    <col min="4" max="4" width="7.21875" bestFit="1" customWidth="1"/>
    <col min="5" max="5" width="10.6640625" bestFit="1" customWidth="1"/>
    <col min="6" max="6" width="9.6640625" bestFit="1" customWidth="1"/>
  </cols>
  <sheetData>
    <row r="1" spans="1:6" x14ac:dyDescent="0.3">
      <c r="A1" s="3" t="s">
        <v>2</v>
      </c>
      <c r="B1" s="3" t="s">
        <v>456</v>
      </c>
      <c r="C1" s="3" t="s">
        <v>457</v>
      </c>
      <c r="D1" s="3" t="s">
        <v>458</v>
      </c>
      <c r="E1" s="3" t="s">
        <v>448</v>
      </c>
      <c r="F1" s="3" t="s">
        <v>459</v>
      </c>
    </row>
    <row r="2" spans="1:6" x14ac:dyDescent="0.3">
      <c r="A2" s="4" t="s">
        <v>20</v>
      </c>
      <c r="B2" s="10">
        <f>COUNTIF(Clean_Data!C:C,A2)</f>
        <v>496</v>
      </c>
      <c r="C2" s="10">
        <f>SUMIF(Clean_Data!C:C,A2,Clean_Data!J:J)</f>
        <v>504464</v>
      </c>
      <c r="D2" s="10">
        <f>SUMIF(Clean_Data!C:C,A2,Clean_Data!K:K)</f>
        <v>9480</v>
      </c>
      <c r="E2" s="11">
        <f>D2/C2</f>
        <v>1.8792223032763487E-2</v>
      </c>
      <c r="F2" s="10">
        <f>SUMIF(Clean_Data!C:C,A2,Clean_Data!M:M)</f>
        <v>47099</v>
      </c>
    </row>
    <row r="3" spans="1:6" x14ac:dyDescent="0.3">
      <c r="A3" s="4" t="s">
        <v>49</v>
      </c>
      <c r="B3" s="10">
        <f>COUNTIF(Clean_Data!C:C,A3)</f>
        <v>501</v>
      </c>
      <c r="C3" s="10">
        <f>SUMIF(Clean_Data!C:C,A3,Clean_Data!J:J)</f>
        <v>506129</v>
      </c>
      <c r="D3" s="10">
        <f>SUMIF(Clean_Data!C:C,A3,Clean_Data!K:K)</f>
        <v>8382</v>
      </c>
      <c r="E3" s="11">
        <f t="shared" ref="E3:E4" si="0">D3/C3</f>
        <v>1.6560995319375101E-2</v>
      </c>
      <c r="F3" s="10">
        <f>SUMIF(Clean_Data!C:C,A3,Clean_Data!M:M)</f>
        <v>43833</v>
      </c>
    </row>
    <row r="4" spans="1:6" x14ac:dyDescent="0.3">
      <c r="A4" s="4" t="s">
        <v>31</v>
      </c>
      <c r="B4" s="10">
        <f>COUNTIF(Clean_Data!C:C,A4)</f>
        <v>503</v>
      </c>
      <c r="C4" s="10">
        <f>SUMIF(Clean_Data!C:C,A4,Clean_Data!J:J)</f>
        <v>504593</v>
      </c>
      <c r="D4" s="10">
        <f>SUMIF(Clean_Data!C:C,A4,Clean_Data!K:K)</f>
        <v>8231</v>
      </c>
      <c r="E4" s="11">
        <f t="shared" si="0"/>
        <v>1.631215653011437E-2</v>
      </c>
      <c r="F4" s="10">
        <f>SUMIF(Clean_Data!C:C,A4,Clean_Data!M:M)</f>
        <v>46409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CCCE-AFD7-47F6-A360-E1FDBDDD48BE}">
  <dimension ref="A1:F5"/>
  <sheetViews>
    <sheetView workbookViewId="0">
      <selection activeCell="G3" sqref="G3"/>
    </sheetView>
  </sheetViews>
  <sheetFormatPr defaultRowHeight="14.4" x14ac:dyDescent="0.3"/>
  <cols>
    <col min="1" max="1" width="14.33203125" bestFit="1" customWidth="1"/>
    <col min="2" max="2" width="10.5546875" bestFit="1" customWidth="1"/>
    <col min="3" max="3" width="10.33203125" bestFit="1" customWidth="1"/>
    <col min="4" max="4" width="7.21875" bestFit="1" customWidth="1"/>
    <col min="5" max="5" width="10.6640625" bestFit="1" customWidth="1"/>
    <col min="6" max="6" width="9.6640625" bestFit="1" customWidth="1"/>
  </cols>
  <sheetData>
    <row r="1" spans="1:6" x14ac:dyDescent="0.3">
      <c r="A1" s="3" t="s">
        <v>460</v>
      </c>
      <c r="B1" s="3" t="s">
        <v>456</v>
      </c>
      <c r="C1" s="3" t="s">
        <v>457</v>
      </c>
      <c r="D1" s="3" t="s">
        <v>458</v>
      </c>
      <c r="E1" s="3" t="s">
        <v>448</v>
      </c>
      <c r="F1" s="3" t="s">
        <v>459</v>
      </c>
    </row>
    <row r="2" spans="1:6" x14ac:dyDescent="0.3">
      <c r="A2" s="4" t="s">
        <v>64</v>
      </c>
      <c r="B2" s="10">
        <f>COUNTIF(Clean_Data!D:D,A2)</f>
        <v>375</v>
      </c>
      <c r="C2" s="10">
        <f>SUMIF(Clean_Data!D:D,A2,Clean_Data!J:J)</f>
        <v>379228</v>
      </c>
      <c r="D2" s="10">
        <f>SUMIF(Clean_Data!D:D,A2,Clean_Data!K:K)</f>
        <v>6735</v>
      </c>
      <c r="E2" s="11">
        <f>D2/C2</f>
        <v>1.7759764574345777E-2</v>
      </c>
      <c r="F2" s="10">
        <f>SUMIF(Clean_Data!D:D,A2,Clean_Data!M:M)</f>
        <v>33148</v>
      </c>
    </row>
    <row r="3" spans="1:6" x14ac:dyDescent="0.3">
      <c r="A3" s="4" t="s">
        <v>59</v>
      </c>
      <c r="B3" s="10">
        <f>COUNTIF(Clean_Data!D:D,A3)</f>
        <v>354</v>
      </c>
      <c r="C3" s="10">
        <f>SUMIF(Clean_Data!D:D,A3,Clean_Data!J:J)</f>
        <v>361934</v>
      </c>
      <c r="D3" s="10">
        <f>SUMIF(Clean_Data!D:D,A3,Clean_Data!K:K)</f>
        <v>6203</v>
      </c>
      <c r="E3" s="11">
        <f t="shared" ref="E3:E5" si="0">D3/C3</f>
        <v>1.7138483811965716E-2</v>
      </c>
      <c r="F3" s="10">
        <f>SUMIF(Clean_Data!D:D,A3,Clean_Data!M:M)</f>
        <v>33204</v>
      </c>
    </row>
    <row r="4" spans="1:6" x14ac:dyDescent="0.3">
      <c r="A4" s="4" t="s">
        <v>32</v>
      </c>
      <c r="B4" s="10">
        <f>COUNTIF(Clean_Data!D:D,A4)</f>
        <v>411</v>
      </c>
      <c r="C4" s="10">
        <f>SUMIF(Clean_Data!D:D,A4,Clean_Data!J:J)</f>
        <v>410934</v>
      </c>
      <c r="D4" s="10">
        <f>SUMIF(Clean_Data!D:D,A4,Clean_Data!K:K)</f>
        <v>7169</v>
      </c>
      <c r="E4" s="11">
        <f t="shared" si="0"/>
        <v>1.7445623871473279E-2</v>
      </c>
      <c r="F4" s="10">
        <f>SUMIF(Clean_Data!D:D,A4,Clean_Data!M:M)</f>
        <v>38532</v>
      </c>
    </row>
    <row r="5" spans="1:6" x14ac:dyDescent="0.3">
      <c r="A5" s="4" t="s">
        <v>21</v>
      </c>
      <c r="B5" s="10">
        <f>COUNTIF(Clean_Data!D:D,A5)</f>
        <v>360</v>
      </c>
      <c r="C5" s="10">
        <f>SUMIF(Clean_Data!D:D,A5,Clean_Data!J:J)</f>
        <v>363090</v>
      </c>
      <c r="D5" s="10">
        <f>SUMIF(Clean_Data!D:D,A5,Clean_Data!K:K)</f>
        <v>5986</v>
      </c>
      <c r="E5" s="11">
        <f t="shared" si="0"/>
        <v>1.6486270621608966E-2</v>
      </c>
      <c r="F5" s="10">
        <f>SUMIF(Clean_Data!D:D,A5,Clean_Data!M:M)</f>
        <v>32457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BE03F-CDFC-453C-BB35-3F03A75BD753}">
  <dimension ref="A1:F5"/>
  <sheetViews>
    <sheetView workbookViewId="0">
      <selection activeCell="E7" sqref="E7"/>
    </sheetView>
  </sheetViews>
  <sheetFormatPr defaultRowHeight="14.4" x14ac:dyDescent="0.3"/>
  <cols>
    <col min="2" max="2" width="10.5546875" bestFit="1" customWidth="1"/>
    <col min="3" max="3" width="10.33203125" bestFit="1" customWidth="1"/>
    <col min="4" max="4" width="7.21875" bestFit="1" customWidth="1"/>
    <col min="5" max="5" width="11.5546875" bestFit="1" customWidth="1"/>
    <col min="6" max="6" width="9.6640625" bestFit="1" customWidth="1"/>
  </cols>
  <sheetData>
    <row r="1" spans="1:6" x14ac:dyDescent="0.3">
      <c r="A1" s="3" t="s">
        <v>4</v>
      </c>
      <c r="B1" s="3" t="s">
        <v>456</v>
      </c>
      <c r="C1" s="3" t="s">
        <v>457</v>
      </c>
      <c r="D1" s="3" t="s">
        <v>458</v>
      </c>
      <c r="E1" s="3" t="s">
        <v>448</v>
      </c>
      <c r="F1" s="3" t="s">
        <v>459</v>
      </c>
    </row>
    <row r="2" spans="1:6" x14ac:dyDescent="0.3">
      <c r="A2" s="4" t="s">
        <v>22</v>
      </c>
      <c r="B2" s="10">
        <f>COUNTIF(Clean_Data!E:E,A2)</f>
        <v>380</v>
      </c>
      <c r="C2" s="10">
        <f>SUMIF(Clean_Data!E:E,A2,Clean_Data!J:J)</f>
        <v>388880</v>
      </c>
      <c r="D2" s="10">
        <f>SUMIF(Clean_Data!E:E,A2,Clean_Data!K:K)</f>
        <v>6887</v>
      </c>
      <c r="E2" s="12">
        <f>D2/C2</f>
        <v>1.7709833367619832E-2</v>
      </c>
      <c r="F2" s="10">
        <f>SUMIF(Clean_Data!E:E,A2,Clean_Data!M:M)</f>
        <v>35835</v>
      </c>
    </row>
    <row r="3" spans="1:6" x14ac:dyDescent="0.3">
      <c r="A3" s="4" t="s">
        <v>33</v>
      </c>
      <c r="B3" s="10">
        <f>COUNTIF(Clean_Data!E:E,A3)</f>
        <v>343</v>
      </c>
      <c r="C3" s="10">
        <f>SUMIF(Clean_Data!E:E,A3,Clean_Data!J:J)</f>
        <v>339990</v>
      </c>
      <c r="D3" s="10">
        <f>SUMIF(Clean_Data!E:E,A3,Clean_Data!K:K)</f>
        <v>5344</v>
      </c>
      <c r="E3" s="12">
        <f t="shared" ref="E3:E5" si="0">D3/C3</f>
        <v>1.5718109356157535E-2</v>
      </c>
      <c r="F3" s="10">
        <f>SUMIF(Clean_Data!E:E,A3,Clean_Data!M:M)</f>
        <v>31389</v>
      </c>
    </row>
    <row r="4" spans="1:6" x14ac:dyDescent="0.3">
      <c r="A4" s="4" t="s">
        <v>40</v>
      </c>
      <c r="B4" s="10">
        <f>COUNTIF(Clean_Data!E:E,A4)</f>
        <v>404</v>
      </c>
      <c r="C4" s="10">
        <f>SUMIF(Clean_Data!E:E,A4,Clean_Data!J:J)</f>
        <v>415524</v>
      </c>
      <c r="D4" s="10">
        <f>SUMIF(Clean_Data!E:E,A4,Clean_Data!K:K)</f>
        <v>7360</v>
      </c>
      <c r="E4" s="12">
        <f t="shared" si="0"/>
        <v>1.7712574965585624E-2</v>
      </c>
      <c r="F4" s="10">
        <f>SUMIF(Clean_Data!E:E,A4,Clean_Data!M:M)</f>
        <v>37397</v>
      </c>
    </row>
    <row r="5" spans="1:6" x14ac:dyDescent="0.3">
      <c r="A5" s="4" t="s">
        <v>107</v>
      </c>
      <c r="B5" s="10">
        <f>COUNTIF(Clean_Data!E:E,A5)</f>
        <v>373</v>
      </c>
      <c r="C5" s="10">
        <f>SUMIF(Clean_Data!E:E,A5,Clean_Data!J:J)</f>
        <v>370792</v>
      </c>
      <c r="D5" s="10">
        <f>SUMIF(Clean_Data!E:E,A5,Clean_Data!K:K)</f>
        <v>6502</v>
      </c>
      <c r="E5" s="12">
        <f t="shared" si="0"/>
        <v>1.7535437657770395E-2</v>
      </c>
      <c r="F5" s="10">
        <f>SUMIF(Clean_Data!E:E,A5,Clean_Data!M:M)</f>
        <v>32720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9C1A9-AEDC-49CB-839A-4E140F4C02DE}">
  <dimension ref="A1:F4"/>
  <sheetViews>
    <sheetView workbookViewId="0">
      <selection activeCell="F2" sqref="F2:F4"/>
    </sheetView>
  </sheetViews>
  <sheetFormatPr defaultRowHeight="14.4" x14ac:dyDescent="0.3"/>
  <cols>
    <col min="2" max="2" width="10.5546875" bestFit="1" customWidth="1"/>
    <col min="3" max="3" width="10.33203125" bestFit="1" customWidth="1"/>
    <col min="4" max="4" width="7.21875" bestFit="1" customWidth="1"/>
    <col min="5" max="5" width="10.6640625" bestFit="1" customWidth="1"/>
    <col min="6" max="6" width="9.6640625" bestFit="1" customWidth="1"/>
  </cols>
  <sheetData>
    <row r="1" spans="1:6" x14ac:dyDescent="0.3">
      <c r="A1" s="3" t="s">
        <v>5</v>
      </c>
      <c r="B1" s="3" t="s">
        <v>456</v>
      </c>
      <c r="C1" s="3" t="s">
        <v>457</v>
      </c>
      <c r="D1" s="3" t="s">
        <v>458</v>
      </c>
      <c r="E1" s="3" t="s">
        <v>448</v>
      </c>
      <c r="F1" s="3" t="s">
        <v>459</v>
      </c>
    </row>
    <row r="2" spans="1:6" x14ac:dyDescent="0.3">
      <c r="A2" s="4" t="s">
        <v>23</v>
      </c>
      <c r="B2" s="10">
        <f>COUNTIF(Clean_Data!F:F,A2)</f>
        <v>621</v>
      </c>
      <c r="C2" s="10">
        <f>SUMIF(Clean_Data!F:F,A2,Clean_Data!J:J)</f>
        <v>624797</v>
      </c>
      <c r="D2" s="10">
        <f>SUMIF(Clean_Data!F:F,A2,Clean_Data!K:K)</f>
        <v>11274</v>
      </c>
      <c r="E2" s="11">
        <f>D2/C2</f>
        <v>1.8044260775900014E-2</v>
      </c>
      <c r="F2" s="10">
        <f>SUMIF(Clean_Data!F:F,A2,Clean_Data!M:M)</f>
        <v>57379</v>
      </c>
    </row>
    <row r="3" spans="1:6" x14ac:dyDescent="0.3">
      <c r="A3" s="4" t="s">
        <v>41</v>
      </c>
      <c r="B3" s="10">
        <f>COUNTIF(Clean_Data!F:F,A3)</f>
        <v>551</v>
      </c>
      <c r="C3" s="10">
        <f>SUMIF(Clean_Data!F:F,A3,Clean_Data!J:J)</f>
        <v>566818</v>
      </c>
      <c r="D3" s="10">
        <f>SUMIF(Clean_Data!F:F,A3,Clean_Data!K:K)</f>
        <v>9588</v>
      </c>
      <c r="E3" s="11">
        <f t="shared" ref="E3:E4" si="0">D3/C3</f>
        <v>1.6915482571125122E-2</v>
      </c>
      <c r="F3" s="10">
        <f>SUMIF(Clean_Data!F:F,A3,Clean_Data!M:M)</f>
        <v>51162</v>
      </c>
    </row>
    <row r="4" spans="1:6" x14ac:dyDescent="0.3">
      <c r="A4" s="4" t="s">
        <v>81</v>
      </c>
      <c r="B4" s="10">
        <f>COUNTIF(Clean_Data!F:F,A4)</f>
        <v>328</v>
      </c>
      <c r="C4" s="10">
        <f>SUMIF(Clean_Data!F:F,A4,Clean_Data!J:J)</f>
        <v>323571</v>
      </c>
      <c r="D4" s="10">
        <f>SUMIF(Clean_Data!F:F,A4,Clean_Data!K:K)</f>
        <v>5231</v>
      </c>
      <c r="E4" s="11">
        <f t="shared" si="0"/>
        <v>1.6166467328654299E-2</v>
      </c>
      <c r="F4" s="10">
        <f>SUMIF(Clean_Data!F:F,A4,Clean_Data!M:M)</f>
        <v>28800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609E4-8D6C-432D-9E46-E8BCA754BE81}">
  <dimension ref="A1:C8"/>
  <sheetViews>
    <sheetView workbookViewId="0">
      <selection activeCell="F4" sqref="F4"/>
    </sheetView>
  </sheetViews>
  <sheetFormatPr defaultRowHeight="14.4" x14ac:dyDescent="0.3"/>
  <cols>
    <col min="1" max="1" width="14.21875" bestFit="1" customWidth="1"/>
    <col min="2" max="2" width="12" bestFit="1" customWidth="1"/>
    <col min="3" max="3" width="8.33203125" bestFit="1" customWidth="1"/>
    <col min="19" max="19" width="8.88671875" customWidth="1"/>
  </cols>
  <sheetData>
    <row r="1" spans="1:3" x14ac:dyDescent="0.3">
      <c r="A1" s="7" t="s">
        <v>461</v>
      </c>
      <c r="B1" s="7" t="s">
        <v>462</v>
      </c>
      <c r="C1" s="7" t="s">
        <v>463</v>
      </c>
    </row>
    <row r="2" spans="1:3" x14ac:dyDescent="0.3">
      <c r="A2" s="13" t="s">
        <v>57</v>
      </c>
      <c r="B2">
        <v>4645</v>
      </c>
      <c r="C2" s="14">
        <f>B2/SUM($B$2:$B$8)</f>
        <v>0.17801709270685626</v>
      </c>
    </row>
    <row r="3" spans="1:3" x14ac:dyDescent="0.3">
      <c r="A3" s="13" t="s">
        <v>27</v>
      </c>
      <c r="B3">
        <v>4198</v>
      </c>
      <c r="C3" s="14">
        <f t="shared" ref="C3:C8" si="0">B3/SUM($B$2:$B$8)</f>
        <v>0.16088606139577666</v>
      </c>
    </row>
    <row r="4" spans="1:3" x14ac:dyDescent="0.3">
      <c r="A4" s="13" t="s">
        <v>71</v>
      </c>
      <c r="B4">
        <v>4459</v>
      </c>
      <c r="C4" s="14">
        <f t="shared" si="0"/>
        <v>0.17088874410761506</v>
      </c>
    </row>
    <row r="5" spans="1:3" x14ac:dyDescent="0.3">
      <c r="A5" s="13" t="s">
        <v>37</v>
      </c>
      <c r="B5">
        <v>4628</v>
      </c>
      <c r="C5" s="14">
        <f t="shared" si="0"/>
        <v>0.17736557697466754</v>
      </c>
    </row>
    <row r="6" spans="1:3" x14ac:dyDescent="0.3">
      <c r="A6" s="13" t="s">
        <v>68</v>
      </c>
      <c r="B6">
        <v>4063</v>
      </c>
      <c r="C6" s="14">
        <f t="shared" si="0"/>
        <v>0.15571225999310159</v>
      </c>
    </row>
    <row r="7" spans="1:3" x14ac:dyDescent="0.3">
      <c r="A7" s="13" t="s">
        <v>45</v>
      </c>
      <c r="B7">
        <v>3889</v>
      </c>
      <c r="C7" s="14">
        <f t="shared" si="0"/>
        <v>0.14904380485187599</v>
      </c>
    </row>
    <row r="8" spans="1:3" x14ac:dyDescent="0.3">
      <c r="A8" s="13" t="s">
        <v>424</v>
      </c>
      <c r="B8">
        <v>211</v>
      </c>
      <c r="C8" s="14">
        <f t="shared" si="0"/>
        <v>8.086459970106926E-3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41D5F-73B9-4CAD-A6A8-45D8F14852EE}">
  <dimension ref="A1:E13"/>
  <sheetViews>
    <sheetView workbookViewId="0">
      <selection activeCell="F13" sqref="F13"/>
    </sheetView>
  </sheetViews>
  <sheetFormatPr defaultRowHeight="14.4" x14ac:dyDescent="0.3"/>
  <cols>
    <col min="1" max="1" width="9.77734375" bestFit="1" customWidth="1"/>
    <col min="2" max="2" width="10.5546875" bestFit="1" customWidth="1"/>
    <col min="3" max="3" width="10.33203125" bestFit="1" customWidth="1"/>
    <col min="4" max="4" width="7.21875" bestFit="1" customWidth="1"/>
    <col min="5" max="5" width="9.6640625" bestFit="1" customWidth="1"/>
  </cols>
  <sheetData>
    <row r="1" spans="1:5" x14ac:dyDescent="0.3">
      <c r="A1" s="7" t="s">
        <v>464</v>
      </c>
      <c r="B1" s="7" t="s">
        <v>456</v>
      </c>
      <c r="C1" s="7" t="s">
        <v>457</v>
      </c>
      <c r="D1" s="7" t="s">
        <v>458</v>
      </c>
      <c r="E1" s="7" t="s">
        <v>459</v>
      </c>
    </row>
    <row r="2" spans="1:5" x14ac:dyDescent="0.3">
      <c r="A2" t="s">
        <v>465</v>
      </c>
      <c r="B2">
        <f>COUNTIFS(Clean_Data!B:B,"&gt;="&amp;DATE(2025,MONTH(DATEVALUE(A2&amp;" 1")),1),Clean_Data!B:B,"&lt;"&amp;EDATE(DATE(2025,MONTH(DATEVALUE(A2&amp;" 1")),1),1))</f>
        <v>134</v>
      </c>
      <c r="C2">
        <f>SUMIFS(Clean_Data!J:J,Clean_Data!B:B,"&gt;="&amp;DATE(2025,MONTH(DATEVALUE(A2&amp;" 1")),1),Clean_Data!B:B,"&lt;"&amp;EDATE(DATE(2025,MONTH(DATEVALUE(A2&amp;" 1")),1),1))</f>
        <v>138950</v>
      </c>
      <c r="D2">
        <f>SUMIFS(Clean_Data!K:K,Clean_Data!B:B,"&gt;="&amp;DATE(2025,MONTH(DATEVALUE(A2&amp;" 1")),1),Clean_Data!B:B,"&lt;"&amp;EDATE(DATE(2025,MONTH(DATEVALUE(A2&amp;" 1")),1),1))</f>
        <v>2267</v>
      </c>
      <c r="E2">
        <f>SUMIFS(Clean_Data!M:M,Clean_Data!B:B,"&gt;="&amp;DATE(2025,MONTH(DATEVALUE(A2&amp;" 1")),1),Clean_Data!B:B,"&lt;"&amp;EDATE(DATE(2025,MONTH(DATEVALUE(A2&amp;" 1")),1),1))</f>
        <v>12576</v>
      </c>
    </row>
    <row r="3" spans="1:5" x14ac:dyDescent="0.3">
      <c r="A3" t="s">
        <v>466</v>
      </c>
      <c r="B3">
        <f>COUNTIFS(Clean_Data!B:B,"&gt;="&amp;DATE(2025,MONTH(DATEVALUE(A3&amp;" 1")),1),Clean_Data!B:B,"&lt;"&amp;EDATE(DATE(2025,MONTH(DATEVALUE(A3&amp;" 1")),1),1))</f>
        <v>119</v>
      </c>
      <c r="C3">
        <f>SUMIFS(Clean_Data!J:J,Clean_Data!B:B,"&gt;="&amp;DATE(2025,MONTH(DATEVALUE(A3&amp;" 1")),1),Clean_Data!B:B,"&lt;"&amp;EDATE(DATE(2025,MONTH(DATEVALUE(A3&amp;" 1")),1),1))</f>
        <v>119633</v>
      </c>
      <c r="D3">
        <f>SUMIFS(Clean_Data!K:K,Clean_Data!B:B,"&gt;="&amp;DATE(2025,MONTH(DATEVALUE(A3&amp;" 1")),1),Clean_Data!B:B,"&lt;"&amp;EDATE(DATE(2025,MONTH(DATEVALUE(A3&amp;" 1")),1),1))</f>
        <v>1994</v>
      </c>
      <c r="E3">
        <f>SUMIFS(Clean_Data!M:M,Clean_Data!B:B,"&gt;="&amp;DATE(2025,MONTH(DATEVALUE(A3&amp;" 1")),1),Clean_Data!B:B,"&lt;"&amp;EDATE(DATE(2025,MONTH(DATEVALUE(A3&amp;" 1")),1),1))</f>
        <v>10902</v>
      </c>
    </row>
    <row r="4" spans="1:5" x14ac:dyDescent="0.3">
      <c r="A4" t="s">
        <v>467</v>
      </c>
      <c r="B4">
        <f>COUNTIFS(Clean_Data!B:B,"&gt;="&amp;DATE(2025,MONTH(DATEVALUE(A4&amp;" 1")),1),Clean_Data!B:B,"&lt;"&amp;EDATE(DATE(2025,MONTH(DATEVALUE(A4&amp;" 1")),1),1))</f>
        <v>140</v>
      </c>
      <c r="C4">
        <f>SUMIFS(Clean_Data!J:J,Clean_Data!B:B,"&gt;="&amp;DATE(2025,MONTH(DATEVALUE(A4&amp;" 1")),1),Clean_Data!B:B,"&lt;"&amp;EDATE(DATE(2025,MONTH(DATEVALUE(A4&amp;" 1")),1),1))</f>
        <v>147157</v>
      </c>
      <c r="D4">
        <f>SUMIFS(Clean_Data!K:K,Clean_Data!B:B,"&gt;="&amp;DATE(2025,MONTH(DATEVALUE(A4&amp;" 1")),1),Clean_Data!B:B,"&lt;"&amp;EDATE(DATE(2025,MONTH(DATEVALUE(A4&amp;" 1")),1),1))</f>
        <v>2393</v>
      </c>
      <c r="E4">
        <f>SUMIFS(Clean_Data!M:M,Clean_Data!B:B,"&gt;="&amp;DATE(2025,MONTH(DATEVALUE(A4&amp;" 1")),1),Clean_Data!B:B,"&lt;"&amp;EDATE(DATE(2025,MONTH(DATEVALUE(A4&amp;" 1")),1),1))</f>
        <v>12262</v>
      </c>
    </row>
    <row r="5" spans="1:5" x14ac:dyDescent="0.3">
      <c r="A5" t="s">
        <v>468</v>
      </c>
      <c r="B5">
        <f>COUNTIFS(Clean_Data!B:B,"&gt;="&amp;DATE(2025,MONTH(DATEVALUE(A5&amp;" 1")),1),Clean_Data!B:B,"&lt;"&amp;EDATE(DATE(2025,MONTH(DATEVALUE(A5&amp;" 1")),1),1))</f>
        <v>130</v>
      </c>
      <c r="C5">
        <f>SUMIFS(Clean_Data!J:J,Clean_Data!B:B,"&gt;="&amp;DATE(2025,MONTH(DATEVALUE(A5&amp;" 1")),1),Clean_Data!B:B,"&lt;"&amp;EDATE(DATE(2025,MONTH(DATEVALUE(A5&amp;" 1")),1),1))</f>
        <v>127915</v>
      </c>
      <c r="D5">
        <f>SUMIFS(Clean_Data!K:K,Clean_Data!B:B,"&gt;="&amp;DATE(2025,MONTH(DATEVALUE(A5&amp;" 1")),1),Clean_Data!B:B,"&lt;"&amp;EDATE(DATE(2025,MONTH(DATEVALUE(A5&amp;" 1")),1),1))</f>
        <v>2387</v>
      </c>
      <c r="E5">
        <f>SUMIFS(Clean_Data!M:M,Clean_Data!B:B,"&gt;="&amp;DATE(2025,MONTH(DATEVALUE(A5&amp;" 1")),1),Clean_Data!B:B,"&lt;"&amp;EDATE(DATE(2025,MONTH(DATEVALUE(A5&amp;" 1")),1),1))</f>
        <v>11651</v>
      </c>
    </row>
    <row r="6" spans="1:5" x14ac:dyDescent="0.3">
      <c r="A6" t="s">
        <v>469</v>
      </c>
      <c r="B6">
        <f>COUNTIFS(Clean_Data!B:B,"&gt;="&amp;DATE(2025,MONTH(DATEVALUE(A6&amp;" 1")),1),Clean_Data!B:B,"&lt;"&amp;EDATE(DATE(2025,MONTH(DATEVALUE(A6&amp;" 1")),1),1))</f>
        <v>130</v>
      </c>
      <c r="C6">
        <f>SUMIFS(Clean_Data!J:J,Clean_Data!B:B,"&gt;="&amp;DATE(2025,MONTH(DATEVALUE(A6&amp;" 1")),1),Clean_Data!B:B,"&lt;"&amp;EDATE(DATE(2025,MONTH(DATEVALUE(A6&amp;" 1")),1),1))</f>
        <v>131525</v>
      </c>
      <c r="D6">
        <f>SUMIFS(Clean_Data!K:K,Clean_Data!B:B,"&gt;="&amp;DATE(2025,MONTH(DATEVALUE(A6&amp;" 1")),1),Clean_Data!B:B,"&lt;"&amp;EDATE(DATE(2025,MONTH(DATEVALUE(A6&amp;" 1")),1),1))</f>
        <v>2687</v>
      </c>
      <c r="E6">
        <f>SUMIFS(Clean_Data!M:M,Clean_Data!B:B,"&gt;="&amp;DATE(2025,MONTH(DATEVALUE(A6&amp;" 1")),1),Clean_Data!B:B,"&lt;"&amp;EDATE(DATE(2025,MONTH(DATEVALUE(A6&amp;" 1")),1),1))</f>
        <v>12691</v>
      </c>
    </row>
    <row r="7" spans="1:5" x14ac:dyDescent="0.3">
      <c r="A7" t="s">
        <v>470</v>
      </c>
      <c r="B7">
        <f>COUNTIFS(Clean_Data!B:B,"&gt;="&amp;DATE(2025,MONTH(DATEVALUE(A7&amp;" 1")),1),Clean_Data!B:B,"&lt;"&amp;EDATE(DATE(2025,MONTH(DATEVALUE(A7&amp;" 1")),1),1))</f>
        <v>113</v>
      </c>
      <c r="C7">
        <f>SUMIFS(Clean_Data!J:J,Clean_Data!B:B,"&gt;="&amp;DATE(2025,MONTH(DATEVALUE(A7&amp;" 1")),1),Clean_Data!B:B,"&lt;"&amp;EDATE(DATE(2025,MONTH(DATEVALUE(A7&amp;" 1")),1),1))</f>
        <v>116763</v>
      </c>
      <c r="D7">
        <f>SUMIFS(Clean_Data!K:K,Clean_Data!B:B,"&gt;="&amp;DATE(2025,MONTH(DATEVALUE(A7&amp;" 1")),1),Clean_Data!B:B,"&lt;"&amp;EDATE(DATE(2025,MONTH(DATEVALUE(A7&amp;" 1")),1),1))</f>
        <v>2151</v>
      </c>
      <c r="E7">
        <f>SUMIFS(Clean_Data!M:M,Clean_Data!B:B,"&gt;="&amp;DATE(2025,MONTH(DATEVALUE(A7&amp;" 1")),1),Clean_Data!B:B,"&lt;"&amp;EDATE(DATE(2025,MONTH(DATEVALUE(A7&amp;" 1")),1),1))</f>
        <v>10179</v>
      </c>
    </row>
    <row r="8" spans="1:5" x14ac:dyDescent="0.3">
      <c r="A8" t="s">
        <v>471</v>
      </c>
      <c r="B8">
        <f>COUNTIFS(Clean_Data!B:B,"&gt;="&amp;DATE(2025,MONTH(DATEVALUE(A8&amp;" 1")),1),Clean_Data!B:B,"&lt;"&amp;EDATE(DATE(2025,MONTH(DATEVALUE(A8&amp;" 1")),1),1))</f>
        <v>115</v>
      </c>
      <c r="C8">
        <f>SUMIFS(Clean_Data!J:J,Clean_Data!B:B,"&gt;="&amp;DATE(2025,MONTH(DATEVALUE(A8&amp;" 1")),1),Clean_Data!B:B,"&lt;"&amp;EDATE(DATE(2025,MONTH(DATEVALUE(A8&amp;" 1")),1),1))</f>
        <v>116318</v>
      </c>
      <c r="D8">
        <f>SUMIFS(Clean_Data!K:K,Clean_Data!B:B,"&gt;="&amp;DATE(2025,MONTH(DATEVALUE(A8&amp;" 1")),1),Clean_Data!B:B,"&lt;"&amp;EDATE(DATE(2025,MONTH(DATEVALUE(A8&amp;" 1")),1),1))</f>
        <v>2288</v>
      </c>
      <c r="E8">
        <f>SUMIFS(Clean_Data!M:M,Clean_Data!B:B,"&gt;="&amp;DATE(2025,MONTH(DATEVALUE(A8&amp;" 1")),1),Clean_Data!B:B,"&lt;"&amp;EDATE(DATE(2025,MONTH(DATEVALUE(A8&amp;" 1")),1),1))</f>
        <v>9547</v>
      </c>
    </row>
    <row r="9" spans="1:5" x14ac:dyDescent="0.3">
      <c r="A9" t="s">
        <v>472</v>
      </c>
      <c r="B9">
        <f>COUNTIFS(Clean_Data!B:B,"&gt;="&amp;DATE(2025,MONTH(DATEVALUE(A9&amp;" 1")),1),Clean_Data!B:B,"&lt;"&amp;EDATE(DATE(2025,MONTH(DATEVALUE(A9&amp;" 1")),1),1))</f>
        <v>118</v>
      </c>
      <c r="C9">
        <f>SUMIFS(Clean_Data!J:J,Clean_Data!B:B,"&gt;="&amp;DATE(2025,MONTH(DATEVALUE(A9&amp;" 1")),1),Clean_Data!B:B,"&lt;"&amp;EDATE(DATE(2025,MONTH(DATEVALUE(A9&amp;" 1")),1),1))</f>
        <v>119974</v>
      </c>
      <c r="D9">
        <f>SUMIFS(Clean_Data!K:K,Clean_Data!B:B,"&gt;="&amp;DATE(2025,MONTH(DATEVALUE(A9&amp;" 1")),1),Clean_Data!B:B,"&lt;"&amp;EDATE(DATE(2025,MONTH(DATEVALUE(A9&amp;" 1")),1),1))</f>
        <v>2025</v>
      </c>
      <c r="E9">
        <f>SUMIFS(Clean_Data!M:M,Clean_Data!B:B,"&gt;="&amp;DATE(2025,MONTH(DATEVALUE(A9&amp;" 1")),1),Clean_Data!B:B,"&lt;"&amp;EDATE(DATE(2025,MONTH(DATEVALUE(A9&amp;" 1")),1),1))</f>
        <v>11030</v>
      </c>
    </row>
    <row r="10" spans="1:5" x14ac:dyDescent="0.3">
      <c r="A10" t="s">
        <v>473</v>
      </c>
      <c r="B10">
        <f>COUNTIFS(Clean_Data!B:B,"&gt;="&amp;DATE(2025,MONTH(DATEVALUE(A10&amp;" 1")),1),Clean_Data!B:B,"&lt;"&amp;EDATE(DATE(2025,MONTH(DATEVALUE(A10&amp;" 1")),1),1))</f>
        <v>106</v>
      </c>
      <c r="C10">
        <f>SUMIFS(Clean_Data!J:J,Clean_Data!B:B,"&gt;="&amp;DATE(2025,MONTH(DATEVALUE(A10&amp;" 1")),1),Clean_Data!B:B,"&lt;"&amp;EDATE(DATE(2025,MONTH(DATEVALUE(A10&amp;" 1")),1),1))</f>
        <v>101139</v>
      </c>
      <c r="D10">
        <f>SUMIFS(Clean_Data!K:K,Clean_Data!B:B,"&gt;="&amp;DATE(2025,MONTH(DATEVALUE(A10&amp;" 1")),1),Clean_Data!B:B,"&lt;"&amp;EDATE(DATE(2025,MONTH(DATEVALUE(A10&amp;" 1")),1),1))</f>
        <v>1874</v>
      </c>
      <c r="E10">
        <f>SUMIFS(Clean_Data!M:M,Clean_Data!B:B,"&gt;="&amp;DATE(2025,MONTH(DATEVALUE(A10&amp;" 1")),1),Clean_Data!B:B,"&lt;"&amp;EDATE(DATE(2025,MONTH(DATEVALUE(A10&amp;" 1")),1),1))</f>
        <v>9512</v>
      </c>
    </row>
    <row r="11" spans="1:5" x14ac:dyDescent="0.3">
      <c r="A11" t="s">
        <v>474</v>
      </c>
      <c r="B11">
        <f>COUNTIFS(Clean_Data!B:B,"&gt;="&amp;DATE(2025,MONTH(DATEVALUE(A11&amp;" 1")),1),Clean_Data!B:B,"&lt;"&amp;EDATE(DATE(2025,MONTH(DATEVALUE(A11&amp;" 1")),1),1))</f>
        <v>141</v>
      </c>
      <c r="C11">
        <f>SUMIFS(Clean_Data!J:J,Clean_Data!B:B,"&gt;="&amp;DATE(2025,MONTH(DATEVALUE(A11&amp;" 1")),1),Clean_Data!B:B,"&lt;"&amp;EDATE(DATE(2025,MONTH(DATEVALUE(A11&amp;" 1")),1),1))</f>
        <v>139382</v>
      </c>
      <c r="D11">
        <f>SUMIFS(Clean_Data!K:K,Clean_Data!B:B,"&gt;="&amp;DATE(2025,MONTH(DATEVALUE(A11&amp;" 1")),1),Clean_Data!B:B,"&lt;"&amp;EDATE(DATE(2025,MONTH(DATEVALUE(A11&amp;" 1")),1),1))</f>
        <v>2212</v>
      </c>
      <c r="E11">
        <f>SUMIFS(Clean_Data!M:M,Clean_Data!B:B,"&gt;="&amp;DATE(2025,MONTH(DATEVALUE(A11&amp;" 1")),1),Clean_Data!B:B,"&lt;"&amp;EDATE(DATE(2025,MONTH(DATEVALUE(A11&amp;" 1")),1),1))</f>
        <v>13057</v>
      </c>
    </row>
    <row r="12" spans="1:5" x14ac:dyDescent="0.3">
      <c r="A12" t="s">
        <v>475</v>
      </c>
      <c r="B12">
        <f>COUNTIFS(Clean_Data!B:B,"&gt;="&amp;DATE(2025,MONTH(DATEVALUE(A12&amp;" 1")),1),Clean_Data!B:B,"&lt;"&amp;EDATE(DATE(2025,MONTH(DATEVALUE(A12&amp;" 1")),1),1))</f>
        <v>119</v>
      </c>
      <c r="C12">
        <f>SUMIFS(Clean_Data!J:J,Clean_Data!B:B,"&gt;="&amp;DATE(2025,MONTH(DATEVALUE(A12&amp;" 1")),1),Clean_Data!B:B,"&lt;"&amp;EDATE(DATE(2025,MONTH(DATEVALUE(A12&amp;" 1")),1),1))</f>
        <v>120693</v>
      </c>
      <c r="D12">
        <f>SUMIFS(Clean_Data!K:K,Clean_Data!B:B,"&gt;="&amp;DATE(2025,MONTH(DATEVALUE(A12&amp;" 1")),1),Clean_Data!B:B,"&lt;"&amp;EDATE(DATE(2025,MONTH(DATEVALUE(A12&amp;" 1")),1),1))</f>
        <v>1884</v>
      </c>
      <c r="E12">
        <f>SUMIFS(Clean_Data!M:M,Clean_Data!B:B,"&gt;="&amp;DATE(2025,MONTH(DATEVALUE(A12&amp;" 1")),1),Clean_Data!B:B,"&lt;"&amp;EDATE(DATE(2025,MONTH(DATEVALUE(A12&amp;" 1")),1),1))</f>
        <v>10757</v>
      </c>
    </row>
    <row r="13" spans="1:5" x14ac:dyDescent="0.3">
      <c r="A13" t="s">
        <v>476</v>
      </c>
      <c r="B13">
        <f>COUNTIFS(Clean_Data!B:B,"&gt;="&amp;DATE(2025,MONTH(DATEVALUE(A13&amp;" 1")),1),Clean_Data!B:B,"&lt;"&amp;EDATE(DATE(2025,MONTH(DATEVALUE(A13&amp;" 1")),1),1))</f>
        <v>135</v>
      </c>
      <c r="C13">
        <f>SUMIFS(Clean_Data!J:J,Clean_Data!B:B,"&gt;="&amp;DATE(2025,MONTH(DATEVALUE(A13&amp;" 1")),1),Clean_Data!B:B,"&lt;"&amp;EDATE(DATE(2025,MONTH(DATEVALUE(A13&amp;" 1")),1),1))</f>
        <v>135737</v>
      </c>
      <c r="D13">
        <f>SUMIFS(Clean_Data!K:K,Clean_Data!B:B,"&gt;="&amp;DATE(2025,MONTH(DATEVALUE(A13&amp;" 1")),1),Clean_Data!B:B,"&lt;"&amp;EDATE(DATE(2025,MONTH(DATEVALUE(A13&amp;" 1")),1),1))</f>
        <v>1931</v>
      </c>
      <c r="E13">
        <f>SUMIFS(Clean_Data!M:M,Clean_Data!B:B,"&gt;="&amp;DATE(2025,MONTH(DATEVALUE(A13&amp;" 1")),1),Clean_Data!B:B,"&lt;"&amp;EDATE(DATE(2025,MONTH(DATEVALUE(A13&amp;" 1")),1),1))</f>
        <v>13177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5BE5B-90B3-42B8-A34D-5AAD21C0F0F4}">
  <dimension ref="A1:C4"/>
  <sheetViews>
    <sheetView workbookViewId="0">
      <selection activeCell="C4" sqref="C4"/>
    </sheetView>
  </sheetViews>
  <sheetFormatPr defaultRowHeight="14.4" x14ac:dyDescent="0.3"/>
  <cols>
    <col min="1" max="1" width="11.5546875" bestFit="1" customWidth="1"/>
    <col min="2" max="2" width="15.88671875" bestFit="1" customWidth="1"/>
    <col min="3" max="3" width="12.77734375" bestFit="1" customWidth="1"/>
  </cols>
  <sheetData>
    <row r="1" spans="1:3" s="5" customFormat="1" x14ac:dyDescent="0.3">
      <c r="A1" s="7" t="s">
        <v>477</v>
      </c>
      <c r="B1" s="7" t="s">
        <v>478</v>
      </c>
      <c r="C1" s="7" t="s">
        <v>479</v>
      </c>
    </row>
    <row r="2" spans="1:3" x14ac:dyDescent="0.3">
      <c r="A2" s="4" t="s">
        <v>480</v>
      </c>
      <c r="B2">
        <f>COUNTIF(Clean_Data!U:U,"Investigate")</f>
        <v>3</v>
      </c>
      <c r="C2">
        <f>COUNTIF(Clean_Data!U:U,"Normal")</f>
        <v>1497</v>
      </c>
    </row>
    <row r="3" spans="1:3" x14ac:dyDescent="0.3">
      <c r="A3" s="4" t="s">
        <v>481</v>
      </c>
      <c r="B3">
        <f>COUNTIF(Clean_Data!V:V,"Investigate")</f>
        <v>2</v>
      </c>
      <c r="C3">
        <f>COUNTIF(Clean_Data!V:V,"Normal")</f>
        <v>1498</v>
      </c>
    </row>
    <row r="4" spans="1:3" x14ac:dyDescent="0.3">
      <c r="A4" s="4" t="s">
        <v>482</v>
      </c>
      <c r="B4">
        <f>COUNTIF(Clean_Data!W:W,"Investigate")</f>
        <v>3</v>
      </c>
      <c r="C4">
        <f>COUNTIF(Clean_Data!W:W,"Normal")</f>
        <v>1497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Raw_Data</vt:lpstr>
      <vt:lpstr>Clean_Data</vt:lpstr>
      <vt:lpstr>Data_Quality_Notes</vt:lpstr>
      <vt:lpstr>KPI_Analysis</vt:lpstr>
      <vt:lpstr>Plant_Analysis</vt:lpstr>
      <vt:lpstr>Line_Analysis</vt:lpstr>
      <vt:lpstr>Product_Analysis</vt:lpstr>
      <vt:lpstr>Shift_Analysis</vt:lpstr>
      <vt:lpstr>Defect_Type_Analysis</vt:lpstr>
      <vt:lpstr>Monthly_Analysis</vt:lpstr>
      <vt:lpstr>Outlier_Analysis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Tripti Sahu</cp:lastModifiedBy>
  <dcterms:created xsi:type="dcterms:W3CDTF">2026-09-09T12:44:24Z</dcterms:created>
  <dcterms:modified xsi:type="dcterms:W3CDTF">2026-09-26T17:31:42Z</dcterms:modified>
</cp:coreProperties>
</file>